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uanh\OneDrive\Desktop\desk\Michel\coatingschedule\"/>
    </mc:Choice>
  </mc:AlternateContent>
  <bookViews>
    <workbookView xWindow="-110" yWindow="-110" windowWidth="19420" windowHeight="10300" activeTab="1"/>
  </bookViews>
  <sheets>
    <sheet name="CS" sheetId="2" r:id="rId1"/>
    <sheet name="CC" sheetId="4" r:id="rId2"/>
    <sheet name="Application Step Master" sheetId="3" r:id="rId3"/>
    <sheet name="app-method" sheetId="8" r:id="rId4"/>
    <sheet name="Customer" sheetId="5" r:id="rId5"/>
    <sheet name="quotation" sheetId="6" r:id="rId6"/>
    <sheet name="packing mapping" sheetId="7" r:id="rId7"/>
  </sheets>
  <definedNames>
    <definedName name="_xlnm._FilterDatabase" localSheetId="1" hidden="1">CC!$A$6:$AMM$58</definedName>
    <definedName name="_xlnm._FilterDatabase" localSheetId="4" hidden="1">Customer!$A$1:$C$540</definedName>
    <definedName name="_xlnm._FilterDatabase" localSheetId="5" hidden="1">quotation!$A$1:$J$2676</definedName>
    <definedName name="Excel_BuiltIn_Print_Area_1" localSheetId="1">#REF!</definedName>
    <definedName name="Excel_BuiltIn_Print_Area_1" localSheetId="0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4">#REF!</definedName>
    <definedName name="Excel_BuiltIn_Print_Area_4_1">#REF!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7" i="4" l="1"/>
  <c r="K4" i="4" l="1"/>
  <c r="D5" i="4"/>
  <c r="B5" i="4"/>
  <c r="B4" i="4"/>
  <c r="B2" i="4"/>
  <c r="I52" i="4"/>
  <c r="I47" i="4"/>
  <c r="I42" i="4"/>
  <c r="I32" i="4"/>
  <c r="I22" i="4"/>
  <c r="I12" i="4"/>
  <c r="H52" i="4"/>
  <c r="H47" i="4"/>
  <c r="H42" i="4"/>
  <c r="H37" i="4"/>
  <c r="H32" i="4"/>
  <c r="H27" i="4"/>
  <c r="H22" i="4"/>
  <c r="H17" i="4"/>
  <c r="H12" i="4"/>
  <c r="H7" i="4"/>
  <c r="G52" i="4"/>
  <c r="G47" i="4"/>
  <c r="G42" i="4"/>
  <c r="G32" i="4"/>
  <c r="G22" i="4"/>
  <c r="G12" i="4"/>
  <c r="E51" i="4"/>
  <c r="E42" i="4"/>
  <c r="E34" i="4"/>
  <c r="E33" i="4"/>
  <c r="E32" i="4"/>
  <c r="E26" i="4"/>
  <c r="E18" i="4"/>
  <c r="E17" i="4"/>
  <c r="E16" i="4"/>
  <c r="E15" i="4"/>
  <c r="E14" i="4"/>
  <c r="E13" i="4"/>
  <c r="E12" i="4"/>
  <c r="E11" i="4"/>
  <c r="E8" i="4"/>
  <c r="E9" i="4"/>
  <c r="E10" i="4"/>
  <c r="E7" i="4"/>
  <c r="Y71" i="2"/>
  <c r="E56" i="4" s="1"/>
  <c r="Y70" i="2"/>
  <c r="E55" i="4" s="1"/>
  <c r="Y69" i="2"/>
  <c r="E54" i="4" s="1"/>
  <c r="Y68" i="2"/>
  <c r="E53" i="4" s="1"/>
  <c r="Y67" i="2"/>
  <c r="E52" i="4" s="1"/>
  <c r="Y66" i="2"/>
  <c r="Y65" i="2"/>
  <c r="Y64" i="2"/>
  <c r="E50" i="4" s="1"/>
  <c r="Y63" i="2"/>
  <c r="E49" i="4" s="1"/>
  <c r="Y62" i="2"/>
  <c r="E48" i="4" s="1"/>
  <c r="Y61" i="2"/>
  <c r="E47" i="4" s="1"/>
  <c r="Y60" i="2"/>
  <c r="Y59" i="2"/>
  <c r="E46" i="4" s="1"/>
  <c r="Y58" i="2"/>
  <c r="E45" i="4" s="1"/>
  <c r="Y57" i="2"/>
  <c r="E44" i="4" s="1"/>
  <c r="Y56" i="2"/>
  <c r="E43" i="4" s="1"/>
  <c r="Y55" i="2"/>
  <c r="Y54" i="2"/>
  <c r="Y53" i="2"/>
  <c r="E41" i="4" s="1"/>
  <c r="Y52" i="2"/>
  <c r="E40" i="4" s="1"/>
  <c r="Y51" i="2"/>
  <c r="E39" i="4" s="1"/>
  <c r="Y50" i="2"/>
  <c r="E38" i="4" s="1"/>
  <c r="Y49" i="2"/>
  <c r="E37" i="4" s="1"/>
  <c r="Y48" i="2"/>
  <c r="Y47" i="2"/>
  <c r="E36" i="4" s="1"/>
  <c r="Y46" i="2"/>
  <c r="E35" i="4" s="1"/>
  <c r="Y45" i="2"/>
  <c r="Y44" i="2"/>
  <c r="Y43" i="2"/>
  <c r="Y42" i="2"/>
  <c r="Y41" i="2"/>
  <c r="E31" i="4" s="1"/>
  <c r="Y40" i="2"/>
  <c r="E30" i="4" s="1"/>
  <c r="Y39" i="2"/>
  <c r="E29" i="4" s="1"/>
  <c r="Y38" i="2"/>
  <c r="E28" i="4" s="1"/>
  <c r="Y37" i="2"/>
  <c r="E27" i="4" s="1"/>
  <c r="Y36" i="2"/>
  <c r="Y35" i="2"/>
  <c r="Y34" i="2"/>
  <c r="E25" i="4" s="1"/>
  <c r="Y33" i="2"/>
  <c r="E24" i="4" s="1"/>
  <c r="Y32" i="2"/>
  <c r="E23" i="4" s="1"/>
  <c r="Y31" i="2"/>
  <c r="E22" i="4" s="1"/>
  <c r="Y30" i="2"/>
  <c r="Y29" i="2"/>
  <c r="E21" i="4" s="1"/>
  <c r="Y28" i="2"/>
  <c r="E20" i="4" s="1"/>
  <c r="Y27" i="2"/>
  <c r="E19" i="4" s="1"/>
  <c r="Y26" i="2"/>
  <c r="Y25" i="2"/>
  <c r="Y24" i="2"/>
  <c r="Y23" i="2"/>
  <c r="Y22" i="2"/>
  <c r="Y21" i="2"/>
  <c r="Y20" i="2"/>
  <c r="Y19" i="2"/>
  <c r="Y18" i="2"/>
  <c r="Y17" i="2"/>
  <c r="Y16" i="2"/>
  <c r="Y15" i="2"/>
  <c r="Y14" i="2"/>
  <c r="Y13" i="2"/>
  <c r="A52" i="4"/>
  <c r="A27" i="4"/>
  <c r="A22" i="4"/>
  <c r="A17" i="4"/>
  <c r="A12" i="4"/>
  <c r="A7" i="4"/>
  <c r="J42" i="4" l="1"/>
  <c r="P42" i="4" s="1"/>
  <c r="J32" i="4"/>
  <c r="P32" i="4" s="1"/>
  <c r="J47" i="4"/>
  <c r="K47" i="4" s="1"/>
  <c r="J22" i="4"/>
  <c r="P22" i="4" s="1"/>
  <c r="K42" i="4" l="1"/>
  <c r="K32" i="4"/>
  <c r="P47" i="4"/>
  <c r="Q47" i="4" s="1"/>
  <c r="Q43" i="4"/>
  <c r="Q46" i="4"/>
  <c r="Q45" i="4"/>
  <c r="Q42" i="4"/>
  <c r="Q44" i="4"/>
  <c r="Q36" i="4"/>
  <c r="Q33" i="4"/>
  <c r="Q35" i="4"/>
  <c r="Q32" i="4"/>
  <c r="Q34" i="4"/>
  <c r="K22" i="4"/>
  <c r="Q25" i="4"/>
  <c r="Q26" i="4"/>
  <c r="Q23" i="4"/>
  <c r="Q22" i="4"/>
  <c r="Q24" i="4"/>
  <c r="Q51" i="4" l="1"/>
  <c r="Q48" i="4"/>
  <c r="Q50" i="4"/>
  <c r="Q49" i="4"/>
  <c r="B3" i="4" l="1"/>
  <c r="E2676" i="6"/>
  <c r="E2675" i="6"/>
  <c r="E2674" i="6"/>
  <c r="E2673" i="6"/>
  <c r="E2672" i="6"/>
  <c r="E2671" i="6"/>
  <c r="E2670" i="6"/>
  <c r="E2669" i="6"/>
  <c r="E2668" i="6"/>
  <c r="E2667" i="6"/>
  <c r="E2666" i="6"/>
  <c r="E2665" i="6"/>
  <c r="E2664" i="6"/>
  <c r="E2663" i="6"/>
  <c r="E2662" i="6"/>
  <c r="E2661" i="6"/>
  <c r="E2660" i="6"/>
  <c r="E2659" i="6"/>
  <c r="E2658" i="6"/>
  <c r="E2657" i="6"/>
  <c r="E2656" i="6"/>
  <c r="E2655" i="6"/>
  <c r="E2654" i="6"/>
  <c r="E2653" i="6"/>
  <c r="E2652" i="6"/>
  <c r="E2651" i="6"/>
  <c r="E2650" i="6"/>
  <c r="E2649" i="6"/>
  <c r="E2648" i="6"/>
  <c r="E2647" i="6"/>
  <c r="E2646" i="6"/>
  <c r="E2645" i="6"/>
  <c r="E2644" i="6"/>
  <c r="E2643" i="6"/>
  <c r="E2642" i="6"/>
  <c r="E2641" i="6"/>
  <c r="E2640" i="6"/>
  <c r="E2639" i="6"/>
  <c r="E2638" i="6"/>
  <c r="E2637" i="6"/>
  <c r="E2636" i="6"/>
  <c r="E2635" i="6"/>
  <c r="E2634" i="6"/>
  <c r="E2633" i="6"/>
  <c r="E2632" i="6"/>
  <c r="E2631" i="6"/>
  <c r="E2630" i="6"/>
  <c r="E2629" i="6"/>
  <c r="E2628" i="6"/>
  <c r="E2627" i="6"/>
  <c r="E2626" i="6"/>
  <c r="E2625" i="6"/>
  <c r="E2624" i="6"/>
  <c r="E2623" i="6"/>
  <c r="E2622" i="6"/>
  <c r="E2621" i="6"/>
  <c r="E2620" i="6"/>
  <c r="E2619" i="6"/>
  <c r="E2618" i="6"/>
  <c r="E2617" i="6"/>
  <c r="E2616" i="6"/>
  <c r="E2615" i="6"/>
  <c r="E2614" i="6"/>
  <c r="E2613" i="6"/>
  <c r="E2612" i="6"/>
  <c r="E2611" i="6"/>
  <c r="E2610" i="6"/>
  <c r="E2609" i="6"/>
  <c r="E2608" i="6"/>
  <c r="E2607" i="6"/>
  <c r="E2606" i="6"/>
  <c r="E2605" i="6"/>
  <c r="E2604" i="6"/>
  <c r="E2603" i="6"/>
  <c r="E2602" i="6"/>
  <c r="E2601" i="6"/>
  <c r="E2600" i="6"/>
  <c r="E2599" i="6"/>
  <c r="E2598" i="6"/>
  <c r="E2597" i="6"/>
  <c r="E2596" i="6"/>
  <c r="E2595" i="6"/>
  <c r="E2594" i="6"/>
  <c r="E2593" i="6"/>
  <c r="E2592" i="6"/>
  <c r="E2591" i="6"/>
  <c r="E2590" i="6"/>
  <c r="E2589" i="6"/>
  <c r="E2588" i="6"/>
  <c r="E2587" i="6"/>
  <c r="E2586" i="6"/>
  <c r="E2585" i="6"/>
  <c r="E2584" i="6"/>
  <c r="E2583" i="6"/>
  <c r="E2582" i="6"/>
  <c r="E2581" i="6"/>
  <c r="E2580" i="6"/>
  <c r="E2579" i="6"/>
  <c r="E2578" i="6"/>
  <c r="E2577" i="6"/>
  <c r="E2576" i="6"/>
  <c r="E2575" i="6"/>
  <c r="E2574" i="6"/>
  <c r="E2573" i="6"/>
  <c r="E2572" i="6"/>
  <c r="E2571" i="6"/>
  <c r="E2570" i="6"/>
  <c r="E2569" i="6"/>
  <c r="E2568" i="6"/>
  <c r="E2567" i="6"/>
  <c r="E2566" i="6"/>
  <c r="E2565" i="6"/>
  <c r="E2564" i="6"/>
  <c r="E2563" i="6"/>
  <c r="E2562" i="6"/>
  <c r="E2561" i="6"/>
  <c r="E2560" i="6"/>
  <c r="E2559" i="6"/>
  <c r="E2558" i="6"/>
  <c r="E2557" i="6"/>
  <c r="E2556" i="6"/>
  <c r="E2555" i="6"/>
  <c r="E2554" i="6"/>
  <c r="E2553" i="6"/>
  <c r="E2552" i="6"/>
  <c r="E2551" i="6"/>
  <c r="E2550" i="6"/>
  <c r="E2549" i="6"/>
  <c r="E2548" i="6"/>
  <c r="E2547" i="6"/>
  <c r="E2546" i="6"/>
  <c r="E2545" i="6"/>
  <c r="E2544" i="6"/>
  <c r="E2543" i="6"/>
  <c r="E2542" i="6"/>
  <c r="E2541" i="6"/>
  <c r="E2540" i="6"/>
  <c r="E2539" i="6"/>
  <c r="E2538" i="6"/>
  <c r="E2537" i="6"/>
  <c r="E2536" i="6"/>
  <c r="E2535" i="6"/>
  <c r="E2534" i="6"/>
  <c r="E2533" i="6"/>
  <c r="E2532" i="6"/>
  <c r="E2531" i="6"/>
  <c r="E2530" i="6"/>
  <c r="E2529" i="6"/>
  <c r="E2528" i="6"/>
  <c r="E2527" i="6"/>
  <c r="E2526" i="6"/>
  <c r="E2525" i="6"/>
  <c r="E2524" i="6"/>
  <c r="E2523" i="6"/>
  <c r="E2522" i="6"/>
  <c r="E2521" i="6"/>
  <c r="E2520" i="6"/>
  <c r="E2519" i="6"/>
  <c r="E2518" i="6"/>
  <c r="E2517" i="6"/>
  <c r="E2516" i="6"/>
  <c r="E2515" i="6"/>
  <c r="E2514" i="6"/>
  <c r="E2513" i="6"/>
  <c r="E2512" i="6"/>
  <c r="E2511" i="6"/>
  <c r="E2510" i="6"/>
  <c r="E2509" i="6"/>
  <c r="E2508" i="6"/>
  <c r="E2507" i="6"/>
  <c r="E2506" i="6"/>
  <c r="E2505" i="6"/>
  <c r="E2504" i="6"/>
  <c r="E2503" i="6"/>
  <c r="E2502" i="6"/>
  <c r="E2501" i="6"/>
  <c r="E2500" i="6"/>
  <c r="E2499" i="6"/>
  <c r="E2498" i="6"/>
  <c r="E2497" i="6"/>
  <c r="E2496" i="6"/>
  <c r="E2495" i="6"/>
  <c r="E2494" i="6"/>
  <c r="E2493" i="6"/>
  <c r="E2492" i="6"/>
  <c r="E2491" i="6"/>
  <c r="E2490" i="6"/>
  <c r="E2489" i="6"/>
  <c r="E2488" i="6"/>
  <c r="E2487" i="6"/>
  <c r="E2486" i="6"/>
  <c r="E2485" i="6"/>
  <c r="E2484" i="6"/>
  <c r="E2483" i="6"/>
  <c r="E2482" i="6"/>
  <c r="E2481" i="6"/>
  <c r="E2480" i="6"/>
  <c r="E2479" i="6"/>
  <c r="E2478" i="6"/>
  <c r="E2477" i="6"/>
  <c r="E2476" i="6"/>
  <c r="E2475" i="6"/>
  <c r="E2474" i="6"/>
  <c r="E2473" i="6"/>
  <c r="E2472" i="6"/>
  <c r="E2471" i="6"/>
  <c r="E2470" i="6"/>
  <c r="E2469" i="6"/>
  <c r="E2468" i="6"/>
  <c r="E2467" i="6"/>
  <c r="E2466" i="6"/>
  <c r="E2465" i="6"/>
  <c r="E2464" i="6"/>
  <c r="E2463" i="6"/>
  <c r="E2462" i="6"/>
  <c r="E2461" i="6"/>
  <c r="E2460" i="6"/>
  <c r="E2459" i="6"/>
  <c r="E2458" i="6"/>
  <c r="E2457" i="6"/>
  <c r="E2456" i="6"/>
  <c r="E2455" i="6"/>
  <c r="E2454" i="6"/>
  <c r="E2453" i="6"/>
  <c r="E2452" i="6"/>
  <c r="E2451" i="6"/>
  <c r="E2450" i="6"/>
  <c r="E2449" i="6"/>
  <c r="E2448" i="6"/>
  <c r="E2447" i="6"/>
  <c r="E2446" i="6"/>
  <c r="E2445" i="6"/>
  <c r="E2444" i="6"/>
  <c r="E2443" i="6"/>
  <c r="E2442" i="6"/>
  <c r="E2441" i="6"/>
  <c r="E2440" i="6"/>
  <c r="E2439" i="6"/>
  <c r="E2438" i="6"/>
  <c r="E2437" i="6"/>
  <c r="E2436" i="6"/>
  <c r="E2435" i="6"/>
  <c r="E2434" i="6"/>
  <c r="E2433" i="6"/>
  <c r="E2432" i="6"/>
  <c r="E2431" i="6"/>
  <c r="E2430" i="6"/>
  <c r="E2429" i="6"/>
  <c r="E2428" i="6"/>
  <c r="E2427" i="6"/>
  <c r="E2426" i="6"/>
  <c r="E2425" i="6"/>
  <c r="E2424" i="6"/>
  <c r="E2423" i="6"/>
  <c r="E2422" i="6"/>
  <c r="E2421" i="6"/>
  <c r="E2420" i="6"/>
  <c r="E2419" i="6"/>
  <c r="E2418" i="6"/>
  <c r="E2417" i="6"/>
  <c r="E2416" i="6"/>
  <c r="E2415" i="6"/>
  <c r="E2414" i="6"/>
  <c r="E2413" i="6"/>
  <c r="E2412" i="6"/>
  <c r="E2411" i="6"/>
  <c r="E2410" i="6"/>
  <c r="E2409" i="6"/>
  <c r="E2408" i="6"/>
  <c r="E2407" i="6"/>
  <c r="E2406" i="6"/>
  <c r="E2405" i="6"/>
  <c r="E2404" i="6"/>
  <c r="E2403" i="6"/>
  <c r="E2402" i="6"/>
  <c r="E2401" i="6"/>
  <c r="E2400" i="6"/>
  <c r="E2399" i="6"/>
  <c r="E2398" i="6"/>
  <c r="E2397" i="6"/>
  <c r="E2396" i="6"/>
  <c r="E2395" i="6"/>
  <c r="E2394" i="6"/>
  <c r="E2393" i="6"/>
  <c r="E2392" i="6"/>
  <c r="E2391" i="6"/>
  <c r="E2390" i="6"/>
  <c r="E2389" i="6"/>
  <c r="E2388" i="6"/>
  <c r="E2387" i="6"/>
  <c r="E2386" i="6"/>
  <c r="E2385" i="6"/>
  <c r="E2384" i="6"/>
  <c r="E2383" i="6"/>
  <c r="E2382" i="6"/>
  <c r="E2381" i="6"/>
  <c r="E2380" i="6"/>
  <c r="E2379" i="6"/>
  <c r="E2378" i="6"/>
  <c r="E2377" i="6"/>
  <c r="E2376" i="6"/>
  <c r="E2375" i="6"/>
  <c r="E2374" i="6"/>
  <c r="E2373" i="6"/>
  <c r="E2372" i="6"/>
  <c r="E2371" i="6"/>
  <c r="E2370" i="6"/>
  <c r="E2369" i="6"/>
  <c r="E2368" i="6"/>
  <c r="E2367" i="6"/>
  <c r="E2366" i="6"/>
  <c r="E2365" i="6"/>
  <c r="E2364" i="6"/>
  <c r="E2363" i="6"/>
  <c r="E2362" i="6"/>
  <c r="E2361" i="6"/>
  <c r="E2360" i="6"/>
  <c r="E2359" i="6"/>
  <c r="E2358" i="6"/>
  <c r="E2357" i="6"/>
  <c r="E2356" i="6"/>
  <c r="E2355" i="6"/>
  <c r="E2354" i="6"/>
  <c r="E2353" i="6"/>
  <c r="E2352" i="6"/>
  <c r="E2351" i="6"/>
  <c r="E2350" i="6"/>
  <c r="E2349" i="6"/>
  <c r="E2348" i="6"/>
  <c r="E2347" i="6"/>
  <c r="E2346" i="6"/>
  <c r="E2345" i="6"/>
  <c r="E2344" i="6"/>
  <c r="E2343" i="6"/>
  <c r="E2342" i="6"/>
  <c r="E2341" i="6"/>
  <c r="E2340" i="6"/>
  <c r="E2339" i="6"/>
  <c r="E2338" i="6"/>
  <c r="E2337" i="6"/>
  <c r="E2336" i="6"/>
  <c r="E2335" i="6"/>
  <c r="E2334" i="6"/>
  <c r="E2333" i="6"/>
  <c r="E2332" i="6"/>
  <c r="E2331" i="6"/>
  <c r="E2330" i="6"/>
  <c r="E2329" i="6"/>
  <c r="E2328" i="6"/>
  <c r="E2327" i="6"/>
  <c r="E2326" i="6"/>
  <c r="E2325" i="6"/>
  <c r="E2324" i="6"/>
  <c r="E2323" i="6"/>
  <c r="E2322" i="6"/>
  <c r="E2321" i="6"/>
  <c r="E2320" i="6"/>
  <c r="E2319" i="6"/>
  <c r="E2318" i="6"/>
  <c r="E2317" i="6"/>
  <c r="E2316" i="6"/>
  <c r="E2315" i="6"/>
  <c r="E2314" i="6"/>
  <c r="E2313" i="6"/>
  <c r="E2312" i="6"/>
  <c r="E2311" i="6"/>
  <c r="E2310" i="6"/>
  <c r="E2309" i="6"/>
  <c r="E2308" i="6"/>
  <c r="E2307" i="6"/>
  <c r="E2306" i="6"/>
  <c r="E2305" i="6"/>
  <c r="E2304" i="6"/>
  <c r="E2303" i="6"/>
  <c r="E2302" i="6"/>
  <c r="E2301" i="6"/>
  <c r="E2300" i="6"/>
  <c r="E2299" i="6"/>
  <c r="E2298" i="6"/>
  <c r="E2297" i="6"/>
  <c r="E2296" i="6"/>
  <c r="E2295" i="6"/>
  <c r="E2294" i="6"/>
  <c r="E2293" i="6"/>
  <c r="E2292" i="6"/>
  <c r="E2291" i="6"/>
  <c r="E2290" i="6"/>
  <c r="E2289" i="6"/>
  <c r="E2288" i="6"/>
  <c r="E2287" i="6"/>
  <c r="E2286" i="6"/>
  <c r="E2285" i="6"/>
  <c r="E2284" i="6"/>
  <c r="E2283" i="6"/>
  <c r="E2282" i="6"/>
  <c r="E2281" i="6"/>
  <c r="E2280" i="6"/>
  <c r="E2279" i="6"/>
  <c r="E2278" i="6"/>
  <c r="E2277" i="6"/>
  <c r="E2276" i="6"/>
  <c r="E2275" i="6"/>
  <c r="E2274" i="6"/>
  <c r="E2273" i="6"/>
  <c r="E2272" i="6"/>
  <c r="E2271" i="6"/>
  <c r="E2270" i="6"/>
  <c r="E2269" i="6"/>
  <c r="E2268" i="6"/>
  <c r="E2267" i="6"/>
  <c r="E2266" i="6"/>
  <c r="E2265" i="6"/>
  <c r="E2264" i="6"/>
  <c r="E2263" i="6"/>
  <c r="E2262" i="6"/>
  <c r="E2261" i="6"/>
  <c r="E2260" i="6"/>
  <c r="E2259" i="6"/>
  <c r="E2258" i="6"/>
  <c r="E2257" i="6"/>
  <c r="E2256" i="6"/>
  <c r="E2255" i="6"/>
  <c r="E2254" i="6"/>
  <c r="E2253" i="6"/>
  <c r="E2252" i="6"/>
  <c r="E2251" i="6"/>
  <c r="E2250" i="6"/>
  <c r="E2249" i="6"/>
  <c r="E2248" i="6"/>
  <c r="E2247" i="6"/>
  <c r="E2246" i="6"/>
  <c r="E2245" i="6"/>
  <c r="E2244" i="6"/>
  <c r="E2243" i="6"/>
  <c r="E2242" i="6"/>
  <c r="E2241" i="6"/>
  <c r="E2240" i="6"/>
  <c r="E2239" i="6"/>
  <c r="E2238" i="6"/>
  <c r="E2237" i="6"/>
  <c r="E2236" i="6"/>
  <c r="E2235" i="6"/>
  <c r="E2234" i="6"/>
  <c r="E2233" i="6"/>
  <c r="E2232" i="6"/>
  <c r="E2231" i="6"/>
  <c r="E2230" i="6"/>
  <c r="E2229" i="6"/>
  <c r="E2228" i="6"/>
  <c r="E2227" i="6"/>
  <c r="E2226" i="6"/>
  <c r="E2225" i="6"/>
  <c r="E2224" i="6"/>
  <c r="E2223" i="6"/>
  <c r="E2222" i="6"/>
  <c r="E2221" i="6"/>
  <c r="E2220" i="6"/>
  <c r="E2219" i="6"/>
  <c r="E2218" i="6"/>
  <c r="E2217" i="6"/>
  <c r="E2216" i="6"/>
  <c r="E2215" i="6"/>
  <c r="E2214" i="6"/>
  <c r="E2213" i="6"/>
  <c r="E2212" i="6"/>
  <c r="E2211" i="6"/>
  <c r="E2210" i="6"/>
  <c r="E2209" i="6"/>
  <c r="E2208" i="6"/>
  <c r="E2207" i="6"/>
  <c r="E2206" i="6"/>
  <c r="E2205" i="6"/>
  <c r="E2204" i="6"/>
  <c r="E2203" i="6"/>
  <c r="E2202" i="6"/>
  <c r="E2201" i="6"/>
  <c r="E2200" i="6"/>
  <c r="E2199" i="6"/>
  <c r="E2198" i="6"/>
  <c r="E2197" i="6"/>
  <c r="E2196" i="6"/>
  <c r="E2195" i="6"/>
  <c r="E2194" i="6"/>
  <c r="E2193" i="6"/>
  <c r="E2192" i="6"/>
  <c r="E2191" i="6"/>
  <c r="E2190" i="6"/>
  <c r="E2189" i="6"/>
  <c r="E2188" i="6"/>
  <c r="E2187" i="6"/>
  <c r="E2186" i="6"/>
  <c r="E2185" i="6"/>
  <c r="E2184" i="6"/>
  <c r="E2183" i="6"/>
  <c r="E2182" i="6"/>
  <c r="E2181" i="6"/>
  <c r="E2180" i="6"/>
  <c r="E2179" i="6"/>
  <c r="E2178" i="6"/>
  <c r="E2177" i="6"/>
  <c r="E2176" i="6"/>
  <c r="E2175" i="6"/>
  <c r="E2174" i="6"/>
  <c r="E2173" i="6"/>
  <c r="E2172" i="6"/>
  <c r="E2171" i="6"/>
  <c r="E2170" i="6"/>
  <c r="E2169" i="6"/>
  <c r="E2168" i="6"/>
  <c r="E2167" i="6"/>
  <c r="E2166" i="6"/>
  <c r="E2165" i="6"/>
  <c r="E2164" i="6"/>
  <c r="E2163" i="6"/>
  <c r="E2162" i="6"/>
  <c r="E2161" i="6"/>
  <c r="E2160" i="6"/>
  <c r="E2159" i="6"/>
  <c r="E2158" i="6"/>
  <c r="E2157" i="6"/>
  <c r="E2156" i="6"/>
  <c r="E2155" i="6"/>
  <c r="E2154" i="6"/>
  <c r="E2153" i="6"/>
  <c r="E2152" i="6"/>
  <c r="E2151" i="6"/>
  <c r="E2150" i="6"/>
  <c r="E2149" i="6"/>
  <c r="E2148" i="6"/>
  <c r="E2147" i="6"/>
  <c r="E2146" i="6"/>
  <c r="E2145" i="6"/>
  <c r="E2144" i="6"/>
  <c r="E2143" i="6"/>
  <c r="E2142" i="6"/>
  <c r="E2141" i="6"/>
  <c r="E2140" i="6"/>
  <c r="E2139" i="6"/>
  <c r="E2138" i="6"/>
  <c r="E2137" i="6"/>
  <c r="E2136" i="6"/>
  <c r="E2135" i="6"/>
  <c r="E2134" i="6"/>
  <c r="E2133" i="6"/>
  <c r="E2132" i="6"/>
  <c r="E2131" i="6"/>
  <c r="E2130" i="6"/>
  <c r="E2129" i="6"/>
  <c r="E2128" i="6"/>
  <c r="E2127" i="6"/>
  <c r="E2126" i="6"/>
  <c r="E2125" i="6"/>
  <c r="E2124" i="6"/>
  <c r="E2123" i="6"/>
  <c r="E2122" i="6"/>
  <c r="E2121" i="6"/>
  <c r="E2120" i="6"/>
  <c r="E2119" i="6"/>
  <c r="E2118" i="6"/>
  <c r="E2117" i="6"/>
  <c r="E2116" i="6"/>
  <c r="E2115" i="6"/>
  <c r="E2114" i="6"/>
  <c r="E2113" i="6"/>
  <c r="E2112" i="6"/>
  <c r="E2111" i="6"/>
  <c r="E2110" i="6"/>
  <c r="E2109" i="6"/>
  <c r="E2108" i="6"/>
  <c r="E2107" i="6"/>
  <c r="E2106" i="6"/>
  <c r="E2105" i="6"/>
  <c r="E2104" i="6"/>
  <c r="E2103" i="6"/>
  <c r="E2102" i="6"/>
  <c r="E2101" i="6"/>
  <c r="E2100" i="6"/>
  <c r="E2099" i="6"/>
  <c r="E2098" i="6"/>
  <c r="E2097" i="6"/>
  <c r="E2096" i="6"/>
  <c r="E2095" i="6"/>
  <c r="E2094" i="6"/>
  <c r="E2093" i="6"/>
  <c r="E2092" i="6"/>
  <c r="E2091" i="6"/>
  <c r="E2090" i="6"/>
  <c r="E2089" i="6"/>
  <c r="E2088" i="6"/>
  <c r="E2087" i="6"/>
  <c r="E2086" i="6"/>
  <c r="E2085" i="6"/>
  <c r="E2084" i="6"/>
  <c r="E2083" i="6"/>
  <c r="E2082" i="6"/>
  <c r="E2081" i="6"/>
  <c r="E2080" i="6"/>
  <c r="E2079" i="6"/>
  <c r="E2078" i="6"/>
  <c r="E2077" i="6"/>
  <c r="E2076" i="6"/>
  <c r="E2075" i="6"/>
  <c r="E2074" i="6"/>
  <c r="E2073" i="6"/>
  <c r="E2072" i="6"/>
  <c r="E2071" i="6"/>
  <c r="E2070" i="6"/>
  <c r="E2069" i="6"/>
  <c r="E2068" i="6"/>
  <c r="E2067" i="6"/>
  <c r="E2066" i="6"/>
  <c r="E2065" i="6"/>
  <c r="E2064" i="6"/>
  <c r="E2063" i="6"/>
  <c r="E2062" i="6"/>
  <c r="E2061" i="6"/>
  <c r="E2060" i="6"/>
  <c r="E2059" i="6"/>
  <c r="E2058" i="6"/>
  <c r="E2057" i="6"/>
  <c r="E2056" i="6"/>
  <c r="E2055" i="6"/>
  <c r="E2054" i="6"/>
  <c r="E2053" i="6"/>
  <c r="E2052" i="6"/>
  <c r="E2051" i="6"/>
  <c r="E2050" i="6"/>
  <c r="E2049" i="6"/>
  <c r="E2048" i="6"/>
  <c r="E2047" i="6"/>
  <c r="E2046" i="6"/>
  <c r="E2045" i="6"/>
  <c r="E2044" i="6"/>
  <c r="E2043" i="6"/>
  <c r="E2042" i="6"/>
  <c r="E2041" i="6"/>
  <c r="E2040" i="6"/>
  <c r="E2039" i="6"/>
  <c r="E2038" i="6"/>
  <c r="E2037" i="6"/>
  <c r="E2036" i="6"/>
  <c r="E2035" i="6"/>
  <c r="E2034" i="6"/>
  <c r="E2033" i="6"/>
  <c r="E2032" i="6"/>
  <c r="E2031" i="6"/>
  <c r="E2030" i="6"/>
  <c r="E2029" i="6"/>
  <c r="E2028" i="6"/>
  <c r="E2027" i="6"/>
  <c r="E2026" i="6"/>
  <c r="E2025" i="6"/>
  <c r="E2024" i="6"/>
  <c r="E2023" i="6"/>
  <c r="E2022" i="6"/>
  <c r="E2021" i="6"/>
  <c r="E2020" i="6"/>
  <c r="E2019" i="6"/>
  <c r="E2018" i="6"/>
  <c r="E2017" i="6"/>
  <c r="E2016" i="6"/>
  <c r="E2015" i="6"/>
  <c r="E2014" i="6"/>
  <c r="E2013" i="6"/>
  <c r="E2012" i="6"/>
  <c r="E2011" i="6"/>
  <c r="E2010" i="6"/>
  <c r="E2009" i="6"/>
  <c r="E2008" i="6"/>
  <c r="E2007" i="6"/>
  <c r="E2006" i="6"/>
  <c r="E2005" i="6"/>
  <c r="E2004" i="6"/>
  <c r="E2003" i="6"/>
  <c r="E2002" i="6"/>
  <c r="E2001" i="6"/>
  <c r="E2000" i="6"/>
  <c r="E1999" i="6"/>
  <c r="E1998" i="6"/>
  <c r="E1997" i="6"/>
  <c r="E1996" i="6"/>
  <c r="E1995" i="6"/>
  <c r="E1994" i="6"/>
  <c r="E1993" i="6"/>
  <c r="E1992" i="6"/>
  <c r="E1991" i="6"/>
  <c r="E1990" i="6"/>
  <c r="E1989" i="6"/>
  <c r="E1988" i="6"/>
  <c r="E1987" i="6"/>
  <c r="E1986" i="6"/>
  <c r="E1985" i="6"/>
  <c r="E1984" i="6"/>
  <c r="E1983" i="6"/>
  <c r="E1982" i="6"/>
  <c r="E1981" i="6"/>
  <c r="E1980" i="6"/>
  <c r="E1979" i="6"/>
  <c r="E1978" i="6"/>
  <c r="E1977" i="6"/>
  <c r="E1976" i="6"/>
  <c r="E1975" i="6"/>
  <c r="E1974" i="6"/>
  <c r="E1973" i="6"/>
  <c r="E1972" i="6"/>
  <c r="E1971" i="6"/>
  <c r="E1970" i="6"/>
  <c r="E1969" i="6"/>
  <c r="E1968" i="6"/>
  <c r="E1967" i="6"/>
  <c r="E1966" i="6"/>
  <c r="E1965" i="6"/>
  <c r="E1964" i="6"/>
  <c r="E1963" i="6"/>
  <c r="E1962" i="6"/>
  <c r="E1961" i="6"/>
  <c r="E1960" i="6"/>
  <c r="E1959" i="6"/>
  <c r="E1958" i="6"/>
  <c r="E1957" i="6"/>
  <c r="E1956" i="6"/>
  <c r="E1955" i="6"/>
  <c r="E1954" i="6"/>
  <c r="E1953" i="6"/>
  <c r="E1952" i="6"/>
  <c r="E1951" i="6"/>
  <c r="E1950" i="6"/>
  <c r="E1949" i="6"/>
  <c r="E1948" i="6"/>
  <c r="E1947" i="6"/>
  <c r="E1946" i="6"/>
  <c r="E1945" i="6"/>
  <c r="E1944" i="6"/>
  <c r="E1943" i="6"/>
  <c r="E1942" i="6"/>
  <c r="E1941" i="6"/>
  <c r="E1940" i="6"/>
  <c r="E1939" i="6"/>
  <c r="E1938" i="6"/>
  <c r="E1937" i="6"/>
  <c r="E1936" i="6"/>
  <c r="E1935" i="6"/>
  <c r="E1934" i="6"/>
  <c r="E1933" i="6"/>
  <c r="E1932" i="6"/>
  <c r="E1931" i="6"/>
  <c r="E1930" i="6"/>
  <c r="E1929" i="6"/>
  <c r="E1928" i="6"/>
  <c r="E1927" i="6"/>
  <c r="E1926" i="6"/>
  <c r="E1925" i="6"/>
  <c r="E1924" i="6"/>
  <c r="E1923" i="6"/>
  <c r="E1922" i="6"/>
  <c r="E1921" i="6"/>
  <c r="E1920" i="6"/>
  <c r="E1919" i="6"/>
  <c r="E1918" i="6"/>
  <c r="E1917" i="6"/>
  <c r="E1916" i="6"/>
  <c r="E1915" i="6"/>
  <c r="E1914" i="6"/>
  <c r="E1913" i="6"/>
  <c r="E1912" i="6"/>
  <c r="E1911" i="6"/>
  <c r="E1910" i="6"/>
  <c r="E1909" i="6"/>
  <c r="E1908" i="6"/>
  <c r="E1907" i="6"/>
  <c r="E1906" i="6"/>
  <c r="E1905" i="6"/>
  <c r="E1904" i="6"/>
  <c r="E1903" i="6"/>
  <c r="E1902" i="6"/>
  <c r="E1901" i="6"/>
  <c r="E1900" i="6"/>
  <c r="E1899" i="6"/>
  <c r="E1898" i="6"/>
  <c r="E1897" i="6"/>
  <c r="E1896" i="6"/>
  <c r="E1895" i="6"/>
  <c r="E1894" i="6"/>
  <c r="E1893" i="6"/>
  <c r="E1892" i="6"/>
  <c r="E1891" i="6"/>
  <c r="E1890" i="6"/>
  <c r="E1889" i="6"/>
  <c r="E1888" i="6"/>
  <c r="E1887" i="6"/>
  <c r="E1886" i="6"/>
  <c r="E1885" i="6"/>
  <c r="E1884" i="6"/>
  <c r="E1883" i="6"/>
  <c r="E1882" i="6"/>
  <c r="E1881" i="6"/>
  <c r="E1880" i="6"/>
  <c r="E1879" i="6"/>
  <c r="E1878" i="6"/>
  <c r="E1877" i="6"/>
  <c r="E1876" i="6"/>
  <c r="E1875" i="6"/>
  <c r="E1874" i="6"/>
  <c r="E1873" i="6"/>
  <c r="E1872" i="6"/>
  <c r="E1871" i="6"/>
  <c r="E1870" i="6"/>
  <c r="E1869" i="6"/>
  <c r="E1868" i="6"/>
  <c r="E1867" i="6"/>
  <c r="E1866" i="6"/>
  <c r="E1865" i="6"/>
  <c r="E1864" i="6"/>
  <c r="E1863" i="6"/>
  <c r="E1862" i="6"/>
  <c r="E1861" i="6"/>
  <c r="E1860" i="6"/>
  <c r="E1859" i="6"/>
  <c r="E1858" i="6"/>
  <c r="E1857" i="6"/>
  <c r="E1856" i="6"/>
  <c r="E1855" i="6"/>
  <c r="E1854" i="6"/>
  <c r="E1853" i="6"/>
  <c r="E1852" i="6"/>
  <c r="E1851" i="6"/>
  <c r="E1850" i="6"/>
  <c r="E1849" i="6"/>
  <c r="E1848" i="6"/>
  <c r="E1847" i="6"/>
  <c r="E1846" i="6"/>
  <c r="E1845" i="6"/>
  <c r="E1844" i="6"/>
  <c r="E1843" i="6"/>
  <c r="E1842" i="6"/>
  <c r="E1841" i="6"/>
  <c r="E1840" i="6"/>
  <c r="E1839" i="6"/>
  <c r="E1838" i="6"/>
  <c r="E1837" i="6"/>
  <c r="E1836" i="6"/>
  <c r="E1835" i="6"/>
  <c r="E1834" i="6"/>
  <c r="E1833" i="6"/>
  <c r="E1832" i="6"/>
  <c r="E1831" i="6"/>
  <c r="E1830" i="6"/>
  <c r="E1829" i="6"/>
  <c r="E1828" i="6"/>
  <c r="E1827" i="6"/>
  <c r="E1826" i="6"/>
  <c r="E1825" i="6"/>
  <c r="E1824" i="6"/>
  <c r="E1823" i="6"/>
  <c r="E1822" i="6"/>
  <c r="E1821" i="6"/>
  <c r="E1820" i="6"/>
  <c r="E1819" i="6"/>
  <c r="E1818" i="6"/>
  <c r="E1817" i="6"/>
  <c r="E1816" i="6"/>
  <c r="E1815" i="6"/>
  <c r="E1814" i="6"/>
  <c r="E1813" i="6"/>
  <c r="E1812" i="6"/>
  <c r="E1811" i="6"/>
  <c r="E1810" i="6"/>
  <c r="E1809" i="6"/>
  <c r="E1808" i="6"/>
  <c r="E1807" i="6"/>
  <c r="E1806" i="6"/>
  <c r="E1805" i="6"/>
  <c r="E1804" i="6"/>
  <c r="E1803" i="6"/>
  <c r="E1802" i="6"/>
  <c r="E1801" i="6"/>
  <c r="E1800" i="6"/>
  <c r="E1799" i="6"/>
  <c r="E1798" i="6"/>
  <c r="E1797" i="6"/>
  <c r="E1796" i="6"/>
  <c r="E1795" i="6"/>
  <c r="E1794" i="6"/>
  <c r="E1793" i="6"/>
  <c r="E1792" i="6"/>
  <c r="E1791" i="6"/>
  <c r="E1790" i="6"/>
  <c r="E1789" i="6"/>
  <c r="E1788" i="6"/>
  <c r="E1787" i="6"/>
  <c r="E1786" i="6"/>
  <c r="E1785" i="6"/>
  <c r="E1784" i="6"/>
  <c r="E1783" i="6"/>
  <c r="E1782" i="6"/>
  <c r="E1781" i="6"/>
  <c r="E1780" i="6"/>
  <c r="E1779" i="6"/>
  <c r="E1778" i="6"/>
  <c r="E1777" i="6"/>
  <c r="E1776" i="6"/>
  <c r="E1775" i="6"/>
  <c r="E1774" i="6"/>
  <c r="E1773" i="6"/>
  <c r="E1772" i="6"/>
  <c r="E1771" i="6"/>
  <c r="E1770" i="6"/>
  <c r="E1769" i="6"/>
  <c r="E1768" i="6"/>
  <c r="E1767" i="6"/>
  <c r="E1766" i="6"/>
  <c r="E1765" i="6"/>
  <c r="E1764" i="6"/>
  <c r="E1763" i="6"/>
  <c r="E1762" i="6"/>
  <c r="E1761" i="6"/>
  <c r="E1760" i="6"/>
  <c r="E1759" i="6"/>
  <c r="E1758" i="6"/>
  <c r="E1757" i="6"/>
  <c r="E1756" i="6"/>
  <c r="E1755" i="6"/>
  <c r="E1754" i="6"/>
  <c r="E1753" i="6"/>
  <c r="E1752" i="6"/>
  <c r="E1751" i="6"/>
  <c r="E1750" i="6"/>
  <c r="E1749" i="6"/>
  <c r="E1748" i="6"/>
  <c r="E1747" i="6"/>
  <c r="E1746" i="6"/>
  <c r="E1745" i="6"/>
  <c r="E1744" i="6"/>
  <c r="E1743" i="6"/>
  <c r="E1742" i="6"/>
  <c r="E1741" i="6"/>
  <c r="E1740" i="6"/>
  <c r="E1739" i="6"/>
  <c r="E1738" i="6"/>
  <c r="E1737" i="6"/>
  <c r="E1736" i="6"/>
  <c r="E1735" i="6"/>
  <c r="E1734" i="6"/>
  <c r="E1733" i="6"/>
  <c r="E1732" i="6"/>
  <c r="E1731" i="6"/>
  <c r="E1730" i="6"/>
  <c r="E1729" i="6"/>
  <c r="E1728" i="6"/>
  <c r="E1727" i="6"/>
  <c r="E1726" i="6"/>
  <c r="E1725" i="6"/>
  <c r="E1724" i="6"/>
  <c r="E1723" i="6"/>
  <c r="E1722" i="6"/>
  <c r="E1721" i="6"/>
  <c r="E1720" i="6"/>
  <c r="E1719" i="6"/>
  <c r="E1718" i="6"/>
  <c r="E1717" i="6"/>
  <c r="E1716" i="6"/>
  <c r="E1715" i="6"/>
  <c r="E1714" i="6"/>
  <c r="E1713" i="6"/>
  <c r="E1712" i="6"/>
  <c r="E1711" i="6"/>
  <c r="E1710" i="6"/>
  <c r="E1709" i="6"/>
  <c r="E1708" i="6"/>
  <c r="E1707" i="6"/>
  <c r="E1706" i="6"/>
  <c r="E1705" i="6"/>
  <c r="E1704" i="6"/>
  <c r="E1703" i="6"/>
  <c r="E1702" i="6"/>
  <c r="E1701" i="6"/>
  <c r="E1700" i="6"/>
  <c r="E1699" i="6"/>
  <c r="E1698" i="6"/>
  <c r="E1697" i="6"/>
  <c r="E1696" i="6"/>
  <c r="E1695" i="6"/>
  <c r="E1694" i="6"/>
  <c r="E1693" i="6"/>
  <c r="E1692" i="6"/>
  <c r="E1691" i="6"/>
  <c r="E1690" i="6"/>
  <c r="E1689" i="6"/>
  <c r="E1688" i="6"/>
  <c r="E1687" i="6"/>
  <c r="E1686" i="6"/>
  <c r="E1685" i="6"/>
  <c r="E1684" i="6"/>
  <c r="E1683" i="6"/>
  <c r="E1682" i="6"/>
  <c r="E1681" i="6"/>
  <c r="E1680" i="6"/>
  <c r="E1679" i="6"/>
  <c r="E1678" i="6"/>
  <c r="E1677" i="6"/>
  <c r="E1676" i="6"/>
  <c r="E1675" i="6"/>
  <c r="E1674" i="6"/>
  <c r="E1673" i="6"/>
  <c r="E1672" i="6"/>
  <c r="E1671" i="6"/>
  <c r="E1670" i="6"/>
  <c r="E1669" i="6"/>
  <c r="E1668" i="6"/>
  <c r="E1667" i="6"/>
  <c r="E1666" i="6"/>
  <c r="E1665" i="6"/>
  <c r="E1664" i="6"/>
  <c r="E1663" i="6"/>
  <c r="E1662" i="6"/>
  <c r="E1661" i="6"/>
  <c r="E1660" i="6"/>
  <c r="E1659" i="6"/>
  <c r="E1658" i="6"/>
  <c r="E1657" i="6"/>
  <c r="E1656" i="6"/>
  <c r="E1655" i="6"/>
  <c r="E1654" i="6"/>
  <c r="E1653" i="6"/>
  <c r="E1652" i="6"/>
  <c r="E1651" i="6"/>
  <c r="E1650" i="6"/>
  <c r="E1649" i="6"/>
  <c r="E1648" i="6"/>
  <c r="E1647" i="6"/>
  <c r="E1646" i="6"/>
  <c r="E1645" i="6"/>
  <c r="E1644" i="6"/>
  <c r="E1643" i="6"/>
  <c r="E1642" i="6"/>
  <c r="E1641" i="6"/>
  <c r="E1640" i="6"/>
  <c r="E1639" i="6"/>
  <c r="E1638" i="6"/>
  <c r="E1637" i="6"/>
  <c r="E1636" i="6"/>
  <c r="E1635" i="6"/>
  <c r="E1634" i="6"/>
  <c r="E1633" i="6"/>
  <c r="E1632" i="6"/>
  <c r="E1631" i="6"/>
  <c r="E1630" i="6"/>
  <c r="E1629" i="6"/>
  <c r="E1628" i="6"/>
  <c r="E1627" i="6"/>
  <c r="E1626" i="6"/>
  <c r="E1625" i="6"/>
  <c r="E1624" i="6"/>
  <c r="E1623" i="6"/>
  <c r="E1622" i="6"/>
  <c r="E1621" i="6"/>
  <c r="E1620" i="6"/>
  <c r="E1619" i="6"/>
  <c r="E1618" i="6"/>
  <c r="E1617" i="6"/>
  <c r="E1616" i="6"/>
  <c r="E1615" i="6"/>
  <c r="E1614" i="6"/>
  <c r="E1613" i="6"/>
  <c r="E1612" i="6"/>
  <c r="E1611" i="6"/>
  <c r="E1610" i="6"/>
  <c r="E1609" i="6"/>
  <c r="E1608" i="6"/>
  <c r="E1607" i="6"/>
  <c r="E1606" i="6"/>
  <c r="E1605" i="6"/>
  <c r="E1604" i="6"/>
  <c r="E1603" i="6"/>
  <c r="E1602" i="6"/>
  <c r="E1601" i="6"/>
  <c r="E1600" i="6"/>
  <c r="E1599" i="6"/>
  <c r="E1598" i="6"/>
  <c r="E1597" i="6"/>
  <c r="E1596" i="6"/>
  <c r="E1595" i="6"/>
  <c r="E1594" i="6"/>
  <c r="E1593" i="6"/>
  <c r="E1592" i="6"/>
  <c r="E1591" i="6"/>
  <c r="E1590" i="6"/>
  <c r="E1589" i="6"/>
  <c r="E1588" i="6"/>
  <c r="E1587" i="6"/>
  <c r="E1586" i="6"/>
  <c r="E1585" i="6"/>
  <c r="E1584" i="6"/>
  <c r="E1583" i="6"/>
  <c r="E1582" i="6"/>
  <c r="E1581" i="6"/>
  <c r="E1580" i="6"/>
  <c r="E1579" i="6"/>
  <c r="E1578" i="6"/>
  <c r="E1577" i="6"/>
  <c r="E1576" i="6"/>
  <c r="E1575" i="6"/>
  <c r="E1574" i="6"/>
  <c r="E1573" i="6"/>
  <c r="E1572" i="6"/>
  <c r="E1571" i="6"/>
  <c r="E1570" i="6"/>
  <c r="E1569" i="6"/>
  <c r="E1568" i="6"/>
  <c r="E1567" i="6"/>
  <c r="E1566" i="6"/>
  <c r="E1565" i="6"/>
  <c r="E1564" i="6"/>
  <c r="E1563" i="6"/>
  <c r="E1562" i="6"/>
  <c r="E1561" i="6"/>
  <c r="E1560" i="6"/>
  <c r="E1559" i="6"/>
  <c r="E1558" i="6"/>
  <c r="E1557" i="6"/>
  <c r="E1556" i="6"/>
  <c r="E1555" i="6"/>
  <c r="E1554" i="6"/>
  <c r="E1553" i="6"/>
  <c r="E1552" i="6"/>
  <c r="E1551" i="6"/>
  <c r="E1550" i="6"/>
  <c r="E1549" i="6"/>
  <c r="E1548" i="6"/>
  <c r="E1547" i="6"/>
  <c r="E1546" i="6"/>
  <c r="E1545" i="6"/>
  <c r="E1544" i="6"/>
  <c r="E1543" i="6"/>
  <c r="E1542" i="6"/>
  <c r="E1541" i="6"/>
  <c r="E1540" i="6"/>
  <c r="E1539" i="6"/>
  <c r="E1538" i="6"/>
  <c r="E1537" i="6"/>
  <c r="E1536" i="6"/>
  <c r="E1535" i="6"/>
  <c r="E1534" i="6"/>
  <c r="E1533" i="6"/>
  <c r="E1532" i="6"/>
  <c r="E1531" i="6"/>
  <c r="E1530" i="6"/>
  <c r="E1529" i="6"/>
  <c r="E1528" i="6"/>
  <c r="E1527" i="6"/>
  <c r="E1526" i="6"/>
  <c r="E1525" i="6"/>
  <c r="E1524" i="6"/>
  <c r="E1523" i="6"/>
  <c r="E1522" i="6"/>
  <c r="E1521" i="6"/>
  <c r="E1520" i="6"/>
  <c r="E1519" i="6"/>
  <c r="E1518" i="6"/>
  <c r="E1517" i="6"/>
  <c r="E1516" i="6"/>
  <c r="E1515" i="6"/>
  <c r="E1514" i="6"/>
  <c r="E1513" i="6"/>
  <c r="E1512" i="6"/>
  <c r="E1511" i="6"/>
  <c r="E1510" i="6"/>
  <c r="E1509" i="6"/>
  <c r="E1508" i="6"/>
  <c r="E1507" i="6"/>
  <c r="E1506" i="6"/>
  <c r="E1505" i="6"/>
  <c r="E1504" i="6"/>
  <c r="E1503" i="6"/>
  <c r="E1502" i="6"/>
  <c r="E1501" i="6"/>
  <c r="E1500" i="6"/>
  <c r="E1499" i="6"/>
  <c r="E1498" i="6"/>
  <c r="E1497" i="6"/>
  <c r="E1496" i="6"/>
  <c r="E1495" i="6"/>
  <c r="E1494" i="6"/>
  <c r="E1493" i="6"/>
  <c r="E1492" i="6"/>
  <c r="E1491" i="6"/>
  <c r="E1490" i="6"/>
  <c r="E1489" i="6"/>
  <c r="E1488" i="6"/>
  <c r="E1487" i="6"/>
  <c r="E1486" i="6"/>
  <c r="E1485" i="6"/>
  <c r="E1484" i="6"/>
  <c r="E1483" i="6"/>
  <c r="E1482" i="6"/>
  <c r="E1481" i="6"/>
  <c r="E1480" i="6"/>
  <c r="E1479" i="6"/>
  <c r="E1478" i="6"/>
  <c r="E1477" i="6"/>
  <c r="E1476" i="6"/>
  <c r="E1475" i="6"/>
  <c r="E1474" i="6"/>
  <c r="E1473" i="6"/>
  <c r="E1472" i="6"/>
  <c r="E1471" i="6"/>
  <c r="E1470" i="6"/>
  <c r="E1469" i="6"/>
  <c r="E1468" i="6"/>
  <c r="E1467" i="6"/>
  <c r="E1466" i="6"/>
  <c r="E1465" i="6"/>
  <c r="E1464" i="6"/>
  <c r="E1463" i="6"/>
  <c r="E1462" i="6"/>
  <c r="E1461" i="6"/>
  <c r="E1460" i="6"/>
  <c r="E1459" i="6"/>
  <c r="E1458" i="6"/>
  <c r="E1457" i="6"/>
  <c r="E1456" i="6"/>
  <c r="E1455" i="6"/>
  <c r="E1454" i="6"/>
  <c r="E1453" i="6"/>
  <c r="E1452" i="6"/>
  <c r="E1451" i="6"/>
  <c r="E1450" i="6"/>
  <c r="E1449" i="6"/>
  <c r="E1448" i="6"/>
  <c r="E1447" i="6"/>
  <c r="E1446" i="6"/>
  <c r="E1445" i="6"/>
  <c r="E1444" i="6"/>
  <c r="E1443" i="6"/>
  <c r="E1442" i="6"/>
  <c r="E1441" i="6"/>
  <c r="E1440" i="6"/>
  <c r="E1439" i="6"/>
  <c r="E1438" i="6"/>
  <c r="E1437" i="6"/>
  <c r="E1436" i="6"/>
  <c r="E1435" i="6"/>
  <c r="E1434" i="6"/>
  <c r="E1433" i="6"/>
  <c r="E1432" i="6"/>
  <c r="E1431" i="6"/>
  <c r="E1430" i="6"/>
  <c r="E1429" i="6"/>
  <c r="E1428" i="6"/>
  <c r="E1427" i="6"/>
  <c r="E1426" i="6"/>
  <c r="E1425" i="6"/>
  <c r="E1424" i="6"/>
  <c r="E1423" i="6"/>
  <c r="E1422" i="6"/>
  <c r="E1421" i="6"/>
  <c r="E1420" i="6"/>
  <c r="E1419" i="6"/>
  <c r="E1418" i="6"/>
  <c r="E1417" i="6"/>
  <c r="E1416" i="6"/>
  <c r="E1415" i="6"/>
  <c r="E1414" i="6"/>
  <c r="E1413" i="6"/>
  <c r="E1412" i="6"/>
  <c r="E1411" i="6"/>
  <c r="E1410" i="6"/>
  <c r="E1409" i="6"/>
  <c r="E1408" i="6"/>
  <c r="E1407" i="6"/>
  <c r="E1406" i="6"/>
  <c r="E1405" i="6"/>
  <c r="E1404" i="6"/>
  <c r="E1403" i="6"/>
  <c r="E1402" i="6"/>
  <c r="E1401" i="6"/>
  <c r="E1400" i="6"/>
  <c r="E1399" i="6"/>
  <c r="E1398" i="6"/>
  <c r="E1397" i="6"/>
  <c r="E1396" i="6"/>
  <c r="E1395" i="6"/>
  <c r="E1394" i="6"/>
  <c r="E1393" i="6"/>
  <c r="E1392" i="6"/>
  <c r="E1391" i="6"/>
  <c r="E1390" i="6"/>
  <c r="E1389" i="6"/>
  <c r="E1388" i="6"/>
  <c r="E1387" i="6"/>
  <c r="E1386" i="6"/>
  <c r="E1385" i="6"/>
  <c r="E1384" i="6"/>
  <c r="E1383" i="6"/>
  <c r="E1382" i="6"/>
  <c r="E1381" i="6"/>
  <c r="E1380" i="6"/>
  <c r="E1379" i="6"/>
  <c r="E1378" i="6"/>
  <c r="E1377" i="6"/>
  <c r="E1376" i="6"/>
  <c r="E1375" i="6"/>
  <c r="E1374" i="6"/>
  <c r="E1373" i="6"/>
  <c r="E1372" i="6"/>
  <c r="E1371" i="6"/>
  <c r="E1370" i="6"/>
  <c r="E1369" i="6"/>
  <c r="E1368" i="6"/>
  <c r="E1367" i="6"/>
  <c r="E1366" i="6"/>
  <c r="E1365" i="6"/>
  <c r="E1364" i="6"/>
  <c r="E1363" i="6"/>
  <c r="E1362" i="6"/>
  <c r="E1361" i="6"/>
  <c r="E1360" i="6"/>
  <c r="E1359" i="6"/>
  <c r="E1358" i="6"/>
  <c r="E1357" i="6"/>
  <c r="E1356" i="6"/>
  <c r="E1355" i="6"/>
  <c r="E1354" i="6"/>
  <c r="E1353" i="6"/>
  <c r="E1352" i="6"/>
  <c r="E1351" i="6"/>
  <c r="E1350" i="6"/>
  <c r="E1349" i="6"/>
  <c r="E1348" i="6"/>
  <c r="E1347" i="6"/>
  <c r="E1346" i="6"/>
  <c r="E1345" i="6"/>
  <c r="E1344" i="6"/>
  <c r="E1343" i="6"/>
  <c r="E1342" i="6"/>
  <c r="E1341" i="6"/>
  <c r="E1340" i="6"/>
  <c r="E1339" i="6"/>
  <c r="E1338" i="6"/>
  <c r="E1337" i="6"/>
  <c r="E1336" i="6"/>
  <c r="E1335" i="6"/>
  <c r="E1334" i="6"/>
  <c r="E1333" i="6"/>
  <c r="E1332" i="6"/>
  <c r="E1331" i="6"/>
  <c r="E1330" i="6"/>
  <c r="E1329" i="6"/>
  <c r="E1328" i="6"/>
  <c r="E1327" i="6"/>
  <c r="E1326" i="6"/>
  <c r="E1325" i="6"/>
  <c r="E1324" i="6"/>
  <c r="E1323" i="6"/>
  <c r="E1322" i="6"/>
  <c r="E1321" i="6"/>
  <c r="E1320" i="6"/>
  <c r="E1319" i="6"/>
  <c r="E1318" i="6"/>
  <c r="E1317" i="6"/>
  <c r="E1316" i="6"/>
  <c r="E1315" i="6"/>
  <c r="E1314" i="6"/>
  <c r="E1313" i="6"/>
  <c r="E1312" i="6"/>
  <c r="E1311" i="6"/>
  <c r="E1310" i="6"/>
  <c r="E1309" i="6"/>
  <c r="E1308" i="6"/>
  <c r="E1307" i="6"/>
  <c r="E1306" i="6"/>
  <c r="E1305" i="6"/>
  <c r="E1304" i="6"/>
  <c r="E1303" i="6"/>
  <c r="E1302" i="6"/>
  <c r="E1301" i="6"/>
  <c r="E1300" i="6"/>
  <c r="E1299" i="6"/>
  <c r="E1298" i="6"/>
  <c r="E1297" i="6"/>
  <c r="E1296" i="6"/>
  <c r="E1295" i="6"/>
  <c r="E1294" i="6"/>
  <c r="E1293" i="6"/>
  <c r="E1292" i="6"/>
  <c r="E1291" i="6"/>
  <c r="E1290" i="6"/>
  <c r="E1289" i="6"/>
  <c r="E1288" i="6"/>
  <c r="E1287" i="6"/>
  <c r="E1286" i="6"/>
  <c r="E1285" i="6"/>
  <c r="E1284" i="6"/>
  <c r="E1283" i="6"/>
  <c r="E1282" i="6"/>
  <c r="E1281" i="6"/>
  <c r="E1280" i="6"/>
  <c r="E1279" i="6"/>
  <c r="E1278" i="6"/>
  <c r="E1277" i="6"/>
  <c r="E1276" i="6"/>
  <c r="E1275" i="6"/>
  <c r="E1274" i="6"/>
  <c r="E1273" i="6"/>
  <c r="E1272" i="6"/>
  <c r="E1271" i="6"/>
  <c r="E1270" i="6"/>
  <c r="E1269" i="6"/>
  <c r="E1268" i="6"/>
  <c r="E1267" i="6"/>
  <c r="E1266" i="6"/>
  <c r="E1265" i="6"/>
  <c r="E1264" i="6"/>
  <c r="E1263" i="6"/>
  <c r="E1262" i="6"/>
  <c r="E1261" i="6"/>
  <c r="E1260" i="6"/>
  <c r="E1259" i="6"/>
  <c r="E1258" i="6"/>
  <c r="E1257" i="6"/>
  <c r="E1256" i="6"/>
  <c r="E1255" i="6"/>
  <c r="E1254" i="6"/>
  <c r="E1253" i="6"/>
  <c r="E1252" i="6"/>
  <c r="E1251" i="6"/>
  <c r="E1250" i="6"/>
  <c r="E1249" i="6"/>
  <c r="E1248" i="6"/>
  <c r="E1247" i="6"/>
  <c r="E1246" i="6"/>
  <c r="E1245" i="6"/>
  <c r="E1244" i="6"/>
  <c r="E1243" i="6"/>
  <c r="E1242" i="6"/>
  <c r="E1241" i="6"/>
  <c r="E1240" i="6"/>
  <c r="E1239" i="6"/>
  <c r="E1238" i="6"/>
  <c r="E1237" i="6"/>
  <c r="E1236" i="6"/>
  <c r="E1235" i="6"/>
  <c r="E1234" i="6"/>
  <c r="E1233" i="6"/>
  <c r="E1232" i="6"/>
  <c r="E1231" i="6"/>
  <c r="E1230" i="6"/>
  <c r="E1229" i="6"/>
  <c r="E1228" i="6"/>
  <c r="E1227" i="6"/>
  <c r="E1226" i="6"/>
  <c r="E1225" i="6"/>
  <c r="E1224" i="6"/>
  <c r="E1223" i="6"/>
  <c r="E1222" i="6"/>
  <c r="E1221" i="6"/>
  <c r="E1220" i="6"/>
  <c r="E1219" i="6"/>
  <c r="E1218" i="6"/>
  <c r="E1217" i="6"/>
  <c r="E1216" i="6"/>
  <c r="E1215" i="6"/>
  <c r="E1214" i="6"/>
  <c r="E1213" i="6"/>
  <c r="E1212" i="6"/>
  <c r="E1211" i="6"/>
  <c r="E1210" i="6"/>
  <c r="E1209" i="6"/>
  <c r="E1208" i="6"/>
  <c r="E1207" i="6"/>
  <c r="E1206" i="6"/>
  <c r="E1205" i="6"/>
  <c r="E1204" i="6"/>
  <c r="E1203" i="6"/>
  <c r="E1202" i="6"/>
  <c r="E1201" i="6"/>
  <c r="E1200" i="6"/>
  <c r="E1199" i="6"/>
  <c r="E1198" i="6"/>
  <c r="E1197" i="6"/>
  <c r="E1196" i="6"/>
  <c r="E1195" i="6"/>
  <c r="E1194" i="6"/>
  <c r="E1193" i="6"/>
  <c r="E1192" i="6"/>
  <c r="E1191" i="6"/>
  <c r="E1190" i="6"/>
  <c r="E1189" i="6"/>
  <c r="E1188" i="6"/>
  <c r="E1187" i="6"/>
  <c r="E1186" i="6"/>
  <c r="E1185" i="6"/>
  <c r="E1184" i="6"/>
  <c r="E1183" i="6"/>
  <c r="E1182" i="6"/>
  <c r="E1181" i="6"/>
  <c r="E1180" i="6"/>
  <c r="E1179" i="6"/>
  <c r="E1178" i="6"/>
  <c r="E1177" i="6"/>
  <c r="E1176" i="6"/>
  <c r="E1175" i="6"/>
  <c r="E1174" i="6"/>
  <c r="E1173" i="6"/>
  <c r="E1172" i="6"/>
  <c r="E1171" i="6"/>
  <c r="E1170" i="6"/>
  <c r="E1169" i="6"/>
  <c r="E1168" i="6"/>
  <c r="E1167" i="6"/>
  <c r="E1166" i="6"/>
  <c r="E1165" i="6"/>
  <c r="E1164" i="6"/>
  <c r="E1163" i="6"/>
  <c r="E1162" i="6"/>
  <c r="E1161" i="6"/>
  <c r="E1160" i="6"/>
  <c r="E1159" i="6"/>
  <c r="E1158" i="6"/>
  <c r="E1157" i="6"/>
  <c r="E1156" i="6"/>
  <c r="E1155" i="6"/>
  <c r="E1154" i="6"/>
  <c r="E1153" i="6"/>
  <c r="E1152" i="6"/>
  <c r="E1151" i="6"/>
  <c r="E1150" i="6"/>
  <c r="E1149" i="6"/>
  <c r="E1148" i="6"/>
  <c r="E1147" i="6"/>
  <c r="E1146" i="6"/>
  <c r="E1145" i="6"/>
  <c r="E1144" i="6"/>
  <c r="E1143" i="6"/>
  <c r="E1142" i="6"/>
  <c r="E1141" i="6"/>
  <c r="E1140" i="6"/>
  <c r="E1139" i="6"/>
  <c r="E1138" i="6"/>
  <c r="E1137" i="6"/>
  <c r="E1136" i="6"/>
  <c r="E1135" i="6"/>
  <c r="E1134" i="6"/>
  <c r="E1133" i="6"/>
  <c r="E1132" i="6"/>
  <c r="E1131" i="6"/>
  <c r="E1130" i="6"/>
  <c r="E1129" i="6"/>
  <c r="E1128" i="6"/>
  <c r="E1127" i="6"/>
  <c r="E1126" i="6"/>
  <c r="E1125" i="6"/>
  <c r="E1124" i="6"/>
  <c r="E1123" i="6"/>
  <c r="E1122" i="6"/>
  <c r="E1121" i="6"/>
  <c r="E1120" i="6"/>
  <c r="E1119" i="6"/>
  <c r="E1118" i="6"/>
  <c r="E1117" i="6"/>
  <c r="E1116" i="6"/>
  <c r="E1115" i="6"/>
  <c r="E1114" i="6"/>
  <c r="E1113" i="6"/>
  <c r="E1112" i="6"/>
  <c r="E1111" i="6"/>
  <c r="E1110" i="6"/>
  <c r="E1109" i="6"/>
  <c r="E1108" i="6"/>
  <c r="E1107" i="6"/>
  <c r="E1106" i="6"/>
  <c r="E1105" i="6"/>
  <c r="E1104" i="6"/>
  <c r="E1103" i="6"/>
  <c r="E1102" i="6"/>
  <c r="E1101" i="6"/>
  <c r="E1100" i="6"/>
  <c r="E1099" i="6"/>
  <c r="E1098" i="6"/>
  <c r="E1097" i="6"/>
  <c r="E1096" i="6"/>
  <c r="E1095" i="6"/>
  <c r="E1094" i="6"/>
  <c r="E1093" i="6"/>
  <c r="E1092" i="6"/>
  <c r="E1091" i="6"/>
  <c r="E1090" i="6"/>
  <c r="E1089" i="6"/>
  <c r="E1088" i="6"/>
  <c r="E1087" i="6"/>
  <c r="E1086" i="6"/>
  <c r="E1085" i="6"/>
  <c r="E1084" i="6"/>
  <c r="E1083" i="6"/>
  <c r="E1082" i="6"/>
  <c r="E1081" i="6"/>
  <c r="E1080" i="6"/>
  <c r="E1079" i="6"/>
  <c r="E1078" i="6"/>
  <c r="E1077" i="6"/>
  <c r="E1076" i="6"/>
  <c r="E1075" i="6"/>
  <c r="E1074" i="6"/>
  <c r="E1073" i="6"/>
  <c r="E1072" i="6"/>
  <c r="E1071" i="6"/>
  <c r="E1070" i="6"/>
  <c r="E1069" i="6"/>
  <c r="E1068" i="6"/>
  <c r="E1067" i="6"/>
  <c r="E1066" i="6"/>
  <c r="E1065" i="6"/>
  <c r="E1064" i="6"/>
  <c r="E1063" i="6"/>
  <c r="E1062" i="6"/>
  <c r="E1061" i="6"/>
  <c r="E1060" i="6"/>
  <c r="E1059" i="6"/>
  <c r="E1058" i="6"/>
  <c r="E1057" i="6"/>
  <c r="E1056" i="6"/>
  <c r="E1055" i="6"/>
  <c r="E1054" i="6"/>
  <c r="E1053" i="6"/>
  <c r="E1052" i="6"/>
  <c r="E1051" i="6"/>
  <c r="E1050" i="6"/>
  <c r="E1049" i="6"/>
  <c r="E1048" i="6"/>
  <c r="E1047" i="6"/>
  <c r="E1046" i="6"/>
  <c r="E1045" i="6"/>
  <c r="E1044" i="6"/>
  <c r="E1043" i="6"/>
  <c r="E1042" i="6"/>
  <c r="E1041" i="6"/>
  <c r="E1040" i="6"/>
  <c r="E1039" i="6"/>
  <c r="E1038" i="6"/>
  <c r="E1037" i="6"/>
  <c r="E1036" i="6"/>
  <c r="E1035" i="6"/>
  <c r="E1034" i="6"/>
  <c r="E1033" i="6"/>
  <c r="E1032" i="6"/>
  <c r="E1031" i="6"/>
  <c r="E1030" i="6"/>
  <c r="E1029" i="6"/>
  <c r="E1028" i="6"/>
  <c r="E1027" i="6"/>
  <c r="E1026" i="6"/>
  <c r="E1025" i="6"/>
  <c r="E1024" i="6"/>
  <c r="E1023" i="6"/>
  <c r="E1022" i="6"/>
  <c r="E1021" i="6"/>
  <c r="E1020" i="6"/>
  <c r="E1019" i="6"/>
  <c r="E1018" i="6"/>
  <c r="E1017" i="6"/>
  <c r="E1016" i="6"/>
  <c r="E1015" i="6"/>
  <c r="E1014" i="6"/>
  <c r="E1013" i="6"/>
  <c r="E1012" i="6"/>
  <c r="E1011" i="6"/>
  <c r="E1010" i="6"/>
  <c r="E1009" i="6"/>
  <c r="E1008" i="6"/>
  <c r="E1007" i="6"/>
  <c r="E1006" i="6"/>
  <c r="E1005" i="6"/>
  <c r="E1004" i="6"/>
  <c r="E1003" i="6"/>
  <c r="E1002" i="6"/>
  <c r="E1001" i="6"/>
  <c r="E1000" i="6"/>
  <c r="E999" i="6"/>
  <c r="E998" i="6"/>
  <c r="E997" i="6"/>
  <c r="E996" i="6"/>
  <c r="E995" i="6"/>
  <c r="E994" i="6"/>
  <c r="E993" i="6"/>
  <c r="E992" i="6"/>
  <c r="E991" i="6"/>
  <c r="E990" i="6"/>
  <c r="E989" i="6"/>
  <c r="E988" i="6"/>
  <c r="E987" i="6"/>
  <c r="E986" i="6"/>
  <c r="E985" i="6"/>
  <c r="E984" i="6"/>
  <c r="E983" i="6"/>
  <c r="E982" i="6"/>
  <c r="E981" i="6"/>
  <c r="E980" i="6"/>
  <c r="E979" i="6"/>
  <c r="E978" i="6"/>
  <c r="E977" i="6"/>
  <c r="E976" i="6"/>
  <c r="E975" i="6"/>
  <c r="E974" i="6"/>
  <c r="E973" i="6"/>
  <c r="E972" i="6"/>
  <c r="E971" i="6"/>
  <c r="E970" i="6"/>
  <c r="E969" i="6"/>
  <c r="E968" i="6"/>
  <c r="E967" i="6"/>
  <c r="E966" i="6"/>
  <c r="E965" i="6"/>
  <c r="E964" i="6"/>
  <c r="E963" i="6"/>
  <c r="E962" i="6"/>
  <c r="E961" i="6"/>
  <c r="E960" i="6"/>
  <c r="E959" i="6"/>
  <c r="E958" i="6"/>
  <c r="E957" i="6"/>
  <c r="E956" i="6"/>
  <c r="E955" i="6"/>
  <c r="E954" i="6"/>
  <c r="E953" i="6"/>
  <c r="E952" i="6"/>
  <c r="E951" i="6"/>
  <c r="E950" i="6"/>
  <c r="E949" i="6"/>
  <c r="E948" i="6"/>
  <c r="E947" i="6"/>
  <c r="E946" i="6"/>
  <c r="E945" i="6"/>
  <c r="E944" i="6"/>
  <c r="E943" i="6"/>
  <c r="E942" i="6"/>
  <c r="E941" i="6"/>
  <c r="E940" i="6"/>
  <c r="E939" i="6"/>
  <c r="E938" i="6"/>
  <c r="E937" i="6"/>
  <c r="E936" i="6"/>
  <c r="E935" i="6"/>
  <c r="E934" i="6"/>
  <c r="E933" i="6"/>
  <c r="E932" i="6"/>
  <c r="E931" i="6"/>
  <c r="E930" i="6"/>
  <c r="E929" i="6"/>
  <c r="E928" i="6"/>
  <c r="E927" i="6"/>
  <c r="E926" i="6"/>
  <c r="E925" i="6"/>
  <c r="E924" i="6"/>
  <c r="E923" i="6"/>
  <c r="E922" i="6"/>
  <c r="E921" i="6"/>
  <c r="E920" i="6"/>
  <c r="E919" i="6"/>
  <c r="E918" i="6"/>
  <c r="E917" i="6"/>
  <c r="E916" i="6"/>
  <c r="E915" i="6"/>
  <c r="E914" i="6"/>
  <c r="E913" i="6"/>
  <c r="E912" i="6"/>
  <c r="E911" i="6"/>
  <c r="E910" i="6"/>
  <c r="E909" i="6"/>
  <c r="E908" i="6"/>
  <c r="E907" i="6"/>
  <c r="E906" i="6"/>
  <c r="E905" i="6"/>
  <c r="E904" i="6"/>
  <c r="E903" i="6"/>
  <c r="E902" i="6"/>
  <c r="E901" i="6"/>
  <c r="E900" i="6"/>
  <c r="E899" i="6"/>
  <c r="E898" i="6"/>
  <c r="E897" i="6"/>
  <c r="E896" i="6"/>
  <c r="E895" i="6"/>
  <c r="E894" i="6"/>
  <c r="E893" i="6"/>
  <c r="E892" i="6"/>
  <c r="E891" i="6"/>
  <c r="E890" i="6"/>
  <c r="E889" i="6"/>
  <c r="E888" i="6"/>
  <c r="E887" i="6"/>
  <c r="E886" i="6"/>
  <c r="E885" i="6"/>
  <c r="E884" i="6"/>
  <c r="E883" i="6"/>
  <c r="E882" i="6"/>
  <c r="E881" i="6"/>
  <c r="E880" i="6"/>
  <c r="E879" i="6"/>
  <c r="E878" i="6"/>
  <c r="E877" i="6"/>
  <c r="E876" i="6"/>
  <c r="E875" i="6"/>
  <c r="E874" i="6"/>
  <c r="E873" i="6"/>
  <c r="E872" i="6"/>
  <c r="E871" i="6"/>
  <c r="E870" i="6"/>
  <c r="E869" i="6"/>
  <c r="E868" i="6"/>
  <c r="E867" i="6"/>
  <c r="E866" i="6"/>
  <c r="E865" i="6"/>
  <c r="E864" i="6"/>
  <c r="E863" i="6"/>
  <c r="E862" i="6"/>
  <c r="E861" i="6"/>
  <c r="E860" i="6"/>
  <c r="E859" i="6"/>
  <c r="E858" i="6"/>
  <c r="E857" i="6"/>
  <c r="E856" i="6"/>
  <c r="E855" i="6"/>
  <c r="E854" i="6"/>
  <c r="E853" i="6"/>
  <c r="E852" i="6"/>
  <c r="E851" i="6"/>
  <c r="E850" i="6"/>
  <c r="E849" i="6"/>
  <c r="E848" i="6"/>
  <c r="E847" i="6"/>
  <c r="E846" i="6"/>
  <c r="E845" i="6"/>
  <c r="E844" i="6"/>
  <c r="E843" i="6"/>
  <c r="E842" i="6"/>
  <c r="E841" i="6"/>
  <c r="E840" i="6"/>
  <c r="E839" i="6"/>
  <c r="E838" i="6"/>
  <c r="E837" i="6"/>
  <c r="E836" i="6"/>
  <c r="E835" i="6"/>
  <c r="E834" i="6"/>
  <c r="E833" i="6"/>
  <c r="E832" i="6"/>
  <c r="E831" i="6"/>
  <c r="E830" i="6"/>
  <c r="E829" i="6"/>
  <c r="E828" i="6"/>
  <c r="E827" i="6"/>
  <c r="E826" i="6"/>
  <c r="E825" i="6"/>
  <c r="E824" i="6"/>
  <c r="E823" i="6"/>
  <c r="E822" i="6"/>
  <c r="E821" i="6"/>
  <c r="E820" i="6"/>
  <c r="E819" i="6"/>
  <c r="E818" i="6"/>
  <c r="E817" i="6"/>
  <c r="E816" i="6"/>
  <c r="E815" i="6"/>
  <c r="E814" i="6"/>
  <c r="E813" i="6"/>
  <c r="E812" i="6"/>
  <c r="E811" i="6"/>
  <c r="E810" i="6"/>
  <c r="E809" i="6"/>
  <c r="E808" i="6"/>
  <c r="E807" i="6"/>
  <c r="E806" i="6"/>
  <c r="E805" i="6"/>
  <c r="E804" i="6"/>
  <c r="E803" i="6"/>
  <c r="E802" i="6"/>
  <c r="E801" i="6"/>
  <c r="E800" i="6"/>
  <c r="E799" i="6"/>
  <c r="E798" i="6"/>
  <c r="E797" i="6"/>
  <c r="E796" i="6"/>
  <c r="E795" i="6"/>
  <c r="E794" i="6"/>
  <c r="E793" i="6"/>
  <c r="E792" i="6"/>
  <c r="E791" i="6"/>
  <c r="E790" i="6"/>
  <c r="E789" i="6"/>
  <c r="E788" i="6"/>
  <c r="E787" i="6"/>
  <c r="E786" i="6"/>
  <c r="E785" i="6"/>
  <c r="E784" i="6"/>
  <c r="E783" i="6"/>
  <c r="E782" i="6"/>
  <c r="E781" i="6"/>
  <c r="E780" i="6"/>
  <c r="E779" i="6"/>
  <c r="E778" i="6"/>
  <c r="E777" i="6"/>
  <c r="E776" i="6"/>
  <c r="E775" i="6"/>
  <c r="E774" i="6"/>
  <c r="E773" i="6"/>
  <c r="E772" i="6"/>
  <c r="E771" i="6"/>
  <c r="E770" i="6"/>
  <c r="E769" i="6"/>
  <c r="E768" i="6"/>
  <c r="E767" i="6"/>
  <c r="E766" i="6"/>
  <c r="E765" i="6"/>
  <c r="E764" i="6"/>
  <c r="E763" i="6"/>
  <c r="E762" i="6"/>
  <c r="E761" i="6"/>
  <c r="E760" i="6"/>
  <c r="E759" i="6"/>
  <c r="E758" i="6"/>
  <c r="E757" i="6"/>
  <c r="E756" i="6"/>
  <c r="E755" i="6"/>
  <c r="E754" i="6"/>
  <c r="E753" i="6"/>
  <c r="E752" i="6"/>
  <c r="E751" i="6"/>
  <c r="E750" i="6"/>
  <c r="E749" i="6"/>
  <c r="E748" i="6"/>
  <c r="E747" i="6"/>
  <c r="E746" i="6"/>
  <c r="E745" i="6"/>
  <c r="E744" i="6"/>
  <c r="E743" i="6"/>
  <c r="E742" i="6"/>
  <c r="E741" i="6"/>
  <c r="E740" i="6"/>
  <c r="E739" i="6"/>
  <c r="E738" i="6"/>
  <c r="E737" i="6"/>
  <c r="E736" i="6"/>
  <c r="E735" i="6"/>
  <c r="E734" i="6"/>
  <c r="E733" i="6"/>
  <c r="E732" i="6"/>
  <c r="E731" i="6"/>
  <c r="E730" i="6"/>
  <c r="E729" i="6"/>
  <c r="E728" i="6"/>
  <c r="E727" i="6"/>
  <c r="E726" i="6"/>
  <c r="E725" i="6"/>
  <c r="E724" i="6"/>
  <c r="E723" i="6"/>
  <c r="E722" i="6"/>
  <c r="E721" i="6"/>
  <c r="E720" i="6"/>
  <c r="E719" i="6"/>
  <c r="E718" i="6"/>
  <c r="E717" i="6"/>
  <c r="E716" i="6"/>
  <c r="E715" i="6"/>
  <c r="E714" i="6"/>
  <c r="E713" i="6"/>
  <c r="E712" i="6"/>
  <c r="E711" i="6"/>
  <c r="E710" i="6"/>
  <c r="E709" i="6"/>
  <c r="E708" i="6"/>
  <c r="E707" i="6"/>
  <c r="E706" i="6"/>
  <c r="E705" i="6"/>
  <c r="E704" i="6"/>
  <c r="E703" i="6"/>
  <c r="E702" i="6"/>
  <c r="E701" i="6"/>
  <c r="E700" i="6"/>
  <c r="E699" i="6"/>
  <c r="E698" i="6"/>
  <c r="E697" i="6"/>
  <c r="E696" i="6"/>
  <c r="E695" i="6"/>
  <c r="E694" i="6"/>
  <c r="E693" i="6"/>
  <c r="E692" i="6"/>
  <c r="E691" i="6"/>
  <c r="E690" i="6"/>
  <c r="E689" i="6"/>
  <c r="E688" i="6"/>
  <c r="E687" i="6"/>
  <c r="E686" i="6"/>
  <c r="E685" i="6"/>
  <c r="E684" i="6"/>
  <c r="E683" i="6"/>
  <c r="E682" i="6"/>
  <c r="E681" i="6"/>
  <c r="E680" i="6"/>
  <c r="E679" i="6"/>
  <c r="E678" i="6"/>
  <c r="E677" i="6"/>
  <c r="E676" i="6"/>
  <c r="E675" i="6"/>
  <c r="E674" i="6"/>
  <c r="E673" i="6"/>
  <c r="E672" i="6"/>
  <c r="E671" i="6"/>
  <c r="E670" i="6"/>
  <c r="E669" i="6"/>
  <c r="E668" i="6"/>
  <c r="E667" i="6"/>
  <c r="E666" i="6"/>
  <c r="E665" i="6"/>
  <c r="E664" i="6"/>
  <c r="E663" i="6"/>
  <c r="E662" i="6"/>
  <c r="E661" i="6"/>
  <c r="E660" i="6"/>
  <c r="E659" i="6"/>
  <c r="E658" i="6"/>
  <c r="E657" i="6"/>
  <c r="E656" i="6"/>
  <c r="E655" i="6"/>
  <c r="E654" i="6"/>
  <c r="E653" i="6"/>
  <c r="E652" i="6"/>
  <c r="E651" i="6"/>
  <c r="E650" i="6"/>
  <c r="E649" i="6"/>
  <c r="E648" i="6"/>
  <c r="E647" i="6"/>
  <c r="E646" i="6"/>
  <c r="E645" i="6"/>
  <c r="E644" i="6"/>
  <c r="E643" i="6"/>
  <c r="E642" i="6"/>
  <c r="E641" i="6"/>
  <c r="E640" i="6"/>
  <c r="E639" i="6"/>
  <c r="E638" i="6"/>
  <c r="E637" i="6"/>
  <c r="E636" i="6"/>
  <c r="E635" i="6"/>
  <c r="E634" i="6"/>
  <c r="E633" i="6"/>
  <c r="E632" i="6"/>
  <c r="E631" i="6"/>
  <c r="E630" i="6"/>
  <c r="E629" i="6"/>
  <c r="E628" i="6"/>
  <c r="E627" i="6"/>
  <c r="E626" i="6"/>
  <c r="E625" i="6"/>
  <c r="E624" i="6"/>
  <c r="E623" i="6"/>
  <c r="E622" i="6"/>
  <c r="E621" i="6"/>
  <c r="E620" i="6"/>
  <c r="E619" i="6"/>
  <c r="E618" i="6"/>
  <c r="E617" i="6"/>
  <c r="E616" i="6"/>
  <c r="E615" i="6"/>
  <c r="E614" i="6"/>
  <c r="E613" i="6"/>
  <c r="E612" i="6"/>
  <c r="E611" i="6"/>
  <c r="E610" i="6"/>
  <c r="E609" i="6"/>
  <c r="E608" i="6"/>
  <c r="E607" i="6"/>
  <c r="E606" i="6"/>
  <c r="E605" i="6"/>
  <c r="E604" i="6"/>
  <c r="E603" i="6"/>
  <c r="E602" i="6"/>
  <c r="E601" i="6"/>
  <c r="E600" i="6"/>
  <c r="E599" i="6"/>
  <c r="E598" i="6"/>
  <c r="E597" i="6"/>
  <c r="E596" i="6"/>
  <c r="E595" i="6"/>
  <c r="E594" i="6"/>
  <c r="E593" i="6"/>
  <c r="E592" i="6"/>
  <c r="E591" i="6"/>
  <c r="E590" i="6"/>
  <c r="E589" i="6"/>
  <c r="E588" i="6"/>
  <c r="E587" i="6"/>
  <c r="E586" i="6"/>
  <c r="E585" i="6"/>
  <c r="E584" i="6"/>
  <c r="E583" i="6"/>
  <c r="E582" i="6"/>
  <c r="E581" i="6"/>
  <c r="E580" i="6"/>
  <c r="E579" i="6"/>
  <c r="E578" i="6"/>
  <c r="E577" i="6"/>
  <c r="E576" i="6"/>
  <c r="E575" i="6"/>
  <c r="E574" i="6"/>
  <c r="E573" i="6"/>
  <c r="E572" i="6"/>
  <c r="E571" i="6"/>
  <c r="E570" i="6"/>
  <c r="E569" i="6"/>
  <c r="E568" i="6"/>
  <c r="E567" i="6"/>
  <c r="E566" i="6"/>
  <c r="E565" i="6"/>
  <c r="E564" i="6"/>
  <c r="E563" i="6"/>
  <c r="E562" i="6"/>
  <c r="E561" i="6"/>
  <c r="E560" i="6"/>
  <c r="E559" i="6"/>
  <c r="E558" i="6"/>
  <c r="E557" i="6"/>
  <c r="E556" i="6"/>
  <c r="E555" i="6"/>
  <c r="E554" i="6"/>
  <c r="E553" i="6"/>
  <c r="E552" i="6"/>
  <c r="E551" i="6"/>
  <c r="E550" i="6"/>
  <c r="E549" i="6"/>
  <c r="E548" i="6"/>
  <c r="E547" i="6"/>
  <c r="E546" i="6"/>
  <c r="E545" i="6"/>
  <c r="E544" i="6"/>
  <c r="E543" i="6"/>
  <c r="E542" i="6"/>
  <c r="E541" i="6"/>
  <c r="E540" i="6"/>
  <c r="E539" i="6"/>
  <c r="E538" i="6"/>
  <c r="E537" i="6"/>
  <c r="E536" i="6"/>
  <c r="E535" i="6"/>
  <c r="E534" i="6"/>
  <c r="E533" i="6"/>
  <c r="E532" i="6"/>
  <c r="E531" i="6"/>
  <c r="E530" i="6"/>
  <c r="E529" i="6"/>
  <c r="E528" i="6"/>
  <c r="E527" i="6"/>
  <c r="E526" i="6"/>
  <c r="E525" i="6"/>
  <c r="E524" i="6"/>
  <c r="E523" i="6"/>
  <c r="E522" i="6"/>
  <c r="E521" i="6"/>
  <c r="E520" i="6"/>
  <c r="E519" i="6"/>
  <c r="E518" i="6"/>
  <c r="E517" i="6"/>
  <c r="E516" i="6"/>
  <c r="E515" i="6"/>
  <c r="E514" i="6"/>
  <c r="E513" i="6"/>
  <c r="E512" i="6"/>
  <c r="E511" i="6"/>
  <c r="E510" i="6"/>
  <c r="E509" i="6"/>
  <c r="E508" i="6"/>
  <c r="E507" i="6"/>
  <c r="E506" i="6"/>
  <c r="E505" i="6"/>
  <c r="E504" i="6"/>
  <c r="E503" i="6"/>
  <c r="E502" i="6"/>
  <c r="E501" i="6"/>
  <c r="E500" i="6"/>
  <c r="E499" i="6"/>
  <c r="E498" i="6"/>
  <c r="E497" i="6"/>
  <c r="E496" i="6"/>
  <c r="E495" i="6"/>
  <c r="E494" i="6"/>
  <c r="E493" i="6"/>
  <c r="E492" i="6"/>
  <c r="E491" i="6"/>
  <c r="E490" i="6"/>
  <c r="E489" i="6"/>
  <c r="E488" i="6"/>
  <c r="E487" i="6"/>
  <c r="E486" i="6"/>
  <c r="E485" i="6"/>
  <c r="E484" i="6"/>
  <c r="E483" i="6"/>
  <c r="E482" i="6"/>
  <c r="E481" i="6"/>
  <c r="E480" i="6"/>
  <c r="E479" i="6"/>
  <c r="E478" i="6"/>
  <c r="E477" i="6"/>
  <c r="E476" i="6"/>
  <c r="E475" i="6"/>
  <c r="E474" i="6"/>
  <c r="E473" i="6"/>
  <c r="E472" i="6"/>
  <c r="E471" i="6"/>
  <c r="E470" i="6"/>
  <c r="E469" i="6"/>
  <c r="E468" i="6"/>
  <c r="E467" i="6"/>
  <c r="E466" i="6"/>
  <c r="E465" i="6"/>
  <c r="E464" i="6"/>
  <c r="E463" i="6"/>
  <c r="E462" i="6"/>
  <c r="E461" i="6"/>
  <c r="E460" i="6"/>
  <c r="E459" i="6"/>
  <c r="E458" i="6"/>
  <c r="E457" i="6"/>
  <c r="E456" i="6"/>
  <c r="E455" i="6"/>
  <c r="E454" i="6"/>
  <c r="E453" i="6"/>
  <c r="E452" i="6"/>
  <c r="E451" i="6"/>
  <c r="E450" i="6"/>
  <c r="E449" i="6"/>
  <c r="E448" i="6"/>
  <c r="E447" i="6"/>
  <c r="E446" i="6"/>
  <c r="E445" i="6"/>
  <c r="E444" i="6"/>
  <c r="E443" i="6"/>
  <c r="E442" i="6"/>
  <c r="E441" i="6"/>
  <c r="E440" i="6"/>
  <c r="E439" i="6"/>
  <c r="E438" i="6"/>
  <c r="E437" i="6"/>
  <c r="E436" i="6"/>
  <c r="E435" i="6"/>
  <c r="E434" i="6"/>
  <c r="E433" i="6"/>
  <c r="E432" i="6"/>
  <c r="E431" i="6"/>
  <c r="E430" i="6"/>
  <c r="E429" i="6"/>
  <c r="E428" i="6"/>
  <c r="E427" i="6"/>
  <c r="E426" i="6"/>
  <c r="E425" i="6"/>
  <c r="E424" i="6"/>
  <c r="E423" i="6"/>
  <c r="E422" i="6"/>
  <c r="E421" i="6"/>
  <c r="E420" i="6"/>
  <c r="E419" i="6"/>
  <c r="E418" i="6"/>
  <c r="E417" i="6"/>
  <c r="E416" i="6"/>
  <c r="E415" i="6"/>
  <c r="E414" i="6"/>
  <c r="E413" i="6"/>
  <c r="E412" i="6"/>
  <c r="E411" i="6"/>
  <c r="E410" i="6"/>
  <c r="E409" i="6"/>
  <c r="E408" i="6"/>
  <c r="E407" i="6"/>
  <c r="E406" i="6"/>
  <c r="E405" i="6"/>
  <c r="E404" i="6"/>
  <c r="E403" i="6"/>
  <c r="E402" i="6"/>
  <c r="E401" i="6"/>
  <c r="E400" i="6"/>
  <c r="E399" i="6"/>
  <c r="E398" i="6"/>
  <c r="E397" i="6"/>
  <c r="E396" i="6"/>
  <c r="E395" i="6"/>
  <c r="E394" i="6"/>
  <c r="E393" i="6"/>
  <c r="E392" i="6"/>
  <c r="E391" i="6"/>
  <c r="E390" i="6"/>
  <c r="E389" i="6"/>
  <c r="E388" i="6"/>
  <c r="E387" i="6"/>
  <c r="E386" i="6"/>
  <c r="E385" i="6"/>
  <c r="E384" i="6"/>
  <c r="E383" i="6"/>
  <c r="E382" i="6"/>
  <c r="E381" i="6"/>
  <c r="E380" i="6"/>
  <c r="E379" i="6"/>
  <c r="E378" i="6"/>
  <c r="E377" i="6"/>
  <c r="E376" i="6"/>
  <c r="E375" i="6"/>
  <c r="E374" i="6"/>
  <c r="E373" i="6"/>
  <c r="E372" i="6"/>
  <c r="E371" i="6"/>
  <c r="E370" i="6"/>
  <c r="E369" i="6"/>
  <c r="E368" i="6"/>
  <c r="E367" i="6"/>
  <c r="E366" i="6"/>
  <c r="E365" i="6"/>
  <c r="E364" i="6"/>
  <c r="E363" i="6"/>
  <c r="E362" i="6"/>
  <c r="E361" i="6"/>
  <c r="E360" i="6"/>
  <c r="E359" i="6"/>
  <c r="E358" i="6"/>
  <c r="E357" i="6"/>
  <c r="E356" i="6"/>
  <c r="E355" i="6"/>
  <c r="E354" i="6"/>
  <c r="E353" i="6"/>
  <c r="E352" i="6"/>
  <c r="E351" i="6"/>
  <c r="E350" i="6"/>
  <c r="E349" i="6"/>
  <c r="E348" i="6"/>
  <c r="E347" i="6"/>
  <c r="E346" i="6"/>
  <c r="E345" i="6"/>
  <c r="E344" i="6"/>
  <c r="E343" i="6"/>
  <c r="E342" i="6"/>
  <c r="E341" i="6"/>
  <c r="E340" i="6"/>
  <c r="E339" i="6"/>
  <c r="E338" i="6"/>
  <c r="E337" i="6"/>
  <c r="E336" i="6"/>
  <c r="E335" i="6"/>
  <c r="E334" i="6"/>
  <c r="E333" i="6"/>
  <c r="E332" i="6"/>
  <c r="E331" i="6"/>
  <c r="E330" i="6"/>
  <c r="E329" i="6"/>
  <c r="E328" i="6"/>
  <c r="E327" i="6"/>
  <c r="E326" i="6"/>
  <c r="E325" i="6"/>
  <c r="E324" i="6"/>
  <c r="E323" i="6"/>
  <c r="E322" i="6"/>
  <c r="E321" i="6"/>
  <c r="E320" i="6"/>
  <c r="E319" i="6"/>
  <c r="E318" i="6"/>
  <c r="E317" i="6"/>
  <c r="E316" i="6"/>
  <c r="E315" i="6"/>
  <c r="E314" i="6"/>
  <c r="E313" i="6"/>
  <c r="E312" i="6"/>
  <c r="E311" i="6"/>
  <c r="E310" i="6"/>
  <c r="E309" i="6"/>
  <c r="E308" i="6"/>
  <c r="E307" i="6"/>
  <c r="E306" i="6"/>
  <c r="E305" i="6"/>
  <c r="E304" i="6"/>
  <c r="E303" i="6"/>
  <c r="E302" i="6"/>
  <c r="E301" i="6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  <c r="N67" i="2"/>
  <c r="N61" i="2"/>
  <c r="N55" i="2"/>
  <c r="N49" i="2"/>
  <c r="N43" i="2"/>
  <c r="N37" i="2"/>
  <c r="N25" i="2"/>
  <c r="N19" i="2"/>
  <c r="N13" i="2"/>
  <c r="Z67" i="2"/>
  <c r="Z61" i="2"/>
  <c r="Z55" i="2"/>
  <c r="Z49" i="2"/>
  <c r="G37" i="4" s="1"/>
  <c r="I37" i="4" s="1"/>
  <c r="J37" i="4" s="1"/>
  <c r="Z43" i="2"/>
  <c r="Z37" i="2"/>
  <c r="G27" i="4" s="1"/>
  <c r="I27" i="4" s="1"/>
  <c r="J27" i="4" s="1"/>
  <c r="Z31" i="2"/>
  <c r="Z25" i="2"/>
  <c r="G17" i="4" s="1"/>
  <c r="I17" i="4" s="1"/>
  <c r="J17" i="4" s="1"/>
  <c r="Z19" i="2"/>
  <c r="Z13" i="2"/>
  <c r="G7" i="4" s="1"/>
  <c r="I7" i="4" s="1"/>
  <c r="X71" i="2"/>
  <c r="B56" i="4" s="1"/>
  <c r="X70" i="2"/>
  <c r="B55" i="4" s="1"/>
  <c r="X69" i="2"/>
  <c r="B54" i="4" s="1"/>
  <c r="X68" i="2"/>
  <c r="B53" i="4" s="1"/>
  <c r="X67" i="2"/>
  <c r="B52" i="4" s="1"/>
  <c r="X66" i="2"/>
  <c r="X65" i="2"/>
  <c r="B51" i="4" s="1"/>
  <c r="X64" i="2"/>
  <c r="B50" i="4" s="1"/>
  <c r="X63" i="2"/>
  <c r="B49" i="4" s="1"/>
  <c r="X62" i="2"/>
  <c r="B48" i="4" s="1"/>
  <c r="X61" i="2"/>
  <c r="B47" i="4" s="1"/>
  <c r="X60" i="2"/>
  <c r="X59" i="2"/>
  <c r="B46" i="4" s="1"/>
  <c r="X58" i="2"/>
  <c r="B45" i="4" s="1"/>
  <c r="X57" i="2"/>
  <c r="B44" i="4" s="1"/>
  <c r="X56" i="2"/>
  <c r="B43" i="4" s="1"/>
  <c r="X55" i="2"/>
  <c r="B42" i="4" s="1"/>
  <c r="X54" i="2"/>
  <c r="X53" i="2"/>
  <c r="B41" i="4" s="1"/>
  <c r="X52" i="2"/>
  <c r="B40" i="4" s="1"/>
  <c r="X51" i="2"/>
  <c r="B39" i="4" s="1"/>
  <c r="X50" i="2"/>
  <c r="B38" i="4" s="1"/>
  <c r="X49" i="2"/>
  <c r="B37" i="4" s="1"/>
  <c r="X48" i="2"/>
  <c r="X47" i="2"/>
  <c r="B36" i="4" s="1"/>
  <c r="X46" i="2"/>
  <c r="B35" i="4" s="1"/>
  <c r="X45" i="2"/>
  <c r="B34" i="4" s="1"/>
  <c r="X44" i="2"/>
  <c r="B33" i="4" s="1"/>
  <c r="X43" i="2"/>
  <c r="B32" i="4" s="1"/>
  <c r="X42" i="2"/>
  <c r="X41" i="2"/>
  <c r="B31" i="4" s="1"/>
  <c r="X40" i="2"/>
  <c r="B30" i="4" s="1"/>
  <c r="X39" i="2"/>
  <c r="B29" i="4" s="1"/>
  <c r="X38" i="2"/>
  <c r="B28" i="4" s="1"/>
  <c r="X37" i="2"/>
  <c r="B27" i="4" s="1"/>
  <c r="X36" i="2"/>
  <c r="X35" i="2"/>
  <c r="B26" i="4" s="1"/>
  <c r="X34" i="2"/>
  <c r="B25" i="4" s="1"/>
  <c r="X33" i="2"/>
  <c r="B24" i="4" s="1"/>
  <c r="X32" i="2"/>
  <c r="B23" i="4" s="1"/>
  <c r="X31" i="2"/>
  <c r="B22" i="4" s="1"/>
  <c r="X30" i="2"/>
  <c r="X29" i="2"/>
  <c r="B21" i="4" s="1"/>
  <c r="X28" i="2"/>
  <c r="B20" i="4" s="1"/>
  <c r="X27" i="2"/>
  <c r="B19" i="4" s="1"/>
  <c r="X26" i="2"/>
  <c r="B18" i="4" s="1"/>
  <c r="X25" i="2"/>
  <c r="B17" i="4" s="1"/>
  <c r="X24" i="2"/>
  <c r="X23" i="2"/>
  <c r="B16" i="4" s="1"/>
  <c r="X22" i="2"/>
  <c r="B15" i="4" s="1"/>
  <c r="X21" i="2"/>
  <c r="B14" i="4" s="1"/>
  <c r="X20" i="2"/>
  <c r="B13" i="4" s="1"/>
  <c r="X19" i="2"/>
  <c r="B12" i="4" s="1"/>
  <c r="X18" i="2"/>
  <c r="X17" i="2"/>
  <c r="B11" i="4" s="1"/>
  <c r="X16" i="2"/>
  <c r="B10" i="4" s="1"/>
  <c r="X15" i="2"/>
  <c r="B9" i="4" s="1"/>
  <c r="X14" i="2"/>
  <c r="B8" i="4" s="1"/>
  <c r="X13" i="2"/>
  <c r="B7" i="4" s="1"/>
  <c r="W67" i="2"/>
  <c r="W61" i="2"/>
  <c r="A47" i="4" s="1"/>
  <c r="W55" i="2"/>
  <c r="A42" i="4" s="1"/>
  <c r="W49" i="2"/>
  <c r="A37" i="4" s="1"/>
  <c r="W43" i="2"/>
  <c r="A32" i="4" s="1"/>
  <c r="W37" i="2"/>
  <c r="W31" i="2"/>
  <c r="W25" i="2"/>
  <c r="W19" i="2"/>
  <c r="W13" i="2"/>
  <c r="W3" i="2"/>
  <c r="R3" i="4" s="1"/>
  <c r="R10" i="4" l="1"/>
  <c r="S10" i="4" s="1"/>
  <c r="R23" i="4"/>
  <c r="S23" i="4" s="1"/>
  <c r="R11" i="4"/>
  <c r="S11" i="4" s="1"/>
  <c r="C11" i="4" s="1"/>
  <c r="R24" i="4"/>
  <c r="S24" i="4" s="1"/>
  <c r="R37" i="4"/>
  <c r="S37" i="4" s="1"/>
  <c r="R51" i="4"/>
  <c r="S51" i="4" s="1"/>
  <c r="P37" i="4"/>
  <c r="K37" i="4"/>
  <c r="P27" i="4"/>
  <c r="K27" i="4"/>
  <c r="K17" i="4"/>
  <c r="P17" i="4"/>
  <c r="R26" i="4"/>
  <c r="S26" i="4" s="1"/>
  <c r="R13" i="4"/>
  <c r="S13" i="4" s="1"/>
  <c r="R40" i="4"/>
  <c r="S40" i="4" s="1"/>
  <c r="R14" i="4"/>
  <c r="S14" i="4" s="1"/>
  <c r="R54" i="4"/>
  <c r="S54" i="4" s="1"/>
  <c r="R15" i="4"/>
  <c r="S15" i="4" s="1"/>
  <c r="C15" i="4" s="1"/>
  <c r="R28" i="4"/>
  <c r="S28" i="4" s="1"/>
  <c r="R55" i="4"/>
  <c r="S55" i="4" s="1"/>
  <c r="R16" i="4"/>
  <c r="S16" i="4" s="1"/>
  <c r="R29" i="4"/>
  <c r="S29" i="4" s="1"/>
  <c r="R42" i="4"/>
  <c r="S42" i="4" s="1"/>
  <c r="R56" i="4"/>
  <c r="S56" i="4" s="1"/>
  <c r="C56" i="4" s="1"/>
  <c r="R30" i="4"/>
  <c r="S30" i="4" s="1"/>
  <c r="R43" i="4"/>
  <c r="S43" i="4" s="1"/>
  <c r="R27" i="4"/>
  <c r="S27" i="4" s="1"/>
  <c r="R18" i="4"/>
  <c r="S18" i="4" s="1"/>
  <c r="R25" i="4"/>
  <c r="S25" i="4" s="1"/>
  <c r="C25" i="4" s="1"/>
  <c r="R39" i="4"/>
  <c r="S39" i="4" s="1"/>
  <c r="R31" i="4"/>
  <c r="S31" i="4" s="1"/>
  <c r="R45" i="4"/>
  <c r="S45" i="4" s="1"/>
  <c r="R46" i="4"/>
  <c r="S46" i="4" s="1"/>
  <c r="R12" i="4"/>
  <c r="S12" i="4" s="1"/>
  <c r="R41" i="4"/>
  <c r="S41" i="4" s="1"/>
  <c r="R17" i="4"/>
  <c r="S17" i="4" s="1"/>
  <c r="R20" i="4"/>
  <c r="S20" i="4" s="1"/>
  <c r="C20" i="4" s="1"/>
  <c r="R33" i="4"/>
  <c r="S33" i="4" s="1"/>
  <c r="R7" i="4"/>
  <c r="S7" i="4" s="1"/>
  <c r="R34" i="4"/>
  <c r="S34" i="4" s="1"/>
  <c r="R47" i="4"/>
  <c r="S47" i="4" s="1"/>
  <c r="R38" i="4"/>
  <c r="S38" i="4" s="1"/>
  <c r="R53" i="4"/>
  <c r="S53" i="4" s="1"/>
  <c r="R32" i="4"/>
  <c r="S32" i="4" s="1"/>
  <c r="R52" i="4"/>
  <c r="S52" i="4" s="1"/>
  <c r="R44" i="4"/>
  <c r="S44" i="4" s="1"/>
  <c r="R8" i="4"/>
  <c r="S8" i="4" s="1"/>
  <c r="R35" i="4"/>
  <c r="S35" i="4" s="1"/>
  <c r="R48" i="4"/>
  <c r="S48" i="4" s="1"/>
  <c r="R9" i="4"/>
  <c r="S9" i="4" s="1"/>
  <c r="R22" i="4"/>
  <c r="S22" i="4" s="1"/>
  <c r="R36" i="4"/>
  <c r="R49" i="4"/>
  <c r="S49" i="4" s="1"/>
  <c r="R50" i="4"/>
  <c r="R19" i="4"/>
  <c r="S19" i="4" s="1"/>
  <c r="R21" i="4"/>
  <c r="S21" i="4" s="1"/>
  <c r="H3" i="6"/>
  <c r="J3" i="6" s="1"/>
  <c r="H4" i="6"/>
  <c r="J4" i="6" s="1"/>
  <c r="H5" i="6"/>
  <c r="J5" i="6" s="1"/>
  <c r="H6" i="6"/>
  <c r="H7" i="6"/>
  <c r="J7" i="6" s="1"/>
  <c r="H8" i="6"/>
  <c r="H9" i="6"/>
  <c r="J9" i="6" s="1"/>
  <c r="H10" i="6"/>
  <c r="J10" i="6" s="1"/>
  <c r="H11" i="6"/>
  <c r="J11" i="6" s="1"/>
  <c r="H12" i="6"/>
  <c r="J12" i="6" s="1"/>
  <c r="H13" i="6"/>
  <c r="J13" i="6" s="1"/>
  <c r="H14" i="6"/>
  <c r="J14" i="6" s="1"/>
  <c r="H15" i="6"/>
  <c r="J15" i="6" s="1"/>
  <c r="H16" i="6"/>
  <c r="J16" i="6" s="1"/>
  <c r="H17" i="6"/>
  <c r="J17" i="6" s="1"/>
  <c r="H18" i="6"/>
  <c r="J18" i="6" s="1"/>
  <c r="H19" i="6"/>
  <c r="H20" i="6"/>
  <c r="H21" i="6"/>
  <c r="H22" i="6"/>
  <c r="H23" i="6"/>
  <c r="J23" i="6" s="1"/>
  <c r="H24" i="6"/>
  <c r="H25" i="6"/>
  <c r="H26" i="6"/>
  <c r="J26" i="6" s="1"/>
  <c r="H27" i="6"/>
  <c r="J27" i="6" s="1"/>
  <c r="H28" i="6"/>
  <c r="J28" i="6" s="1"/>
  <c r="H29" i="6"/>
  <c r="J29" i="6" s="1"/>
  <c r="H30" i="6"/>
  <c r="J30" i="6" s="1"/>
  <c r="H31" i="6"/>
  <c r="J31" i="6" s="1"/>
  <c r="H32" i="6"/>
  <c r="J32" i="6" s="1"/>
  <c r="H33" i="6"/>
  <c r="J33" i="6" s="1"/>
  <c r="H34" i="6"/>
  <c r="J34" i="6" s="1"/>
  <c r="H35" i="6"/>
  <c r="H36" i="6"/>
  <c r="H37" i="6"/>
  <c r="J37" i="6" s="1"/>
  <c r="H38" i="6"/>
  <c r="J38" i="6" s="1"/>
  <c r="H39" i="6"/>
  <c r="J39" i="6" s="1"/>
  <c r="H40" i="6"/>
  <c r="J40" i="6" s="1"/>
  <c r="H41" i="6"/>
  <c r="J41" i="6" s="1"/>
  <c r="H42" i="6"/>
  <c r="J42" i="6" s="1"/>
  <c r="H43" i="6"/>
  <c r="J43" i="6" s="1"/>
  <c r="H44" i="6"/>
  <c r="J44" i="6" s="1"/>
  <c r="H45" i="6"/>
  <c r="J45" i="6" s="1"/>
  <c r="H46" i="6"/>
  <c r="J46" i="6" s="1"/>
  <c r="H47" i="6"/>
  <c r="J47" i="6" s="1"/>
  <c r="H48" i="6"/>
  <c r="J48" i="6" s="1"/>
  <c r="H49" i="6"/>
  <c r="J49" i="6" s="1"/>
  <c r="H50" i="6"/>
  <c r="J50" i="6" s="1"/>
  <c r="H51" i="6"/>
  <c r="J51" i="6" s="1"/>
  <c r="H52" i="6"/>
  <c r="J52" i="6" s="1"/>
  <c r="H53" i="6"/>
  <c r="J53" i="6" s="1"/>
  <c r="H54" i="6"/>
  <c r="H55" i="6"/>
  <c r="J55" i="6" s="1"/>
  <c r="H56" i="6"/>
  <c r="H57" i="6"/>
  <c r="J57" i="6" s="1"/>
  <c r="H58" i="6"/>
  <c r="J58" i="6" s="1"/>
  <c r="H59" i="6"/>
  <c r="J59" i="6" s="1"/>
  <c r="H60" i="6"/>
  <c r="J60" i="6" s="1"/>
  <c r="H61" i="6"/>
  <c r="J61" i="6" s="1"/>
  <c r="H62" i="6"/>
  <c r="J62" i="6" s="1"/>
  <c r="H63" i="6"/>
  <c r="J63" i="6" s="1"/>
  <c r="H64" i="6"/>
  <c r="J64" i="6" s="1"/>
  <c r="H65" i="6"/>
  <c r="J65" i="6" s="1"/>
  <c r="H66" i="6"/>
  <c r="J66" i="6" s="1"/>
  <c r="H67" i="6"/>
  <c r="H68" i="6"/>
  <c r="H69" i="6"/>
  <c r="J69" i="6" s="1"/>
  <c r="H70" i="6"/>
  <c r="H71" i="6"/>
  <c r="J71" i="6" s="1"/>
  <c r="H72" i="6"/>
  <c r="J72" i="6" s="1"/>
  <c r="H73" i="6"/>
  <c r="J73" i="6" s="1"/>
  <c r="H74" i="6"/>
  <c r="J74" i="6" s="1"/>
  <c r="H75" i="6"/>
  <c r="J75" i="6" s="1"/>
  <c r="H76" i="6"/>
  <c r="J76" i="6" s="1"/>
  <c r="H77" i="6"/>
  <c r="J77" i="6" s="1"/>
  <c r="H78" i="6"/>
  <c r="J78" i="6" s="1"/>
  <c r="H79" i="6"/>
  <c r="J79" i="6" s="1"/>
  <c r="H80" i="6"/>
  <c r="J80" i="6" s="1"/>
  <c r="H81" i="6"/>
  <c r="J81" i="6" s="1"/>
  <c r="H82" i="6"/>
  <c r="J82" i="6" s="1"/>
  <c r="H83" i="6"/>
  <c r="H84" i="6"/>
  <c r="H85" i="6"/>
  <c r="H86" i="6"/>
  <c r="H87" i="6"/>
  <c r="J87" i="6" s="1"/>
  <c r="H88" i="6"/>
  <c r="J88" i="6" s="1"/>
  <c r="H89" i="6"/>
  <c r="J89" i="6" s="1"/>
  <c r="H90" i="6"/>
  <c r="J90" i="6" s="1"/>
  <c r="H91" i="6"/>
  <c r="J91" i="6" s="1"/>
  <c r="H92" i="6"/>
  <c r="J92" i="6" s="1"/>
  <c r="H93" i="6"/>
  <c r="J93" i="6" s="1"/>
  <c r="H94" i="6"/>
  <c r="J94" i="6" s="1"/>
  <c r="H95" i="6"/>
  <c r="J95" i="6" s="1"/>
  <c r="H96" i="6"/>
  <c r="J96" i="6" s="1"/>
  <c r="H97" i="6"/>
  <c r="J97" i="6" s="1"/>
  <c r="H98" i="6"/>
  <c r="J98" i="6" s="1"/>
  <c r="H99" i="6"/>
  <c r="H100" i="6"/>
  <c r="J100" i="6" s="1"/>
  <c r="H101" i="6"/>
  <c r="J101" i="6" s="1"/>
  <c r="H102" i="6"/>
  <c r="H103" i="6"/>
  <c r="J103" i="6" s="1"/>
  <c r="H104" i="6"/>
  <c r="J104" i="6" s="1"/>
  <c r="H105" i="6"/>
  <c r="J105" i="6" s="1"/>
  <c r="H106" i="6"/>
  <c r="J106" i="6" s="1"/>
  <c r="H107" i="6"/>
  <c r="J107" i="6" s="1"/>
  <c r="H108" i="6"/>
  <c r="J108" i="6" s="1"/>
  <c r="H109" i="6"/>
  <c r="J109" i="6" s="1"/>
  <c r="H110" i="6"/>
  <c r="J110" i="6" s="1"/>
  <c r="H111" i="6"/>
  <c r="J111" i="6" s="1"/>
  <c r="H112" i="6"/>
  <c r="J112" i="6" s="1"/>
  <c r="H113" i="6"/>
  <c r="J113" i="6" s="1"/>
  <c r="H114" i="6"/>
  <c r="J114" i="6" s="1"/>
  <c r="H115" i="6"/>
  <c r="J115" i="6" s="1"/>
  <c r="H116" i="6"/>
  <c r="J116" i="6" s="1"/>
  <c r="H117" i="6"/>
  <c r="H118" i="6"/>
  <c r="H119" i="6"/>
  <c r="J119" i="6" s="1"/>
  <c r="H120" i="6"/>
  <c r="J120" i="6" s="1"/>
  <c r="H121" i="6"/>
  <c r="J121" i="6" s="1"/>
  <c r="H122" i="6"/>
  <c r="J122" i="6" s="1"/>
  <c r="H123" i="6"/>
  <c r="J123" i="6" s="1"/>
  <c r="H124" i="6"/>
  <c r="J124" i="6" s="1"/>
  <c r="H125" i="6"/>
  <c r="J125" i="6" s="1"/>
  <c r="H126" i="6"/>
  <c r="J126" i="6" s="1"/>
  <c r="H127" i="6"/>
  <c r="J127" i="6" s="1"/>
  <c r="H128" i="6"/>
  <c r="J128" i="6" s="1"/>
  <c r="H129" i="6"/>
  <c r="J129" i="6" s="1"/>
  <c r="H130" i="6"/>
  <c r="J130" i="6" s="1"/>
  <c r="H131" i="6"/>
  <c r="H132" i="6"/>
  <c r="H133" i="6"/>
  <c r="H134" i="6"/>
  <c r="H135" i="6"/>
  <c r="H136" i="6"/>
  <c r="H137" i="6"/>
  <c r="J137" i="6" s="1"/>
  <c r="H138" i="6"/>
  <c r="J138" i="6" s="1"/>
  <c r="H139" i="6"/>
  <c r="J139" i="6" s="1"/>
  <c r="H140" i="6"/>
  <c r="J140" i="6" s="1"/>
  <c r="H141" i="6"/>
  <c r="J141" i="6" s="1"/>
  <c r="H142" i="6"/>
  <c r="J142" i="6" s="1"/>
  <c r="H143" i="6"/>
  <c r="J143" i="6" s="1"/>
  <c r="H144" i="6"/>
  <c r="J144" i="6" s="1"/>
  <c r="H145" i="6"/>
  <c r="J145" i="6" s="1"/>
  <c r="H146" i="6"/>
  <c r="J146" i="6" s="1"/>
  <c r="H147" i="6"/>
  <c r="H148" i="6"/>
  <c r="J148" i="6" s="1"/>
  <c r="H149" i="6"/>
  <c r="J149" i="6" s="1"/>
  <c r="H150" i="6"/>
  <c r="J150" i="6" s="1"/>
  <c r="H151" i="6"/>
  <c r="J151" i="6" s="1"/>
  <c r="H152" i="6"/>
  <c r="H153" i="6"/>
  <c r="J153" i="6" s="1"/>
  <c r="H154" i="6"/>
  <c r="J154" i="6" s="1"/>
  <c r="H155" i="6"/>
  <c r="J155" i="6" s="1"/>
  <c r="H156" i="6"/>
  <c r="J156" i="6" s="1"/>
  <c r="H157" i="6"/>
  <c r="J157" i="6" s="1"/>
  <c r="H158" i="6"/>
  <c r="J158" i="6" s="1"/>
  <c r="H159" i="6"/>
  <c r="J159" i="6" s="1"/>
  <c r="H160" i="6"/>
  <c r="J160" i="6" s="1"/>
  <c r="H161" i="6"/>
  <c r="J161" i="6" s="1"/>
  <c r="H162" i="6"/>
  <c r="J162" i="6" s="1"/>
  <c r="H163" i="6"/>
  <c r="J163" i="6" s="1"/>
  <c r="H164" i="6"/>
  <c r="J164" i="6" s="1"/>
  <c r="H165" i="6"/>
  <c r="J165" i="6" s="1"/>
  <c r="H166" i="6"/>
  <c r="H167" i="6"/>
  <c r="J167" i="6" s="1"/>
  <c r="H168" i="6"/>
  <c r="J168" i="6" s="1"/>
  <c r="H169" i="6"/>
  <c r="J169" i="6" s="1"/>
  <c r="H170" i="6"/>
  <c r="J170" i="6" s="1"/>
  <c r="H171" i="6"/>
  <c r="J171" i="6" s="1"/>
  <c r="H172" i="6"/>
  <c r="J172" i="6" s="1"/>
  <c r="H173" i="6"/>
  <c r="J173" i="6" s="1"/>
  <c r="H174" i="6"/>
  <c r="J174" i="6" s="1"/>
  <c r="H175" i="6"/>
  <c r="J175" i="6" s="1"/>
  <c r="H176" i="6"/>
  <c r="J176" i="6" s="1"/>
  <c r="H177" i="6"/>
  <c r="J177" i="6" s="1"/>
  <c r="H178" i="6"/>
  <c r="J178" i="6" s="1"/>
  <c r="H179" i="6"/>
  <c r="H180" i="6"/>
  <c r="H181" i="6"/>
  <c r="J181" i="6" s="1"/>
  <c r="H182" i="6"/>
  <c r="J182" i="6" s="1"/>
  <c r="H183" i="6"/>
  <c r="J183" i="6" s="1"/>
  <c r="H184" i="6"/>
  <c r="J184" i="6" s="1"/>
  <c r="H185" i="6"/>
  <c r="J185" i="6" s="1"/>
  <c r="H186" i="6"/>
  <c r="J186" i="6" s="1"/>
  <c r="H187" i="6"/>
  <c r="J187" i="6" s="1"/>
  <c r="H188" i="6"/>
  <c r="J188" i="6" s="1"/>
  <c r="H189" i="6"/>
  <c r="J189" i="6" s="1"/>
  <c r="H190" i="6"/>
  <c r="J190" i="6" s="1"/>
  <c r="H191" i="6"/>
  <c r="J191" i="6" s="1"/>
  <c r="H192" i="6"/>
  <c r="J192" i="6" s="1"/>
  <c r="H193" i="6"/>
  <c r="J193" i="6" s="1"/>
  <c r="H194" i="6"/>
  <c r="J194" i="6" s="1"/>
  <c r="H195" i="6"/>
  <c r="H196" i="6"/>
  <c r="H197" i="6"/>
  <c r="H198" i="6"/>
  <c r="H199" i="6"/>
  <c r="J199" i="6" s="1"/>
  <c r="H200" i="6"/>
  <c r="J200" i="6" s="1"/>
  <c r="H201" i="6"/>
  <c r="J201" i="6" s="1"/>
  <c r="H202" i="6"/>
  <c r="J202" i="6" s="1"/>
  <c r="H203" i="6"/>
  <c r="J203" i="6" s="1"/>
  <c r="H204" i="6"/>
  <c r="J204" i="6" s="1"/>
  <c r="H205" i="6"/>
  <c r="J205" i="6" s="1"/>
  <c r="H206" i="6"/>
  <c r="J206" i="6" s="1"/>
  <c r="H207" i="6"/>
  <c r="J207" i="6" s="1"/>
  <c r="H208" i="6"/>
  <c r="J208" i="6" s="1"/>
  <c r="H209" i="6"/>
  <c r="J209" i="6" s="1"/>
  <c r="H210" i="6"/>
  <c r="J210" i="6" s="1"/>
  <c r="H211" i="6"/>
  <c r="H212" i="6"/>
  <c r="H213" i="6"/>
  <c r="H214" i="6"/>
  <c r="J214" i="6" s="1"/>
  <c r="H215" i="6"/>
  <c r="J215" i="6" s="1"/>
  <c r="H216" i="6"/>
  <c r="J216" i="6" s="1"/>
  <c r="H217" i="6"/>
  <c r="J217" i="6" s="1"/>
  <c r="H218" i="6"/>
  <c r="J218" i="6" s="1"/>
  <c r="H219" i="6"/>
  <c r="J219" i="6" s="1"/>
  <c r="H220" i="6"/>
  <c r="J220" i="6" s="1"/>
  <c r="H221" i="6"/>
  <c r="J221" i="6" s="1"/>
  <c r="H222" i="6"/>
  <c r="J222" i="6" s="1"/>
  <c r="H223" i="6"/>
  <c r="J223" i="6" s="1"/>
  <c r="H224" i="6"/>
  <c r="J224" i="6" s="1"/>
  <c r="H225" i="6"/>
  <c r="J225" i="6" s="1"/>
  <c r="H226" i="6"/>
  <c r="J226" i="6" s="1"/>
  <c r="H227" i="6"/>
  <c r="J227" i="6" s="1"/>
  <c r="H228" i="6"/>
  <c r="J228" i="6" s="1"/>
  <c r="H229" i="6"/>
  <c r="J229" i="6" s="1"/>
  <c r="H230" i="6"/>
  <c r="J230" i="6" s="1"/>
  <c r="H231" i="6"/>
  <c r="J231" i="6" s="1"/>
  <c r="H232" i="6"/>
  <c r="J232" i="6" s="1"/>
  <c r="H233" i="6"/>
  <c r="J233" i="6" s="1"/>
  <c r="H234" i="6"/>
  <c r="J234" i="6" s="1"/>
  <c r="H235" i="6"/>
  <c r="J235" i="6" s="1"/>
  <c r="H236" i="6"/>
  <c r="J236" i="6" s="1"/>
  <c r="H237" i="6"/>
  <c r="J237" i="6" s="1"/>
  <c r="H238" i="6"/>
  <c r="J238" i="6" s="1"/>
  <c r="H239" i="6"/>
  <c r="J239" i="6" s="1"/>
  <c r="H240" i="6"/>
  <c r="J240" i="6" s="1"/>
  <c r="H241" i="6"/>
  <c r="J241" i="6" s="1"/>
  <c r="H242" i="6"/>
  <c r="J242" i="6" s="1"/>
  <c r="H243" i="6"/>
  <c r="J243" i="6" s="1"/>
  <c r="H244" i="6"/>
  <c r="J244" i="6" s="1"/>
  <c r="H245" i="6"/>
  <c r="H246" i="6"/>
  <c r="H247" i="6"/>
  <c r="J247" i="6" s="1"/>
  <c r="H248" i="6"/>
  <c r="J248" i="6" s="1"/>
  <c r="H249" i="6"/>
  <c r="J249" i="6" s="1"/>
  <c r="H250" i="6"/>
  <c r="J250" i="6" s="1"/>
  <c r="H251" i="6"/>
  <c r="J251" i="6" s="1"/>
  <c r="H252" i="6"/>
  <c r="J252" i="6" s="1"/>
  <c r="H253" i="6"/>
  <c r="J253" i="6" s="1"/>
  <c r="H254" i="6"/>
  <c r="J254" i="6" s="1"/>
  <c r="H255" i="6"/>
  <c r="J255" i="6" s="1"/>
  <c r="H256" i="6"/>
  <c r="J256" i="6" s="1"/>
  <c r="H257" i="6"/>
  <c r="J257" i="6" s="1"/>
  <c r="H258" i="6"/>
  <c r="J258" i="6" s="1"/>
  <c r="H259" i="6"/>
  <c r="H260" i="6"/>
  <c r="H261" i="6"/>
  <c r="J261" i="6" s="1"/>
  <c r="H262" i="6"/>
  <c r="J262" i="6" s="1"/>
  <c r="H263" i="6"/>
  <c r="J263" i="6" s="1"/>
  <c r="H264" i="6"/>
  <c r="J264" i="6" s="1"/>
  <c r="H265" i="6"/>
  <c r="J265" i="6" s="1"/>
  <c r="H266" i="6"/>
  <c r="J266" i="6" s="1"/>
  <c r="H267" i="6"/>
  <c r="J267" i="6" s="1"/>
  <c r="H268" i="6"/>
  <c r="J268" i="6" s="1"/>
  <c r="H269" i="6"/>
  <c r="J269" i="6" s="1"/>
  <c r="H270" i="6"/>
  <c r="J270" i="6" s="1"/>
  <c r="H271" i="6"/>
  <c r="J271" i="6" s="1"/>
  <c r="H272" i="6"/>
  <c r="J272" i="6" s="1"/>
  <c r="H273" i="6"/>
  <c r="J273" i="6" s="1"/>
  <c r="H274" i="6"/>
  <c r="J274" i="6" s="1"/>
  <c r="H275" i="6"/>
  <c r="H276" i="6"/>
  <c r="H277" i="6"/>
  <c r="H278" i="6"/>
  <c r="H279" i="6"/>
  <c r="H280" i="6"/>
  <c r="J280" i="6" s="1"/>
  <c r="H281" i="6"/>
  <c r="J281" i="6" s="1"/>
  <c r="H282" i="6"/>
  <c r="J282" i="6" s="1"/>
  <c r="H283" i="6"/>
  <c r="J283" i="6" s="1"/>
  <c r="H284" i="6"/>
  <c r="J284" i="6" s="1"/>
  <c r="H285" i="6"/>
  <c r="J285" i="6" s="1"/>
  <c r="H286" i="6"/>
  <c r="J286" i="6" s="1"/>
  <c r="H287" i="6"/>
  <c r="J287" i="6" s="1"/>
  <c r="H288" i="6"/>
  <c r="J288" i="6" s="1"/>
  <c r="H289" i="6"/>
  <c r="J289" i="6" s="1"/>
  <c r="H290" i="6"/>
  <c r="J290" i="6" s="1"/>
  <c r="H291" i="6"/>
  <c r="J291" i="6" s="1"/>
  <c r="H292" i="6"/>
  <c r="J292" i="6" s="1"/>
  <c r="H293" i="6"/>
  <c r="J293" i="6" s="1"/>
  <c r="H294" i="6"/>
  <c r="H295" i="6"/>
  <c r="J295" i="6" s="1"/>
  <c r="H296" i="6"/>
  <c r="J296" i="6" s="1"/>
  <c r="H297" i="6"/>
  <c r="J297" i="6" s="1"/>
  <c r="H298" i="6"/>
  <c r="J298" i="6" s="1"/>
  <c r="H299" i="6"/>
  <c r="J299" i="6" s="1"/>
  <c r="H300" i="6"/>
  <c r="J300" i="6" s="1"/>
  <c r="H301" i="6"/>
  <c r="J301" i="6" s="1"/>
  <c r="H302" i="6"/>
  <c r="J302" i="6" s="1"/>
  <c r="H303" i="6"/>
  <c r="J303" i="6" s="1"/>
  <c r="H304" i="6"/>
  <c r="J304" i="6" s="1"/>
  <c r="H305" i="6"/>
  <c r="J305" i="6" s="1"/>
  <c r="H306" i="6"/>
  <c r="J306" i="6" s="1"/>
  <c r="H307" i="6"/>
  <c r="J307" i="6" s="1"/>
  <c r="H308" i="6"/>
  <c r="J308" i="6" s="1"/>
  <c r="H309" i="6"/>
  <c r="H310" i="6"/>
  <c r="J310" i="6" s="1"/>
  <c r="H311" i="6"/>
  <c r="J311" i="6" s="1"/>
  <c r="H312" i="6"/>
  <c r="J312" i="6" s="1"/>
  <c r="H313" i="6"/>
  <c r="J313" i="6" s="1"/>
  <c r="H314" i="6"/>
  <c r="H315" i="6"/>
  <c r="J315" i="6" s="1"/>
  <c r="H316" i="6"/>
  <c r="J316" i="6" s="1"/>
  <c r="H317" i="6"/>
  <c r="J317" i="6" s="1"/>
  <c r="H318" i="6"/>
  <c r="J318" i="6" s="1"/>
  <c r="H319" i="6"/>
  <c r="J319" i="6" s="1"/>
  <c r="H320" i="6"/>
  <c r="J320" i="6" s="1"/>
  <c r="H321" i="6"/>
  <c r="J321" i="6" s="1"/>
  <c r="H322" i="6"/>
  <c r="J322" i="6" s="1"/>
  <c r="H323" i="6"/>
  <c r="H324" i="6"/>
  <c r="H325" i="6"/>
  <c r="H326" i="6"/>
  <c r="H327" i="6"/>
  <c r="H328" i="6"/>
  <c r="J328" i="6" s="1"/>
  <c r="H329" i="6"/>
  <c r="J329" i="6" s="1"/>
  <c r="H330" i="6"/>
  <c r="J330" i="6" s="1"/>
  <c r="H331" i="6"/>
  <c r="J331" i="6" s="1"/>
  <c r="H332" i="6"/>
  <c r="J332" i="6" s="1"/>
  <c r="H333" i="6"/>
  <c r="J333" i="6" s="1"/>
  <c r="H334" i="6"/>
  <c r="J334" i="6" s="1"/>
  <c r="H335" i="6"/>
  <c r="J335" i="6" s="1"/>
  <c r="H336" i="6"/>
  <c r="J336" i="6" s="1"/>
  <c r="H337" i="6"/>
  <c r="J337" i="6" s="1"/>
  <c r="H338" i="6"/>
  <c r="J338" i="6" s="1"/>
  <c r="H339" i="6"/>
  <c r="H340" i="6"/>
  <c r="H341" i="6"/>
  <c r="J341" i="6" s="1"/>
  <c r="H342" i="6"/>
  <c r="J342" i="6" s="1"/>
  <c r="H343" i="6"/>
  <c r="J343" i="6" s="1"/>
  <c r="H344" i="6"/>
  <c r="J344" i="6" s="1"/>
  <c r="H345" i="6"/>
  <c r="J345" i="6" s="1"/>
  <c r="H346" i="6"/>
  <c r="J346" i="6" s="1"/>
  <c r="H347" i="6"/>
  <c r="J347" i="6" s="1"/>
  <c r="H348" i="6"/>
  <c r="J348" i="6" s="1"/>
  <c r="H349" i="6"/>
  <c r="J349" i="6" s="1"/>
  <c r="H350" i="6"/>
  <c r="J350" i="6" s="1"/>
  <c r="H351" i="6"/>
  <c r="J351" i="6" s="1"/>
  <c r="H352" i="6"/>
  <c r="J352" i="6" s="1"/>
  <c r="H353" i="6"/>
  <c r="J353" i="6" s="1"/>
  <c r="H354" i="6"/>
  <c r="J354" i="6" s="1"/>
  <c r="H355" i="6"/>
  <c r="J355" i="6" s="1"/>
  <c r="H356" i="6"/>
  <c r="J356" i="6" s="1"/>
  <c r="H357" i="6"/>
  <c r="J357" i="6" s="1"/>
  <c r="H358" i="6"/>
  <c r="H359" i="6"/>
  <c r="J359" i="6" s="1"/>
  <c r="H360" i="6"/>
  <c r="J360" i="6" s="1"/>
  <c r="H361" i="6"/>
  <c r="J361" i="6" s="1"/>
  <c r="H362" i="6"/>
  <c r="J362" i="6" s="1"/>
  <c r="H363" i="6"/>
  <c r="J363" i="6" s="1"/>
  <c r="H364" i="6"/>
  <c r="J364" i="6" s="1"/>
  <c r="H365" i="6"/>
  <c r="J365" i="6" s="1"/>
  <c r="H366" i="6"/>
  <c r="J366" i="6" s="1"/>
  <c r="H367" i="6"/>
  <c r="J367" i="6" s="1"/>
  <c r="H368" i="6"/>
  <c r="J368" i="6" s="1"/>
  <c r="H369" i="6"/>
  <c r="J369" i="6" s="1"/>
  <c r="H370" i="6"/>
  <c r="J370" i="6" s="1"/>
  <c r="H371" i="6"/>
  <c r="J371" i="6" s="1"/>
  <c r="H372" i="6"/>
  <c r="J372" i="6" s="1"/>
  <c r="H373" i="6"/>
  <c r="J373" i="6" s="1"/>
  <c r="H374" i="6"/>
  <c r="H375" i="6"/>
  <c r="J375" i="6" s="1"/>
  <c r="H376" i="6"/>
  <c r="J376" i="6" s="1"/>
  <c r="H377" i="6"/>
  <c r="J377" i="6" s="1"/>
  <c r="H378" i="6"/>
  <c r="J378" i="6" s="1"/>
  <c r="H379" i="6"/>
  <c r="J379" i="6" s="1"/>
  <c r="H380" i="6"/>
  <c r="J380" i="6" s="1"/>
  <c r="H381" i="6"/>
  <c r="H382" i="6"/>
  <c r="J382" i="6" s="1"/>
  <c r="H383" i="6"/>
  <c r="J383" i="6" s="1"/>
  <c r="H384" i="6"/>
  <c r="J384" i="6" s="1"/>
  <c r="H385" i="6"/>
  <c r="J385" i="6" s="1"/>
  <c r="H386" i="6"/>
  <c r="J386" i="6" s="1"/>
  <c r="H387" i="6"/>
  <c r="H388" i="6"/>
  <c r="H389" i="6"/>
  <c r="H390" i="6"/>
  <c r="J390" i="6" s="1"/>
  <c r="H391" i="6"/>
  <c r="J391" i="6" s="1"/>
  <c r="H392" i="6"/>
  <c r="J392" i="6" s="1"/>
  <c r="H393" i="6"/>
  <c r="J393" i="6" s="1"/>
  <c r="H394" i="6"/>
  <c r="H395" i="6"/>
  <c r="J395" i="6" s="1"/>
  <c r="H396" i="6"/>
  <c r="J396" i="6" s="1"/>
  <c r="H397" i="6"/>
  <c r="J397" i="6" s="1"/>
  <c r="H398" i="6"/>
  <c r="J398" i="6" s="1"/>
  <c r="H399" i="6"/>
  <c r="J399" i="6" s="1"/>
  <c r="H400" i="6"/>
  <c r="J400" i="6" s="1"/>
  <c r="H401" i="6"/>
  <c r="J401" i="6" s="1"/>
  <c r="H402" i="6"/>
  <c r="J402" i="6" s="1"/>
  <c r="H403" i="6"/>
  <c r="H404" i="6"/>
  <c r="H405" i="6"/>
  <c r="H406" i="6"/>
  <c r="H407" i="6"/>
  <c r="J407" i="6" s="1"/>
  <c r="H408" i="6"/>
  <c r="J408" i="6" s="1"/>
  <c r="H409" i="6"/>
  <c r="J409" i="6" s="1"/>
  <c r="H410" i="6"/>
  <c r="J410" i="6" s="1"/>
  <c r="H411" i="6"/>
  <c r="J411" i="6" s="1"/>
  <c r="H412" i="6"/>
  <c r="J412" i="6" s="1"/>
  <c r="H413" i="6"/>
  <c r="J413" i="6" s="1"/>
  <c r="H414" i="6"/>
  <c r="J414" i="6" s="1"/>
  <c r="H415" i="6"/>
  <c r="J415" i="6" s="1"/>
  <c r="H416" i="6"/>
  <c r="J416" i="6" s="1"/>
  <c r="H417" i="6"/>
  <c r="J417" i="6" s="1"/>
  <c r="H418" i="6"/>
  <c r="J418" i="6" s="1"/>
  <c r="H419" i="6"/>
  <c r="J419" i="6" s="1"/>
  <c r="H420" i="6"/>
  <c r="J420" i="6" s="1"/>
  <c r="H421" i="6"/>
  <c r="J421" i="6" s="1"/>
  <c r="H422" i="6"/>
  <c r="H423" i="6"/>
  <c r="J423" i="6" s="1"/>
  <c r="H424" i="6"/>
  <c r="J424" i="6" s="1"/>
  <c r="H425" i="6"/>
  <c r="J425" i="6" s="1"/>
  <c r="H426" i="6"/>
  <c r="J426" i="6" s="1"/>
  <c r="H427" i="6"/>
  <c r="J427" i="6" s="1"/>
  <c r="H428" i="6"/>
  <c r="J428" i="6" s="1"/>
  <c r="H429" i="6"/>
  <c r="J429" i="6" s="1"/>
  <c r="H430" i="6"/>
  <c r="J430" i="6" s="1"/>
  <c r="H431" i="6"/>
  <c r="J431" i="6" s="1"/>
  <c r="H432" i="6"/>
  <c r="J432" i="6" s="1"/>
  <c r="H433" i="6"/>
  <c r="J433" i="6" s="1"/>
  <c r="H434" i="6"/>
  <c r="J434" i="6" s="1"/>
  <c r="H435" i="6"/>
  <c r="J435" i="6" s="1"/>
  <c r="H436" i="6"/>
  <c r="J436" i="6" s="1"/>
  <c r="H437" i="6"/>
  <c r="H438" i="6"/>
  <c r="H439" i="6"/>
  <c r="J439" i="6" s="1"/>
  <c r="H440" i="6"/>
  <c r="H441" i="6"/>
  <c r="J441" i="6" s="1"/>
  <c r="H442" i="6"/>
  <c r="J442" i="6" s="1"/>
  <c r="H443" i="6"/>
  <c r="J443" i="6" s="1"/>
  <c r="H444" i="6"/>
  <c r="J444" i="6" s="1"/>
  <c r="H445" i="6"/>
  <c r="J445" i="6" s="1"/>
  <c r="H446" i="6"/>
  <c r="J446" i="6" s="1"/>
  <c r="H447" i="6"/>
  <c r="J447" i="6" s="1"/>
  <c r="H448" i="6"/>
  <c r="J448" i="6" s="1"/>
  <c r="H449" i="6"/>
  <c r="J449" i="6" s="1"/>
  <c r="H450" i="6"/>
  <c r="J450" i="6" s="1"/>
  <c r="H451" i="6"/>
  <c r="H452" i="6"/>
  <c r="H453" i="6"/>
  <c r="H454" i="6"/>
  <c r="J454" i="6" s="1"/>
  <c r="H455" i="6"/>
  <c r="J455" i="6" s="1"/>
  <c r="H456" i="6"/>
  <c r="J456" i="6" s="1"/>
  <c r="H457" i="6"/>
  <c r="J457" i="6" s="1"/>
  <c r="H458" i="6"/>
  <c r="J458" i="6" s="1"/>
  <c r="H459" i="6"/>
  <c r="J459" i="6" s="1"/>
  <c r="H460" i="6"/>
  <c r="J460" i="6" s="1"/>
  <c r="H461" i="6"/>
  <c r="J461" i="6" s="1"/>
  <c r="H462" i="6"/>
  <c r="J462" i="6" s="1"/>
  <c r="H463" i="6"/>
  <c r="J463" i="6" s="1"/>
  <c r="H464" i="6"/>
  <c r="J464" i="6" s="1"/>
  <c r="H465" i="6"/>
  <c r="J465" i="6" s="1"/>
  <c r="H466" i="6"/>
  <c r="J466" i="6" s="1"/>
  <c r="H467" i="6"/>
  <c r="H468" i="6"/>
  <c r="H469" i="6"/>
  <c r="H470" i="6"/>
  <c r="H471" i="6"/>
  <c r="J471" i="6" s="1"/>
  <c r="H472" i="6"/>
  <c r="J472" i="6" s="1"/>
  <c r="H473" i="6"/>
  <c r="J473" i="6" s="1"/>
  <c r="H474" i="6"/>
  <c r="J474" i="6" s="1"/>
  <c r="H475" i="6"/>
  <c r="J475" i="6" s="1"/>
  <c r="H476" i="6"/>
  <c r="J476" i="6" s="1"/>
  <c r="H477" i="6"/>
  <c r="J477" i="6" s="1"/>
  <c r="H478" i="6"/>
  <c r="J478" i="6" s="1"/>
  <c r="H479" i="6"/>
  <c r="J479" i="6" s="1"/>
  <c r="H480" i="6"/>
  <c r="J480" i="6" s="1"/>
  <c r="H481" i="6"/>
  <c r="J481" i="6" s="1"/>
  <c r="H482" i="6"/>
  <c r="J482" i="6" s="1"/>
  <c r="H483" i="6"/>
  <c r="J483" i="6" s="1"/>
  <c r="H484" i="6"/>
  <c r="J484" i="6" s="1"/>
  <c r="H485" i="6"/>
  <c r="J485" i="6" s="1"/>
  <c r="H486" i="6"/>
  <c r="H487" i="6"/>
  <c r="J487" i="6" s="1"/>
  <c r="H488" i="6"/>
  <c r="J488" i="6" s="1"/>
  <c r="H489" i="6"/>
  <c r="J489" i="6" s="1"/>
  <c r="H490" i="6"/>
  <c r="J490" i="6" s="1"/>
  <c r="H491" i="6"/>
  <c r="J491" i="6" s="1"/>
  <c r="H492" i="6"/>
  <c r="J492" i="6" s="1"/>
  <c r="H493" i="6"/>
  <c r="J493" i="6" s="1"/>
  <c r="H494" i="6"/>
  <c r="J494" i="6" s="1"/>
  <c r="H495" i="6"/>
  <c r="J495" i="6" s="1"/>
  <c r="H496" i="6"/>
  <c r="J496" i="6" s="1"/>
  <c r="H497" i="6"/>
  <c r="J497" i="6" s="1"/>
  <c r="H498" i="6"/>
  <c r="J498" i="6" s="1"/>
  <c r="H499" i="6"/>
  <c r="J499" i="6" s="1"/>
  <c r="H500" i="6"/>
  <c r="J500" i="6" s="1"/>
  <c r="H501" i="6"/>
  <c r="H502" i="6"/>
  <c r="J502" i="6" s="1"/>
  <c r="H503" i="6"/>
  <c r="H504" i="6"/>
  <c r="H505" i="6"/>
  <c r="J505" i="6" s="1"/>
  <c r="H506" i="6"/>
  <c r="J506" i="6" s="1"/>
  <c r="H507" i="6"/>
  <c r="J507" i="6" s="1"/>
  <c r="H508" i="6"/>
  <c r="J508" i="6" s="1"/>
  <c r="H509" i="6"/>
  <c r="J509" i="6" s="1"/>
  <c r="H510" i="6"/>
  <c r="J510" i="6" s="1"/>
  <c r="H511" i="6"/>
  <c r="J511" i="6" s="1"/>
  <c r="H512" i="6"/>
  <c r="J512" i="6" s="1"/>
  <c r="H513" i="6"/>
  <c r="J513" i="6" s="1"/>
  <c r="H514" i="6"/>
  <c r="J514" i="6" s="1"/>
  <c r="H515" i="6"/>
  <c r="H516" i="6"/>
  <c r="H517" i="6"/>
  <c r="H518" i="6"/>
  <c r="J518" i="6" s="1"/>
  <c r="H519" i="6"/>
  <c r="J519" i="6" s="1"/>
  <c r="H520" i="6"/>
  <c r="J520" i="6" s="1"/>
  <c r="H521" i="6"/>
  <c r="J521" i="6" s="1"/>
  <c r="H522" i="6"/>
  <c r="J522" i="6" s="1"/>
  <c r="H523" i="6"/>
  <c r="J523" i="6" s="1"/>
  <c r="H524" i="6"/>
  <c r="J524" i="6" s="1"/>
  <c r="H525" i="6"/>
  <c r="J525" i="6" s="1"/>
  <c r="H526" i="6"/>
  <c r="J526" i="6" s="1"/>
  <c r="H527" i="6"/>
  <c r="J527" i="6" s="1"/>
  <c r="H528" i="6"/>
  <c r="J528" i="6" s="1"/>
  <c r="H529" i="6"/>
  <c r="J529" i="6" s="1"/>
  <c r="H530" i="6"/>
  <c r="J530" i="6" s="1"/>
  <c r="H531" i="6"/>
  <c r="H532" i="6"/>
  <c r="H533" i="6"/>
  <c r="J533" i="6" s="1"/>
  <c r="H534" i="6"/>
  <c r="H535" i="6"/>
  <c r="J535" i="6" s="1"/>
  <c r="H536" i="6"/>
  <c r="J536" i="6" s="1"/>
  <c r="H537" i="6"/>
  <c r="J537" i="6" s="1"/>
  <c r="H538" i="6"/>
  <c r="J538" i="6" s="1"/>
  <c r="H539" i="6"/>
  <c r="J539" i="6" s="1"/>
  <c r="H540" i="6"/>
  <c r="J540" i="6" s="1"/>
  <c r="H541" i="6"/>
  <c r="J541" i="6" s="1"/>
  <c r="H542" i="6"/>
  <c r="J542" i="6" s="1"/>
  <c r="H543" i="6"/>
  <c r="J543" i="6" s="1"/>
  <c r="H544" i="6"/>
  <c r="J544" i="6" s="1"/>
  <c r="H545" i="6"/>
  <c r="J545" i="6" s="1"/>
  <c r="H546" i="6"/>
  <c r="J546" i="6" s="1"/>
  <c r="H547" i="6"/>
  <c r="J547" i="6" s="1"/>
  <c r="H548" i="6"/>
  <c r="J548" i="6" s="1"/>
  <c r="H549" i="6"/>
  <c r="J549" i="6" s="1"/>
  <c r="H550" i="6"/>
  <c r="H551" i="6"/>
  <c r="J551" i="6" s="1"/>
  <c r="H552" i="6"/>
  <c r="J552" i="6" s="1"/>
  <c r="H553" i="6"/>
  <c r="J553" i="6" s="1"/>
  <c r="H554" i="6"/>
  <c r="J554" i="6" s="1"/>
  <c r="H555" i="6"/>
  <c r="J555" i="6" s="1"/>
  <c r="H556" i="6"/>
  <c r="J556" i="6" s="1"/>
  <c r="H557" i="6"/>
  <c r="J557" i="6" s="1"/>
  <c r="H558" i="6"/>
  <c r="J558" i="6" s="1"/>
  <c r="H559" i="6"/>
  <c r="J559" i="6" s="1"/>
  <c r="H560" i="6"/>
  <c r="J560" i="6" s="1"/>
  <c r="H561" i="6"/>
  <c r="J561" i="6" s="1"/>
  <c r="H562" i="6"/>
  <c r="J562" i="6" s="1"/>
  <c r="H563" i="6"/>
  <c r="J563" i="6" s="1"/>
  <c r="H564" i="6"/>
  <c r="J564" i="6" s="1"/>
  <c r="H565" i="6"/>
  <c r="H566" i="6"/>
  <c r="H567" i="6"/>
  <c r="H568" i="6"/>
  <c r="J568" i="6" s="1"/>
  <c r="H569" i="6"/>
  <c r="H570" i="6"/>
  <c r="J570" i="6" s="1"/>
  <c r="H571" i="6"/>
  <c r="J571" i="6" s="1"/>
  <c r="H572" i="6"/>
  <c r="J572" i="6" s="1"/>
  <c r="H573" i="6"/>
  <c r="J573" i="6" s="1"/>
  <c r="H574" i="6"/>
  <c r="J574" i="6" s="1"/>
  <c r="H575" i="6"/>
  <c r="J575" i="6" s="1"/>
  <c r="H576" i="6"/>
  <c r="J576" i="6" s="1"/>
  <c r="H577" i="6"/>
  <c r="J577" i="6" s="1"/>
  <c r="H578" i="6"/>
  <c r="J578" i="6" s="1"/>
  <c r="H579" i="6"/>
  <c r="H580" i="6"/>
  <c r="H581" i="6"/>
  <c r="H582" i="6"/>
  <c r="H583" i="6"/>
  <c r="J583" i="6" s="1"/>
  <c r="H584" i="6"/>
  <c r="J584" i="6" s="1"/>
  <c r="H585" i="6"/>
  <c r="J585" i="6" s="1"/>
  <c r="H586" i="6"/>
  <c r="J586" i="6" s="1"/>
  <c r="H587" i="6"/>
  <c r="J587" i="6" s="1"/>
  <c r="H588" i="6"/>
  <c r="J588" i="6" s="1"/>
  <c r="H589" i="6"/>
  <c r="J589" i="6" s="1"/>
  <c r="H590" i="6"/>
  <c r="J590" i="6" s="1"/>
  <c r="H591" i="6"/>
  <c r="J591" i="6" s="1"/>
  <c r="H592" i="6"/>
  <c r="J592" i="6" s="1"/>
  <c r="H593" i="6"/>
  <c r="J593" i="6" s="1"/>
  <c r="H594" i="6"/>
  <c r="J594" i="6" s="1"/>
  <c r="H595" i="6"/>
  <c r="H596" i="6"/>
  <c r="H597" i="6"/>
  <c r="J597" i="6" s="1"/>
  <c r="H598" i="6"/>
  <c r="J598" i="6" s="1"/>
  <c r="H599" i="6"/>
  <c r="J599" i="6" s="1"/>
  <c r="H600" i="6"/>
  <c r="J600" i="6" s="1"/>
  <c r="H601" i="6"/>
  <c r="J601" i="6" s="1"/>
  <c r="H602" i="6"/>
  <c r="J602" i="6" s="1"/>
  <c r="H603" i="6"/>
  <c r="J603" i="6" s="1"/>
  <c r="H604" i="6"/>
  <c r="J604" i="6" s="1"/>
  <c r="H605" i="6"/>
  <c r="J605" i="6" s="1"/>
  <c r="H606" i="6"/>
  <c r="J606" i="6" s="1"/>
  <c r="H607" i="6"/>
  <c r="J607" i="6" s="1"/>
  <c r="H608" i="6"/>
  <c r="J608" i="6" s="1"/>
  <c r="H609" i="6"/>
  <c r="J609" i="6" s="1"/>
  <c r="H610" i="6"/>
  <c r="J610" i="6" s="1"/>
  <c r="H611" i="6"/>
  <c r="J611" i="6" s="1"/>
  <c r="H612" i="6"/>
  <c r="J612" i="6" s="1"/>
  <c r="H613" i="6"/>
  <c r="J613" i="6" s="1"/>
  <c r="H614" i="6"/>
  <c r="H615" i="6"/>
  <c r="J615" i="6" s="1"/>
  <c r="H616" i="6"/>
  <c r="J616" i="6" s="1"/>
  <c r="H617" i="6"/>
  <c r="J617" i="6" s="1"/>
  <c r="H618" i="6"/>
  <c r="J618" i="6" s="1"/>
  <c r="H619" i="6"/>
  <c r="J619" i="6" s="1"/>
  <c r="H620" i="6"/>
  <c r="J620" i="6" s="1"/>
  <c r="H621" i="6"/>
  <c r="J621" i="6" s="1"/>
  <c r="H622" i="6"/>
  <c r="J622" i="6" s="1"/>
  <c r="H623" i="6"/>
  <c r="J623" i="6" s="1"/>
  <c r="H624" i="6"/>
  <c r="J624" i="6" s="1"/>
  <c r="H625" i="6"/>
  <c r="J625" i="6" s="1"/>
  <c r="H626" i="6"/>
  <c r="J626" i="6" s="1"/>
  <c r="H627" i="6"/>
  <c r="H628" i="6"/>
  <c r="H629" i="6"/>
  <c r="J629" i="6" s="1"/>
  <c r="H630" i="6"/>
  <c r="J630" i="6" s="1"/>
  <c r="H631" i="6"/>
  <c r="H632" i="6"/>
  <c r="J632" i="6" s="1"/>
  <c r="H633" i="6"/>
  <c r="J633" i="6" s="1"/>
  <c r="H634" i="6"/>
  <c r="J634" i="6" s="1"/>
  <c r="H635" i="6"/>
  <c r="J635" i="6" s="1"/>
  <c r="H636" i="6"/>
  <c r="J636" i="6" s="1"/>
  <c r="H637" i="6"/>
  <c r="J637" i="6" s="1"/>
  <c r="H638" i="6"/>
  <c r="J638" i="6" s="1"/>
  <c r="H639" i="6"/>
  <c r="J639" i="6" s="1"/>
  <c r="H640" i="6"/>
  <c r="J640" i="6" s="1"/>
  <c r="H641" i="6"/>
  <c r="J641" i="6" s="1"/>
  <c r="H642" i="6"/>
  <c r="J642" i="6" s="1"/>
  <c r="H643" i="6"/>
  <c r="H644" i="6"/>
  <c r="H645" i="6"/>
  <c r="H646" i="6"/>
  <c r="J646" i="6" s="1"/>
  <c r="H647" i="6"/>
  <c r="J647" i="6" s="1"/>
  <c r="H648" i="6"/>
  <c r="J648" i="6" s="1"/>
  <c r="H649" i="6"/>
  <c r="J649" i="6" s="1"/>
  <c r="H650" i="6"/>
  <c r="J650" i="6" s="1"/>
  <c r="H651" i="6"/>
  <c r="J651" i="6" s="1"/>
  <c r="H652" i="6"/>
  <c r="J652" i="6" s="1"/>
  <c r="H653" i="6"/>
  <c r="J653" i="6" s="1"/>
  <c r="H654" i="6"/>
  <c r="J654" i="6" s="1"/>
  <c r="H655" i="6"/>
  <c r="J655" i="6" s="1"/>
  <c r="H656" i="6"/>
  <c r="J656" i="6" s="1"/>
  <c r="H657" i="6"/>
  <c r="J657" i="6" s="1"/>
  <c r="H658" i="6"/>
  <c r="J658" i="6" s="1"/>
  <c r="H659" i="6"/>
  <c r="H660" i="6"/>
  <c r="H661" i="6"/>
  <c r="H662" i="6"/>
  <c r="H663" i="6"/>
  <c r="J663" i="6" s="1"/>
  <c r="H664" i="6"/>
  <c r="J664" i="6" s="1"/>
  <c r="H665" i="6"/>
  <c r="J665" i="6" s="1"/>
  <c r="H666" i="6"/>
  <c r="J666" i="6" s="1"/>
  <c r="H667" i="6"/>
  <c r="J667" i="6" s="1"/>
  <c r="H668" i="6"/>
  <c r="J668" i="6" s="1"/>
  <c r="H669" i="6"/>
  <c r="J669" i="6" s="1"/>
  <c r="H670" i="6"/>
  <c r="J670" i="6" s="1"/>
  <c r="H671" i="6"/>
  <c r="J671" i="6" s="1"/>
  <c r="H672" i="6"/>
  <c r="J672" i="6" s="1"/>
  <c r="H673" i="6"/>
  <c r="J673" i="6" s="1"/>
  <c r="H674" i="6"/>
  <c r="J674" i="6" s="1"/>
  <c r="H675" i="6"/>
  <c r="J675" i="6" s="1"/>
  <c r="H676" i="6"/>
  <c r="J676" i="6" s="1"/>
  <c r="H677" i="6"/>
  <c r="J677" i="6" s="1"/>
  <c r="H678" i="6"/>
  <c r="J678" i="6" s="1"/>
  <c r="H679" i="6"/>
  <c r="J679" i="6" s="1"/>
  <c r="H680" i="6"/>
  <c r="J680" i="6" s="1"/>
  <c r="H681" i="6"/>
  <c r="J681" i="6" s="1"/>
  <c r="H682" i="6"/>
  <c r="J682" i="6" s="1"/>
  <c r="H683" i="6"/>
  <c r="J683" i="6" s="1"/>
  <c r="H684" i="6"/>
  <c r="J684" i="6" s="1"/>
  <c r="H685" i="6"/>
  <c r="J685" i="6" s="1"/>
  <c r="H686" i="6"/>
  <c r="J686" i="6" s="1"/>
  <c r="H687" i="6"/>
  <c r="J687" i="6" s="1"/>
  <c r="H688" i="6"/>
  <c r="J688" i="6" s="1"/>
  <c r="H689" i="6"/>
  <c r="J689" i="6" s="1"/>
  <c r="H690" i="6"/>
  <c r="J690" i="6" s="1"/>
  <c r="H691" i="6"/>
  <c r="J691" i="6" s="1"/>
  <c r="H692" i="6"/>
  <c r="J692" i="6" s="1"/>
  <c r="H693" i="6"/>
  <c r="H694" i="6"/>
  <c r="J694" i="6" s="1"/>
  <c r="H695" i="6"/>
  <c r="J695" i="6" s="1"/>
  <c r="H696" i="6"/>
  <c r="H697" i="6"/>
  <c r="J697" i="6" s="1"/>
  <c r="H698" i="6"/>
  <c r="J698" i="6" s="1"/>
  <c r="H699" i="6"/>
  <c r="J699" i="6" s="1"/>
  <c r="H700" i="6"/>
  <c r="J700" i="6" s="1"/>
  <c r="H701" i="6"/>
  <c r="J701" i="6" s="1"/>
  <c r="H702" i="6"/>
  <c r="J702" i="6" s="1"/>
  <c r="H703" i="6"/>
  <c r="J703" i="6" s="1"/>
  <c r="H704" i="6"/>
  <c r="J704" i="6" s="1"/>
  <c r="H705" i="6"/>
  <c r="J705" i="6" s="1"/>
  <c r="H706" i="6"/>
  <c r="J706" i="6" s="1"/>
  <c r="H707" i="6"/>
  <c r="H708" i="6"/>
  <c r="H709" i="6"/>
  <c r="H710" i="6"/>
  <c r="J710" i="6" s="1"/>
  <c r="H711" i="6"/>
  <c r="J711" i="6" s="1"/>
  <c r="H712" i="6"/>
  <c r="J712" i="6" s="1"/>
  <c r="H713" i="6"/>
  <c r="J713" i="6" s="1"/>
  <c r="H714" i="6"/>
  <c r="J714" i="6" s="1"/>
  <c r="H715" i="6"/>
  <c r="J715" i="6" s="1"/>
  <c r="H716" i="6"/>
  <c r="J716" i="6" s="1"/>
  <c r="H717" i="6"/>
  <c r="J717" i="6" s="1"/>
  <c r="H718" i="6"/>
  <c r="J718" i="6" s="1"/>
  <c r="H719" i="6"/>
  <c r="J719" i="6" s="1"/>
  <c r="H720" i="6"/>
  <c r="J720" i="6" s="1"/>
  <c r="H721" i="6"/>
  <c r="J721" i="6" s="1"/>
  <c r="H722" i="6"/>
  <c r="J722" i="6" s="1"/>
  <c r="H723" i="6"/>
  <c r="H724" i="6"/>
  <c r="H725" i="6"/>
  <c r="J725" i="6" s="1"/>
  <c r="H726" i="6"/>
  <c r="H727" i="6"/>
  <c r="J727" i="6" s="1"/>
  <c r="H728" i="6"/>
  <c r="J728" i="6" s="1"/>
  <c r="H729" i="6"/>
  <c r="J729" i="6" s="1"/>
  <c r="H730" i="6"/>
  <c r="J730" i="6" s="1"/>
  <c r="H731" i="6"/>
  <c r="J731" i="6" s="1"/>
  <c r="H732" i="6"/>
  <c r="J732" i="6" s="1"/>
  <c r="H733" i="6"/>
  <c r="J733" i="6" s="1"/>
  <c r="H734" i="6"/>
  <c r="J734" i="6" s="1"/>
  <c r="H735" i="6"/>
  <c r="J735" i="6" s="1"/>
  <c r="H736" i="6"/>
  <c r="J736" i="6" s="1"/>
  <c r="H737" i="6"/>
  <c r="J737" i="6" s="1"/>
  <c r="H738" i="6"/>
  <c r="J738" i="6" s="1"/>
  <c r="H739" i="6"/>
  <c r="H740" i="6"/>
  <c r="J740" i="6" s="1"/>
  <c r="H741" i="6"/>
  <c r="J741" i="6" s="1"/>
  <c r="H742" i="6"/>
  <c r="H743" i="6"/>
  <c r="J743" i="6" s="1"/>
  <c r="H744" i="6"/>
  <c r="J744" i="6" s="1"/>
  <c r="H745" i="6"/>
  <c r="J745" i="6" s="1"/>
  <c r="H746" i="6"/>
  <c r="J746" i="6" s="1"/>
  <c r="H747" i="6"/>
  <c r="J747" i="6" s="1"/>
  <c r="H748" i="6"/>
  <c r="J748" i="6" s="1"/>
  <c r="H749" i="6"/>
  <c r="J749" i="6" s="1"/>
  <c r="H750" i="6"/>
  <c r="J750" i="6" s="1"/>
  <c r="H751" i="6"/>
  <c r="J751" i="6" s="1"/>
  <c r="H752" i="6"/>
  <c r="J752" i="6" s="1"/>
  <c r="H753" i="6"/>
  <c r="J753" i="6" s="1"/>
  <c r="H754" i="6"/>
  <c r="J754" i="6" s="1"/>
  <c r="H755" i="6"/>
  <c r="J755" i="6" s="1"/>
  <c r="H756" i="6"/>
  <c r="J756" i="6" s="1"/>
  <c r="H757" i="6"/>
  <c r="H758" i="6"/>
  <c r="H759" i="6"/>
  <c r="H760" i="6"/>
  <c r="J760" i="6" s="1"/>
  <c r="H761" i="6"/>
  <c r="J761" i="6" s="1"/>
  <c r="H762" i="6"/>
  <c r="J762" i="6" s="1"/>
  <c r="H763" i="6"/>
  <c r="J763" i="6" s="1"/>
  <c r="H764" i="6"/>
  <c r="J764" i="6" s="1"/>
  <c r="H765" i="6"/>
  <c r="J765" i="6" s="1"/>
  <c r="H766" i="6"/>
  <c r="J766" i="6" s="1"/>
  <c r="H767" i="6"/>
  <c r="J767" i="6" s="1"/>
  <c r="H768" i="6"/>
  <c r="J768" i="6" s="1"/>
  <c r="H769" i="6"/>
  <c r="J769" i="6" s="1"/>
  <c r="H770" i="6"/>
  <c r="J770" i="6" s="1"/>
  <c r="H771" i="6"/>
  <c r="H772" i="6"/>
  <c r="H773" i="6"/>
  <c r="H774" i="6"/>
  <c r="J774" i="6" s="1"/>
  <c r="H775" i="6"/>
  <c r="J775" i="6" s="1"/>
  <c r="H776" i="6"/>
  <c r="J776" i="6" s="1"/>
  <c r="H777" i="6"/>
  <c r="J777" i="6" s="1"/>
  <c r="H778" i="6"/>
  <c r="J778" i="6" s="1"/>
  <c r="H779" i="6"/>
  <c r="J779" i="6" s="1"/>
  <c r="H780" i="6"/>
  <c r="J780" i="6" s="1"/>
  <c r="H781" i="6"/>
  <c r="J781" i="6" s="1"/>
  <c r="H782" i="6"/>
  <c r="J782" i="6" s="1"/>
  <c r="H783" i="6"/>
  <c r="J783" i="6" s="1"/>
  <c r="H784" i="6"/>
  <c r="J784" i="6" s="1"/>
  <c r="H785" i="6"/>
  <c r="J785" i="6" s="1"/>
  <c r="H786" i="6"/>
  <c r="J786" i="6" s="1"/>
  <c r="H787" i="6"/>
  <c r="H788" i="6"/>
  <c r="H789" i="6"/>
  <c r="J789" i="6" s="1"/>
  <c r="H790" i="6"/>
  <c r="H791" i="6"/>
  <c r="J791" i="6" s="1"/>
  <c r="H792" i="6"/>
  <c r="H793" i="6"/>
  <c r="H794" i="6"/>
  <c r="J794" i="6" s="1"/>
  <c r="H795" i="6"/>
  <c r="J795" i="6" s="1"/>
  <c r="H796" i="6"/>
  <c r="J796" i="6" s="1"/>
  <c r="H797" i="6"/>
  <c r="J797" i="6" s="1"/>
  <c r="H798" i="6"/>
  <c r="J798" i="6" s="1"/>
  <c r="H799" i="6"/>
  <c r="J799" i="6" s="1"/>
  <c r="H800" i="6"/>
  <c r="J800" i="6" s="1"/>
  <c r="H801" i="6"/>
  <c r="J801" i="6" s="1"/>
  <c r="H802" i="6"/>
  <c r="J802" i="6" s="1"/>
  <c r="H803" i="6"/>
  <c r="J803" i="6" s="1"/>
  <c r="H804" i="6"/>
  <c r="J804" i="6" s="1"/>
  <c r="H805" i="6"/>
  <c r="J805" i="6" s="1"/>
  <c r="H806" i="6"/>
  <c r="H807" i="6"/>
  <c r="J807" i="6" s="1"/>
  <c r="H808" i="6"/>
  <c r="J808" i="6" s="1"/>
  <c r="H809" i="6"/>
  <c r="J809" i="6" s="1"/>
  <c r="H810" i="6"/>
  <c r="J810" i="6" s="1"/>
  <c r="H811" i="6"/>
  <c r="J811" i="6" s="1"/>
  <c r="H812" i="6"/>
  <c r="J812" i="6" s="1"/>
  <c r="H813" i="6"/>
  <c r="J813" i="6" s="1"/>
  <c r="H814" i="6"/>
  <c r="J814" i="6" s="1"/>
  <c r="H815" i="6"/>
  <c r="J815" i="6" s="1"/>
  <c r="H816" i="6"/>
  <c r="J816" i="6" s="1"/>
  <c r="H817" i="6"/>
  <c r="J817" i="6" s="1"/>
  <c r="H818" i="6"/>
  <c r="J818" i="6" s="1"/>
  <c r="H819" i="6"/>
  <c r="J819" i="6" s="1"/>
  <c r="H820" i="6"/>
  <c r="H821" i="6"/>
  <c r="J821" i="6" s="1"/>
  <c r="H822" i="6"/>
  <c r="H823" i="6"/>
  <c r="J823" i="6" s="1"/>
  <c r="H824" i="6"/>
  <c r="J824" i="6" s="1"/>
  <c r="H825" i="6"/>
  <c r="J825" i="6" s="1"/>
  <c r="H826" i="6"/>
  <c r="J826" i="6" s="1"/>
  <c r="H827" i="6"/>
  <c r="J827" i="6" s="1"/>
  <c r="H828" i="6"/>
  <c r="J828" i="6" s="1"/>
  <c r="H829" i="6"/>
  <c r="J829" i="6" s="1"/>
  <c r="H830" i="6"/>
  <c r="J830" i="6" s="1"/>
  <c r="H831" i="6"/>
  <c r="J831" i="6" s="1"/>
  <c r="H832" i="6"/>
  <c r="J832" i="6" s="1"/>
  <c r="H833" i="6"/>
  <c r="J833" i="6" s="1"/>
  <c r="H834" i="6"/>
  <c r="J834" i="6" s="1"/>
  <c r="H835" i="6"/>
  <c r="H836" i="6"/>
  <c r="H837" i="6"/>
  <c r="H838" i="6"/>
  <c r="H839" i="6"/>
  <c r="J839" i="6" s="1"/>
  <c r="H840" i="6"/>
  <c r="J840" i="6" s="1"/>
  <c r="H841" i="6"/>
  <c r="J841" i="6" s="1"/>
  <c r="H842" i="6"/>
  <c r="J842" i="6" s="1"/>
  <c r="H843" i="6"/>
  <c r="J843" i="6" s="1"/>
  <c r="H844" i="6"/>
  <c r="J844" i="6" s="1"/>
  <c r="H845" i="6"/>
  <c r="J845" i="6" s="1"/>
  <c r="H846" i="6"/>
  <c r="J846" i="6" s="1"/>
  <c r="H847" i="6"/>
  <c r="J847" i="6" s="1"/>
  <c r="H848" i="6"/>
  <c r="J848" i="6" s="1"/>
  <c r="H849" i="6"/>
  <c r="J849" i="6" s="1"/>
  <c r="H850" i="6"/>
  <c r="J850" i="6" s="1"/>
  <c r="H851" i="6"/>
  <c r="H852" i="6"/>
  <c r="H853" i="6"/>
  <c r="J853" i="6" s="1"/>
  <c r="H854" i="6"/>
  <c r="J854" i="6" s="1"/>
  <c r="H855" i="6"/>
  <c r="J855" i="6" s="1"/>
  <c r="H856" i="6"/>
  <c r="J856" i="6" s="1"/>
  <c r="H857" i="6"/>
  <c r="J857" i="6" s="1"/>
  <c r="H858" i="6"/>
  <c r="J858" i="6" s="1"/>
  <c r="H859" i="6"/>
  <c r="J859" i="6" s="1"/>
  <c r="H860" i="6"/>
  <c r="J860" i="6" s="1"/>
  <c r="H861" i="6"/>
  <c r="J861" i="6" s="1"/>
  <c r="H862" i="6"/>
  <c r="J862" i="6" s="1"/>
  <c r="H863" i="6"/>
  <c r="J863" i="6" s="1"/>
  <c r="H864" i="6"/>
  <c r="J864" i="6" s="1"/>
  <c r="H865" i="6"/>
  <c r="J865" i="6" s="1"/>
  <c r="H866" i="6"/>
  <c r="J866" i="6" s="1"/>
  <c r="H867" i="6"/>
  <c r="H868" i="6"/>
  <c r="J868" i="6" s="1"/>
  <c r="H869" i="6"/>
  <c r="J869" i="6" s="1"/>
  <c r="H870" i="6"/>
  <c r="H871" i="6"/>
  <c r="J871" i="6" s="1"/>
  <c r="H872" i="6"/>
  <c r="H873" i="6"/>
  <c r="J873" i="6" s="1"/>
  <c r="H874" i="6"/>
  <c r="J874" i="6" s="1"/>
  <c r="H875" i="6"/>
  <c r="J875" i="6" s="1"/>
  <c r="H876" i="6"/>
  <c r="J876" i="6" s="1"/>
  <c r="H877" i="6"/>
  <c r="J877" i="6" s="1"/>
  <c r="H878" i="6"/>
  <c r="J878" i="6" s="1"/>
  <c r="H879" i="6"/>
  <c r="J879" i="6" s="1"/>
  <c r="H880" i="6"/>
  <c r="J880" i="6" s="1"/>
  <c r="H881" i="6"/>
  <c r="J881" i="6" s="1"/>
  <c r="H882" i="6"/>
  <c r="J882" i="6" s="1"/>
  <c r="H883" i="6"/>
  <c r="J883" i="6" s="1"/>
  <c r="H884" i="6"/>
  <c r="J884" i="6" s="1"/>
  <c r="H885" i="6"/>
  <c r="J885" i="6" s="1"/>
  <c r="H886" i="6"/>
  <c r="J886" i="6" s="1"/>
  <c r="H887" i="6"/>
  <c r="J887" i="6" s="1"/>
  <c r="H888" i="6"/>
  <c r="J888" i="6" s="1"/>
  <c r="H889" i="6"/>
  <c r="J889" i="6" s="1"/>
  <c r="H890" i="6"/>
  <c r="J890" i="6" s="1"/>
  <c r="H891" i="6"/>
  <c r="J891" i="6" s="1"/>
  <c r="H892" i="6"/>
  <c r="J892" i="6" s="1"/>
  <c r="H893" i="6"/>
  <c r="J893" i="6" s="1"/>
  <c r="H894" i="6"/>
  <c r="J894" i="6" s="1"/>
  <c r="H895" i="6"/>
  <c r="J895" i="6" s="1"/>
  <c r="H896" i="6"/>
  <c r="J896" i="6" s="1"/>
  <c r="H897" i="6"/>
  <c r="J897" i="6" s="1"/>
  <c r="H898" i="6"/>
  <c r="J898" i="6" s="1"/>
  <c r="H899" i="6"/>
  <c r="H900" i="6"/>
  <c r="H901" i="6"/>
  <c r="H902" i="6"/>
  <c r="H903" i="6"/>
  <c r="J903" i="6" s="1"/>
  <c r="H904" i="6"/>
  <c r="J904" i="6" s="1"/>
  <c r="H905" i="6"/>
  <c r="J905" i="6" s="1"/>
  <c r="H906" i="6"/>
  <c r="J906" i="6" s="1"/>
  <c r="H907" i="6"/>
  <c r="J907" i="6" s="1"/>
  <c r="H908" i="6"/>
  <c r="J908" i="6" s="1"/>
  <c r="H909" i="6"/>
  <c r="J909" i="6" s="1"/>
  <c r="H910" i="6"/>
  <c r="J910" i="6" s="1"/>
  <c r="H911" i="6"/>
  <c r="J911" i="6" s="1"/>
  <c r="H912" i="6"/>
  <c r="J912" i="6" s="1"/>
  <c r="H913" i="6"/>
  <c r="J913" i="6" s="1"/>
  <c r="H914" i="6"/>
  <c r="J914" i="6" s="1"/>
  <c r="H915" i="6"/>
  <c r="H916" i="6"/>
  <c r="H917" i="6"/>
  <c r="H918" i="6"/>
  <c r="J918" i="6" s="1"/>
  <c r="H919" i="6"/>
  <c r="J919" i="6" s="1"/>
  <c r="H920" i="6"/>
  <c r="J920" i="6" s="1"/>
  <c r="H921" i="6"/>
  <c r="J921" i="6" s="1"/>
  <c r="H922" i="6"/>
  <c r="J922" i="6" s="1"/>
  <c r="H923" i="6"/>
  <c r="J923" i="6" s="1"/>
  <c r="H924" i="6"/>
  <c r="J924" i="6" s="1"/>
  <c r="H925" i="6"/>
  <c r="H926" i="6"/>
  <c r="J926" i="6" s="1"/>
  <c r="H927" i="6"/>
  <c r="J927" i="6" s="1"/>
  <c r="H928" i="6"/>
  <c r="J928" i="6" s="1"/>
  <c r="H929" i="6"/>
  <c r="J929" i="6" s="1"/>
  <c r="H930" i="6"/>
  <c r="J930" i="6" s="1"/>
  <c r="H931" i="6"/>
  <c r="H932" i="6"/>
  <c r="H933" i="6"/>
  <c r="J933" i="6" s="1"/>
  <c r="H934" i="6"/>
  <c r="J934" i="6" s="1"/>
  <c r="H935" i="6"/>
  <c r="J935" i="6" s="1"/>
  <c r="H936" i="6"/>
  <c r="J936" i="6" s="1"/>
  <c r="H937" i="6"/>
  <c r="J937" i="6" s="1"/>
  <c r="H938" i="6"/>
  <c r="H939" i="6"/>
  <c r="J939" i="6" s="1"/>
  <c r="H940" i="6"/>
  <c r="J940" i="6" s="1"/>
  <c r="H941" i="6"/>
  <c r="J941" i="6" s="1"/>
  <c r="H942" i="6"/>
  <c r="J942" i="6" s="1"/>
  <c r="H943" i="6"/>
  <c r="J943" i="6" s="1"/>
  <c r="H944" i="6"/>
  <c r="J944" i="6" s="1"/>
  <c r="H945" i="6"/>
  <c r="J945" i="6" s="1"/>
  <c r="H946" i="6"/>
  <c r="J946" i="6" s="1"/>
  <c r="H947" i="6"/>
  <c r="J947" i="6" s="1"/>
  <c r="H948" i="6"/>
  <c r="J948" i="6" s="1"/>
  <c r="H949" i="6"/>
  <c r="J949" i="6" s="1"/>
  <c r="H950" i="6"/>
  <c r="J950" i="6" s="1"/>
  <c r="H951" i="6"/>
  <c r="J951" i="6" s="1"/>
  <c r="H952" i="6"/>
  <c r="J952" i="6" s="1"/>
  <c r="H953" i="6"/>
  <c r="J953" i="6" s="1"/>
  <c r="H954" i="6"/>
  <c r="J954" i="6" s="1"/>
  <c r="H955" i="6"/>
  <c r="J955" i="6" s="1"/>
  <c r="H956" i="6"/>
  <c r="J956" i="6" s="1"/>
  <c r="H957" i="6"/>
  <c r="J957" i="6" s="1"/>
  <c r="H958" i="6"/>
  <c r="J958" i="6" s="1"/>
  <c r="H959" i="6"/>
  <c r="J959" i="6" s="1"/>
  <c r="H960" i="6"/>
  <c r="J960" i="6" s="1"/>
  <c r="H961" i="6"/>
  <c r="J961" i="6" s="1"/>
  <c r="H962" i="6"/>
  <c r="J962" i="6" s="1"/>
  <c r="H963" i="6"/>
  <c r="H964" i="6"/>
  <c r="H965" i="6"/>
  <c r="H966" i="6"/>
  <c r="H967" i="6"/>
  <c r="J967" i="6" s="1"/>
  <c r="H968" i="6"/>
  <c r="J968" i="6" s="1"/>
  <c r="H969" i="6"/>
  <c r="J969" i="6" s="1"/>
  <c r="H970" i="6"/>
  <c r="J970" i="6" s="1"/>
  <c r="H971" i="6"/>
  <c r="J971" i="6" s="1"/>
  <c r="H972" i="6"/>
  <c r="J972" i="6" s="1"/>
  <c r="H973" i="6"/>
  <c r="J973" i="6" s="1"/>
  <c r="H974" i="6"/>
  <c r="J974" i="6" s="1"/>
  <c r="H975" i="6"/>
  <c r="J975" i="6" s="1"/>
  <c r="H976" i="6"/>
  <c r="J976" i="6" s="1"/>
  <c r="H977" i="6"/>
  <c r="J977" i="6" s="1"/>
  <c r="H978" i="6"/>
  <c r="J978" i="6" s="1"/>
  <c r="H979" i="6"/>
  <c r="H980" i="6"/>
  <c r="H981" i="6"/>
  <c r="H982" i="6"/>
  <c r="H983" i="6"/>
  <c r="J983" i="6" s="1"/>
  <c r="H984" i="6"/>
  <c r="J984" i="6" s="1"/>
  <c r="H985" i="6"/>
  <c r="J985" i="6" s="1"/>
  <c r="H986" i="6"/>
  <c r="J986" i="6" s="1"/>
  <c r="H987" i="6"/>
  <c r="J987" i="6" s="1"/>
  <c r="H988" i="6"/>
  <c r="J988" i="6" s="1"/>
  <c r="H989" i="6"/>
  <c r="J989" i="6" s="1"/>
  <c r="H990" i="6"/>
  <c r="J990" i="6" s="1"/>
  <c r="H991" i="6"/>
  <c r="J991" i="6" s="1"/>
  <c r="H992" i="6"/>
  <c r="J992" i="6" s="1"/>
  <c r="H993" i="6"/>
  <c r="J993" i="6" s="1"/>
  <c r="H994" i="6"/>
  <c r="J994" i="6" s="1"/>
  <c r="H995" i="6"/>
  <c r="H996" i="6"/>
  <c r="H997" i="6"/>
  <c r="J997" i="6" s="1"/>
  <c r="H998" i="6"/>
  <c r="J998" i="6" s="1"/>
  <c r="H999" i="6"/>
  <c r="J999" i="6" s="1"/>
  <c r="H1000" i="6"/>
  <c r="J1000" i="6" s="1"/>
  <c r="H1001" i="6"/>
  <c r="J1001" i="6" s="1"/>
  <c r="H1002" i="6"/>
  <c r="J1002" i="6" s="1"/>
  <c r="H1003" i="6"/>
  <c r="J1003" i="6" s="1"/>
  <c r="H1004" i="6"/>
  <c r="J1004" i="6" s="1"/>
  <c r="H1005" i="6"/>
  <c r="J1005" i="6" s="1"/>
  <c r="H1006" i="6"/>
  <c r="J1006" i="6" s="1"/>
  <c r="H1007" i="6"/>
  <c r="J1007" i="6" s="1"/>
  <c r="H1008" i="6"/>
  <c r="J1008" i="6" s="1"/>
  <c r="H1009" i="6"/>
  <c r="J1009" i="6" s="1"/>
  <c r="H1010" i="6"/>
  <c r="J1010" i="6" s="1"/>
  <c r="H1011" i="6"/>
  <c r="J1011" i="6" s="1"/>
  <c r="H1012" i="6"/>
  <c r="J1012" i="6" s="1"/>
  <c r="H1013" i="6"/>
  <c r="J1013" i="6" s="1"/>
  <c r="H1014" i="6"/>
  <c r="J1014" i="6" s="1"/>
  <c r="H1015" i="6"/>
  <c r="J1015" i="6" s="1"/>
  <c r="H1016" i="6"/>
  <c r="J1016" i="6" s="1"/>
  <c r="H1017" i="6"/>
  <c r="J1017" i="6" s="1"/>
  <c r="H1018" i="6"/>
  <c r="J1018" i="6" s="1"/>
  <c r="H1019" i="6"/>
  <c r="J1019" i="6" s="1"/>
  <c r="H1020" i="6"/>
  <c r="J1020" i="6" s="1"/>
  <c r="H1021" i="6"/>
  <c r="J1021" i="6" s="1"/>
  <c r="H1022" i="6"/>
  <c r="J1022" i="6" s="1"/>
  <c r="H1023" i="6"/>
  <c r="J1023" i="6" s="1"/>
  <c r="H1024" i="6"/>
  <c r="J1024" i="6" s="1"/>
  <c r="H1025" i="6"/>
  <c r="J1025" i="6" s="1"/>
  <c r="H1026" i="6"/>
  <c r="J1026" i="6" s="1"/>
  <c r="H1027" i="6"/>
  <c r="J1027" i="6" s="1"/>
  <c r="H1028" i="6"/>
  <c r="H1029" i="6"/>
  <c r="J1029" i="6" s="1"/>
  <c r="H1030" i="6"/>
  <c r="H1031" i="6"/>
  <c r="J1031" i="6" s="1"/>
  <c r="H1032" i="6"/>
  <c r="J1032" i="6" s="1"/>
  <c r="H1033" i="6"/>
  <c r="J1033" i="6" s="1"/>
  <c r="H1034" i="6"/>
  <c r="J1034" i="6" s="1"/>
  <c r="H1035" i="6"/>
  <c r="J1035" i="6" s="1"/>
  <c r="H1036" i="6"/>
  <c r="J1036" i="6" s="1"/>
  <c r="H1037" i="6"/>
  <c r="J1037" i="6" s="1"/>
  <c r="H1038" i="6"/>
  <c r="J1038" i="6" s="1"/>
  <c r="H1039" i="6"/>
  <c r="J1039" i="6" s="1"/>
  <c r="H1040" i="6"/>
  <c r="J1040" i="6" s="1"/>
  <c r="H1041" i="6"/>
  <c r="J1041" i="6" s="1"/>
  <c r="H1042" i="6"/>
  <c r="J1042" i="6" s="1"/>
  <c r="H1043" i="6"/>
  <c r="H1044" i="6"/>
  <c r="H1045" i="6"/>
  <c r="H1046" i="6"/>
  <c r="H1047" i="6"/>
  <c r="H1048" i="6"/>
  <c r="J1048" i="6" s="1"/>
  <c r="H1049" i="6"/>
  <c r="J1049" i="6" s="1"/>
  <c r="H1050" i="6"/>
  <c r="J1050" i="6" s="1"/>
  <c r="H1051" i="6"/>
  <c r="J1051" i="6" s="1"/>
  <c r="H1052" i="6"/>
  <c r="J1052" i="6" s="1"/>
  <c r="H1053" i="6"/>
  <c r="J1053" i="6" s="1"/>
  <c r="H1054" i="6"/>
  <c r="J1054" i="6" s="1"/>
  <c r="H1055" i="6"/>
  <c r="J1055" i="6" s="1"/>
  <c r="H1056" i="6"/>
  <c r="J1056" i="6" s="1"/>
  <c r="H1057" i="6"/>
  <c r="J1057" i="6" s="1"/>
  <c r="H1058" i="6"/>
  <c r="J1058" i="6" s="1"/>
  <c r="H1059" i="6"/>
  <c r="H1060" i="6"/>
  <c r="H1061" i="6"/>
  <c r="H1062" i="6"/>
  <c r="J1062" i="6" s="1"/>
  <c r="H1063" i="6"/>
  <c r="J1063" i="6" s="1"/>
  <c r="H1064" i="6"/>
  <c r="H1065" i="6"/>
  <c r="J1065" i="6" s="1"/>
  <c r="H1066" i="6"/>
  <c r="J1066" i="6" s="1"/>
  <c r="H1067" i="6"/>
  <c r="J1067" i="6" s="1"/>
  <c r="H1068" i="6"/>
  <c r="J1068" i="6" s="1"/>
  <c r="H1069" i="6"/>
  <c r="J1069" i="6" s="1"/>
  <c r="H1070" i="6"/>
  <c r="J1070" i="6" s="1"/>
  <c r="H1071" i="6"/>
  <c r="J1071" i="6" s="1"/>
  <c r="H1072" i="6"/>
  <c r="J1072" i="6" s="1"/>
  <c r="H1073" i="6"/>
  <c r="J1073" i="6" s="1"/>
  <c r="H1074" i="6"/>
  <c r="J1074" i="6" s="1"/>
  <c r="H1075" i="6"/>
  <c r="J1075" i="6" s="1"/>
  <c r="H1076" i="6"/>
  <c r="J1076" i="6" s="1"/>
  <c r="H1077" i="6"/>
  <c r="J1077" i="6" s="1"/>
  <c r="H1078" i="6"/>
  <c r="J1078" i="6" s="1"/>
  <c r="H1079" i="6"/>
  <c r="J1079" i="6" s="1"/>
  <c r="H1080" i="6"/>
  <c r="J1080" i="6" s="1"/>
  <c r="H1081" i="6"/>
  <c r="J1081" i="6" s="1"/>
  <c r="H1082" i="6"/>
  <c r="J1082" i="6" s="1"/>
  <c r="H1083" i="6"/>
  <c r="J1083" i="6" s="1"/>
  <c r="H1084" i="6"/>
  <c r="J1084" i="6" s="1"/>
  <c r="H1085" i="6"/>
  <c r="J1085" i="6" s="1"/>
  <c r="H1086" i="6"/>
  <c r="J1086" i="6" s="1"/>
  <c r="H1087" i="6"/>
  <c r="J1087" i="6" s="1"/>
  <c r="H1088" i="6"/>
  <c r="J1088" i="6" s="1"/>
  <c r="H1089" i="6"/>
  <c r="J1089" i="6" s="1"/>
  <c r="H1090" i="6"/>
  <c r="J1090" i="6" s="1"/>
  <c r="H1091" i="6"/>
  <c r="J1091" i="6" s="1"/>
  <c r="H1092" i="6"/>
  <c r="J1092" i="6" s="1"/>
  <c r="H1093" i="6"/>
  <c r="J1093" i="6" s="1"/>
  <c r="H1094" i="6"/>
  <c r="J1094" i="6" s="1"/>
  <c r="H1095" i="6"/>
  <c r="J1095" i="6" s="1"/>
  <c r="H1096" i="6"/>
  <c r="J1096" i="6" s="1"/>
  <c r="H1097" i="6"/>
  <c r="J1097" i="6" s="1"/>
  <c r="H1098" i="6"/>
  <c r="J1098" i="6" s="1"/>
  <c r="H1099" i="6"/>
  <c r="J1099" i="6" s="1"/>
  <c r="H1100" i="6"/>
  <c r="J1100" i="6" s="1"/>
  <c r="H1101" i="6"/>
  <c r="J1101" i="6" s="1"/>
  <c r="H1102" i="6"/>
  <c r="J1102" i="6" s="1"/>
  <c r="H1103" i="6"/>
  <c r="J1103" i="6" s="1"/>
  <c r="H1104" i="6"/>
  <c r="J1104" i="6" s="1"/>
  <c r="H1105" i="6"/>
  <c r="J1105" i="6" s="1"/>
  <c r="H1106" i="6"/>
  <c r="J1106" i="6" s="1"/>
  <c r="H1107" i="6"/>
  <c r="H1108" i="6"/>
  <c r="H1109" i="6"/>
  <c r="H1110" i="6"/>
  <c r="H1111" i="6"/>
  <c r="J1111" i="6" s="1"/>
  <c r="H1112" i="6"/>
  <c r="J1112" i="6" s="1"/>
  <c r="H1113" i="6"/>
  <c r="J1113" i="6" s="1"/>
  <c r="H1114" i="6"/>
  <c r="J1114" i="6" s="1"/>
  <c r="H1115" i="6"/>
  <c r="J1115" i="6" s="1"/>
  <c r="H1116" i="6"/>
  <c r="J1116" i="6" s="1"/>
  <c r="H1117" i="6"/>
  <c r="J1117" i="6" s="1"/>
  <c r="H1118" i="6"/>
  <c r="J1118" i="6" s="1"/>
  <c r="H1119" i="6"/>
  <c r="J1119" i="6" s="1"/>
  <c r="H1120" i="6"/>
  <c r="J1120" i="6" s="1"/>
  <c r="H1121" i="6"/>
  <c r="J1121" i="6" s="1"/>
  <c r="H1122" i="6"/>
  <c r="J1122" i="6" s="1"/>
  <c r="H1123" i="6"/>
  <c r="H1124" i="6"/>
  <c r="H1125" i="6"/>
  <c r="J1125" i="6" s="1"/>
  <c r="H1126" i="6"/>
  <c r="H1127" i="6"/>
  <c r="J1127" i="6" s="1"/>
  <c r="H1128" i="6"/>
  <c r="J1128" i="6" s="1"/>
  <c r="H1129" i="6"/>
  <c r="J1129" i="6" s="1"/>
  <c r="H1130" i="6"/>
  <c r="J1130" i="6" s="1"/>
  <c r="H1131" i="6"/>
  <c r="H1132" i="6"/>
  <c r="J1132" i="6" s="1"/>
  <c r="H1133" i="6"/>
  <c r="J1133" i="6" s="1"/>
  <c r="H1134" i="6"/>
  <c r="J1134" i="6" s="1"/>
  <c r="H1135" i="6"/>
  <c r="J1135" i="6" s="1"/>
  <c r="H1136" i="6"/>
  <c r="J1136" i="6" s="1"/>
  <c r="H1137" i="6"/>
  <c r="J1137" i="6" s="1"/>
  <c r="H1138" i="6"/>
  <c r="J1138" i="6" s="1"/>
  <c r="H1139" i="6"/>
  <c r="H1140" i="6"/>
  <c r="H1141" i="6"/>
  <c r="J1141" i="6" s="1"/>
  <c r="H1142" i="6"/>
  <c r="J1142" i="6" s="1"/>
  <c r="H1143" i="6"/>
  <c r="J1143" i="6" s="1"/>
  <c r="H1144" i="6"/>
  <c r="J1144" i="6" s="1"/>
  <c r="H1145" i="6"/>
  <c r="J1145" i="6" s="1"/>
  <c r="H1146" i="6"/>
  <c r="J1146" i="6" s="1"/>
  <c r="H1147" i="6"/>
  <c r="J1147" i="6" s="1"/>
  <c r="H1148" i="6"/>
  <c r="J1148" i="6" s="1"/>
  <c r="H1149" i="6"/>
  <c r="J1149" i="6" s="1"/>
  <c r="H1150" i="6"/>
  <c r="J1150" i="6" s="1"/>
  <c r="H1151" i="6"/>
  <c r="J1151" i="6" s="1"/>
  <c r="H1152" i="6"/>
  <c r="J1152" i="6" s="1"/>
  <c r="H1153" i="6"/>
  <c r="J1153" i="6" s="1"/>
  <c r="H1154" i="6"/>
  <c r="J1154" i="6" s="1"/>
  <c r="H1155" i="6"/>
  <c r="J1155" i="6" s="1"/>
  <c r="H1156" i="6"/>
  <c r="J1156" i="6" s="1"/>
  <c r="H1157" i="6"/>
  <c r="J1157" i="6" s="1"/>
  <c r="H1158" i="6"/>
  <c r="J1158" i="6" s="1"/>
  <c r="H1159" i="6"/>
  <c r="J1159" i="6" s="1"/>
  <c r="H1160" i="6"/>
  <c r="J1160" i="6" s="1"/>
  <c r="H1161" i="6"/>
  <c r="J1161" i="6" s="1"/>
  <c r="H1162" i="6"/>
  <c r="J1162" i="6" s="1"/>
  <c r="H1163" i="6"/>
  <c r="J1163" i="6" s="1"/>
  <c r="H1164" i="6"/>
  <c r="J1164" i="6" s="1"/>
  <c r="H1165" i="6"/>
  <c r="J1165" i="6" s="1"/>
  <c r="H1166" i="6"/>
  <c r="J1166" i="6" s="1"/>
  <c r="H1167" i="6"/>
  <c r="J1167" i="6" s="1"/>
  <c r="H1168" i="6"/>
  <c r="J1168" i="6" s="1"/>
  <c r="H1169" i="6"/>
  <c r="J1169" i="6" s="1"/>
  <c r="H1170" i="6"/>
  <c r="J1170" i="6" s="1"/>
  <c r="H1171" i="6"/>
  <c r="J1171" i="6" s="1"/>
  <c r="H1172" i="6"/>
  <c r="J1172" i="6" s="1"/>
  <c r="H1173" i="6"/>
  <c r="J1173" i="6" s="1"/>
  <c r="H1174" i="6"/>
  <c r="J1174" i="6" s="1"/>
  <c r="H1175" i="6"/>
  <c r="J1175" i="6" s="1"/>
  <c r="H1176" i="6"/>
  <c r="J1176" i="6" s="1"/>
  <c r="H1177" i="6"/>
  <c r="J1177" i="6" s="1"/>
  <c r="H1178" i="6"/>
  <c r="H1179" i="6"/>
  <c r="J1179" i="6" s="1"/>
  <c r="H1180" i="6"/>
  <c r="J1180" i="6" s="1"/>
  <c r="H1181" i="6"/>
  <c r="J1181" i="6" s="1"/>
  <c r="H1182" i="6"/>
  <c r="J1182" i="6" s="1"/>
  <c r="H1183" i="6"/>
  <c r="J1183" i="6" s="1"/>
  <c r="H1184" i="6"/>
  <c r="J1184" i="6" s="1"/>
  <c r="H1185" i="6"/>
  <c r="J1185" i="6" s="1"/>
  <c r="H1186" i="6"/>
  <c r="J1186" i="6" s="1"/>
  <c r="H1187" i="6"/>
  <c r="H1188" i="6"/>
  <c r="H1189" i="6"/>
  <c r="H1190" i="6"/>
  <c r="J1190" i="6" s="1"/>
  <c r="H1191" i="6"/>
  <c r="J1191" i="6" s="1"/>
  <c r="H1192" i="6"/>
  <c r="J1192" i="6" s="1"/>
  <c r="H1193" i="6"/>
  <c r="H1194" i="6"/>
  <c r="J1194" i="6" s="1"/>
  <c r="H1195" i="6"/>
  <c r="J1195" i="6" s="1"/>
  <c r="H1196" i="6"/>
  <c r="J1196" i="6" s="1"/>
  <c r="H1197" i="6"/>
  <c r="J1197" i="6" s="1"/>
  <c r="H1198" i="6"/>
  <c r="J1198" i="6" s="1"/>
  <c r="H1199" i="6"/>
  <c r="J1199" i="6" s="1"/>
  <c r="H1200" i="6"/>
  <c r="J1200" i="6" s="1"/>
  <c r="H1201" i="6"/>
  <c r="J1201" i="6" s="1"/>
  <c r="H1202" i="6"/>
  <c r="J1202" i="6" s="1"/>
  <c r="H1203" i="6"/>
  <c r="H1204" i="6"/>
  <c r="H1205" i="6"/>
  <c r="J1205" i="6" s="1"/>
  <c r="H1206" i="6"/>
  <c r="J1206" i="6" s="1"/>
  <c r="H1207" i="6"/>
  <c r="J1207" i="6" s="1"/>
  <c r="H1208" i="6"/>
  <c r="J1208" i="6" s="1"/>
  <c r="H1209" i="6"/>
  <c r="J1209" i="6" s="1"/>
  <c r="H1210" i="6"/>
  <c r="J1210" i="6" s="1"/>
  <c r="H1211" i="6"/>
  <c r="J1211" i="6" s="1"/>
  <c r="H1212" i="6"/>
  <c r="J1212" i="6" s="1"/>
  <c r="H1213" i="6"/>
  <c r="J1213" i="6" s="1"/>
  <c r="H1214" i="6"/>
  <c r="J1214" i="6" s="1"/>
  <c r="H1215" i="6"/>
  <c r="J1215" i="6" s="1"/>
  <c r="H1216" i="6"/>
  <c r="J1216" i="6" s="1"/>
  <c r="H1217" i="6"/>
  <c r="J1217" i="6" s="1"/>
  <c r="H1218" i="6"/>
  <c r="J1218" i="6" s="1"/>
  <c r="H1219" i="6"/>
  <c r="J1219" i="6" s="1"/>
  <c r="H1220" i="6"/>
  <c r="H1221" i="6"/>
  <c r="J1221" i="6" s="1"/>
  <c r="H1222" i="6"/>
  <c r="H1223" i="6"/>
  <c r="J1223" i="6" s="1"/>
  <c r="H1224" i="6"/>
  <c r="J1224" i="6" s="1"/>
  <c r="H1225" i="6"/>
  <c r="J1225" i="6" s="1"/>
  <c r="H1226" i="6"/>
  <c r="J1226" i="6" s="1"/>
  <c r="H1227" i="6"/>
  <c r="J1227" i="6" s="1"/>
  <c r="H1228" i="6"/>
  <c r="J1228" i="6" s="1"/>
  <c r="H1229" i="6"/>
  <c r="J1229" i="6" s="1"/>
  <c r="H1230" i="6"/>
  <c r="J1230" i="6" s="1"/>
  <c r="H1231" i="6"/>
  <c r="J1231" i="6" s="1"/>
  <c r="H1232" i="6"/>
  <c r="J1232" i="6" s="1"/>
  <c r="H1233" i="6"/>
  <c r="J1233" i="6" s="1"/>
  <c r="H1234" i="6"/>
  <c r="J1234" i="6" s="1"/>
  <c r="H1235" i="6"/>
  <c r="J1235" i="6" s="1"/>
  <c r="H1236" i="6"/>
  <c r="J1236" i="6" s="1"/>
  <c r="H1237" i="6"/>
  <c r="J1237" i="6" s="1"/>
  <c r="H1238" i="6"/>
  <c r="J1238" i="6" s="1"/>
  <c r="H1239" i="6"/>
  <c r="J1239" i="6" s="1"/>
  <c r="H1240" i="6"/>
  <c r="J1240" i="6" s="1"/>
  <c r="H1241" i="6"/>
  <c r="J1241" i="6" s="1"/>
  <c r="H1242" i="6"/>
  <c r="J1242" i="6" s="1"/>
  <c r="H1243" i="6"/>
  <c r="J1243" i="6" s="1"/>
  <c r="H1244" i="6"/>
  <c r="J1244" i="6" s="1"/>
  <c r="H1245" i="6"/>
  <c r="J1245" i="6" s="1"/>
  <c r="H1246" i="6"/>
  <c r="J1246" i="6" s="1"/>
  <c r="H1247" i="6"/>
  <c r="J1247" i="6" s="1"/>
  <c r="H1248" i="6"/>
  <c r="J1248" i="6" s="1"/>
  <c r="H1249" i="6"/>
  <c r="J1249" i="6" s="1"/>
  <c r="H1250" i="6"/>
  <c r="J1250" i="6" s="1"/>
  <c r="H1251" i="6"/>
  <c r="J1251" i="6" s="1"/>
  <c r="H1252" i="6"/>
  <c r="J1252" i="6" s="1"/>
  <c r="H1253" i="6"/>
  <c r="J1253" i="6" s="1"/>
  <c r="H1254" i="6"/>
  <c r="H1255" i="6"/>
  <c r="J1255" i="6" s="1"/>
  <c r="H1256" i="6"/>
  <c r="J1256" i="6" s="1"/>
  <c r="H1257" i="6"/>
  <c r="H1258" i="6"/>
  <c r="J1258" i="6" s="1"/>
  <c r="H1259" i="6"/>
  <c r="J1259" i="6" s="1"/>
  <c r="H1260" i="6"/>
  <c r="J1260" i="6" s="1"/>
  <c r="H1261" i="6"/>
  <c r="J1261" i="6" s="1"/>
  <c r="H1262" i="6"/>
  <c r="J1262" i="6" s="1"/>
  <c r="H1263" i="6"/>
  <c r="J1263" i="6" s="1"/>
  <c r="H1264" i="6"/>
  <c r="J1264" i="6" s="1"/>
  <c r="H1265" i="6"/>
  <c r="J1265" i="6" s="1"/>
  <c r="H1266" i="6"/>
  <c r="J1266" i="6" s="1"/>
  <c r="H1267" i="6"/>
  <c r="H1268" i="6"/>
  <c r="H1269" i="6"/>
  <c r="H1270" i="6"/>
  <c r="J1270" i="6" s="1"/>
  <c r="H1271" i="6"/>
  <c r="J1271" i="6" s="1"/>
  <c r="H1272" i="6"/>
  <c r="J1272" i="6" s="1"/>
  <c r="H1273" i="6"/>
  <c r="J1273" i="6" s="1"/>
  <c r="H1274" i="6"/>
  <c r="J1274" i="6" s="1"/>
  <c r="H1275" i="6"/>
  <c r="J1275" i="6" s="1"/>
  <c r="H1276" i="6"/>
  <c r="J1276" i="6" s="1"/>
  <c r="H1277" i="6"/>
  <c r="J1277" i="6" s="1"/>
  <c r="H1278" i="6"/>
  <c r="J1278" i="6" s="1"/>
  <c r="H1279" i="6"/>
  <c r="J1279" i="6" s="1"/>
  <c r="H1280" i="6"/>
  <c r="J1280" i="6" s="1"/>
  <c r="H1281" i="6"/>
  <c r="J1281" i="6" s="1"/>
  <c r="H1282" i="6"/>
  <c r="J1282" i="6" s="1"/>
  <c r="H1283" i="6"/>
  <c r="J1283" i="6" s="1"/>
  <c r="H1284" i="6"/>
  <c r="H1285" i="6"/>
  <c r="H1286" i="6"/>
  <c r="J1286" i="6" s="1"/>
  <c r="H1287" i="6"/>
  <c r="J1287" i="6" s="1"/>
  <c r="H1288" i="6"/>
  <c r="J1288" i="6" s="1"/>
  <c r="H1289" i="6"/>
  <c r="H1290" i="6"/>
  <c r="H1291" i="6"/>
  <c r="J1291" i="6" s="1"/>
  <c r="H1292" i="6"/>
  <c r="J1292" i="6" s="1"/>
  <c r="H1293" i="6"/>
  <c r="J1293" i="6" s="1"/>
  <c r="H1294" i="6"/>
  <c r="J1294" i="6" s="1"/>
  <c r="H1295" i="6"/>
  <c r="J1295" i="6" s="1"/>
  <c r="H1296" i="6"/>
  <c r="J1296" i="6" s="1"/>
  <c r="H1297" i="6"/>
  <c r="J1297" i="6" s="1"/>
  <c r="H1298" i="6"/>
  <c r="J1298" i="6" s="1"/>
  <c r="H1299" i="6"/>
  <c r="H1300" i="6"/>
  <c r="J1300" i="6" s="1"/>
  <c r="H1301" i="6"/>
  <c r="J1301" i="6" s="1"/>
  <c r="H1302" i="6"/>
  <c r="J1302" i="6" s="1"/>
  <c r="H1303" i="6"/>
  <c r="J1303" i="6" s="1"/>
  <c r="H1304" i="6"/>
  <c r="J1304" i="6" s="1"/>
  <c r="H1305" i="6"/>
  <c r="J1305" i="6" s="1"/>
  <c r="H1306" i="6"/>
  <c r="J1306" i="6" s="1"/>
  <c r="H1307" i="6"/>
  <c r="J1307" i="6" s="1"/>
  <c r="H1308" i="6"/>
  <c r="J1308" i="6" s="1"/>
  <c r="H1309" i="6"/>
  <c r="J1309" i="6" s="1"/>
  <c r="H1310" i="6"/>
  <c r="J1310" i="6" s="1"/>
  <c r="H1311" i="6"/>
  <c r="J1311" i="6" s="1"/>
  <c r="H1312" i="6"/>
  <c r="J1312" i="6" s="1"/>
  <c r="H1313" i="6"/>
  <c r="J1313" i="6" s="1"/>
  <c r="H1314" i="6"/>
  <c r="J1314" i="6" s="1"/>
  <c r="H1315" i="6"/>
  <c r="J1315" i="6" s="1"/>
  <c r="H1316" i="6"/>
  <c r="J1316" i="6" s="1"/>
  <c r="H1317" i="6"/>
  <c r="J1317" i="6" s="1"/>
  <c r="H1318" i="6"/>
  <c r="J1318" i="6" s="1"/>
  <c r="H1319" i="6"/>
  <c r="J1319" i="6" s="1"/>
  <c r="H1320" i="6"/>
  <c r="J1320" i="6" s="1"/>
  <c r="H1321" i="6"/>
  <c r="J1321" i="6" s="1"/>
  <c r="H1322" i="6"/>
  <c r="J1322" i="6" s="1"/>
  <c r="H1323" i="6"/>
  <c r="J1323" i="6" s="1"/>
  <c r="H1324" i="6"/>
  <c r="J1324" i="6" s="1"/>
  <c r="H1325" i="6"/>
  <c r="J1325" i="6" s="1"/>
  <c r="H1326" i="6"/>
  <c r="J1326" i="6" s="1"/>
  <c r="H1327" i="6"/>
  <c r="J1327" i="6" s="1"/>
  <c r="H1328" i="6"/>
  <c r="J1328" i="6" s="1"/>
  <c r="H1329" i="6"/>
  <c r="J1329" i="6" s="1"/>
  <c r="H1330" i="6"/>
  <c r="J1330" i="6" s="1"/>
  <c r="H1331" i="6"/>
  <c r="J1331" i="6" s="1"/>
  <c r="H1332" i="6"/>
  <c r="J1332" i="6" s="1"/>
  <c r="H1333" i="6"/>
  <c r="J1333" i="6" s="1"/>
  <c r="H1334" i="6"/>
  <c r="J1334" i="6" s="1"/>
  <c r="H1335" i="6"/>
  <c r="J1335" i="6" s="1"/>
  <c r="H1336" i="6"/>
  <c r="J1336" i="6" s="1"/>
  <c r="H1337" i="6"/>
  <c r="J1337" i="6" s="1"/>
  <c r="H1338" i="6"/>
  <c r="J1338" i="6" s="1"/>
  <c r="H1339" i="6"/>
  <c r="J1339" i="6" s="1"/>
  <c r="H1340" i="6"/>
  <c r="J1340" i="6" s="1"/>
  <c r="H1341" i="6"/>
  <c r="J1341" i="6" s="1"/>
  <c r="H1342" i="6"/>
  <c r="J1342" i="6" s="1"/>
  <c r="H1343" i="6"/>
  <c r="J1343" i="6" s="1"/>
  <c r="H1344" i="6"/>
  <c r="J1344" i="6" s="1"/>
  <c r="H1345" i="6"/>
  <c r="J1345" i="6" s="1"/>
  <c r="H1346" i="6"/>
  <c r="J1346" i="6" s="1"/>
  <c r="H1347" i="6"/>
  <c r="J1347" i="6" s="1"/>
  <c r="H1348" i="6"/>
  <c r="H1349" i="6"/>
  <c r="H1350" i="6"/>
  <c r="J1350" i="6" s="1"/>
  <c r="H1351" i="6"/>
  <c r="J1351" i="6" s="1"/>
  <c r="H1352" i="6"/>
  <c r="J1352" i="6" s="1"/>
  <c r="H1353" i="6"/>
  <c r="J1353" i="6" s="1"/>
  <c r="H1354" i="6"/>
  <c r="J1354" i="6" s="1"/>
  <c r="H1355" i="6"/>
  <c r="J1355" i="6" s="1"/>
  <c r="H1356" i="6"/>
  <c r="J1356" i="6" s="1"/>
  <c r="H1357" i="6"/>
  <c r="J1357" i="6" s="1"/>
  <c r="H1358" i="6"/>
  <c r="J1358" i="6" s="1"/>
  <c r="H1359" i="6"/>
  <c r="J1359" i="6" s="1"/>
  <c r="H1360" i="6"/>
  <c r="J1360" i="6" s="1"/>
  <c r="H1361" i="6"/>
  <c r="J1361" i="6" s="1"/>
  <c r="H1362" i="6"/>
  <c r="J1362" i="6" s="1"/>
  <c r="H1363" i="6"/>
  <c r="H1364" i="6"/>
  <c r="H1365" i="6"/>
  <c r="J1365" i="6" s="1"/>
  <c r="H1366" i="6"/>
  <c r="J1366" i="6" s="1"/>
  <c r="H1367" i="6"/>
  <c r="J1367" i="6" s="1"/>
  <c r="H1368" i="6"/>
  <c r="J1368" i="6" s="1"/>
  <c r="H1369" i="6"/>
  <c r="J1369" i="6" s="1"/>
  <c r="H1370" i="6"/>
  <c r="J1370" i="6" s="1"/>
  <c r="H1371" i="6"/>
  <c r="J1371" i="6" s="1"/>
  <c r="H1372" i="6"/>
  <c r="J1372" i="6" s="1"/>
  <c r="H1373" i="6"/>
  <c r="J1373" i="6" s="1"/>
  <c r="H1374" i="6"/>
  <c r="J1374" i="6" s="1"/>
  <c r="H1375" i="6"/>
  <c r="J1375" i="6" s="1"/>
  <c r="H1376" i="6"/>
  <c r="J1376" i="6" s="1"/>
  <c r="H1377" i="6"/>
  <c r="J1377" i="6" s="1"/>
  <c r="H1378" i="6"/>
  <c r="J1378" i="6" s="1"/>
  <c r="H1379" i="6"/>
  <c r="H1380" i="6"/>
  <c r="H1381" i="6"/>
  <c r="H1382" i="6"/>
  <c r="J1382" i="6" s="1"/>
  <c r="H1383" i="6"/>
  <c r="J1383" i="6" s="1"/>
  <c r="H1384" i="6"/>
  <c r="J1384" i="6" s="1"/>
  <c r="H1385" i="6"/>
  <c r="J1385" i="6" s="1"/>
  <c r="H1386" i="6"/>
  <c r="J1386" i="6" s="1"/>
  <c r="H1387" i="6"/>
  <c r="J1387" i="6" s="1"/>
  <c r="H1388" i="6"/>
  <c r="J1388" i="6" s="1"/>
  <c r="H1389" i="6"/>
  <c r="J1389" i="6" s="1"/>
  <c r="H1390" i="6"/>
  <c r="J1390" i="6" s="1"/>
  <c r="H1391" i="6"/>
  <c r="J1391" i="6" s="1"/>
  <c r="H1392" i="6"/>
  <c r="J1392" i="6" s="1"/>
  <c r="H1393" i="6"/>
  <c r="J1393" i="6" s="1"/>
  <c r="H1394" i="6"/>
  <c r="J1394" i="6" s="1"/>
  <c r="H1395" i="6"/>
  <c r="J1395" i="6" s="1"/>
  <c r="H1396" i="6"/>
  <c r="H1397" i="6"/>
  <c r="J1397" i="6" s="1"/>
  <c r="H1398" i="6"/>
  <c r="J1398" i="6" s="1"/>
  <c r="H1399" i="6"/>
  <c r="J1399" i="6" s="1"/>
  <c r="H1400" i="6"/>
  <c r="J1400" i="6" s="1"/>
  <c r="H1401" i="6"/>
  <c r="J1401" i="6" s="1"/>
  <c r="H1402" i="6"/>
  <c r="J1402" i="6" s="1"/>
  <c r="H1403" i="6"/>
  <c r="J1403" i="6" s="1"/>
  <c r="H1404" i="6"/>
  <c r="J1404" i="6" s="1"/>
  <c r="H1405" i="6"/>
  <c r="J1405" i="6" s="1"/>
  <c r="H1406" i="6"/>
  <c r="J1406" i="6" s="1"/>
  <c r="H1407" i="6"/>
  <c r="J1407" i="6" s="1"/>
  <c r="H1408" i="6"/>
  <c r="J1408" i="6" s="1"/>
  <c r="H1409" i="6"/>
  <c r="J1409" i="6" s="1"/>
  <c r="H1410" i="6"/>
  <c r="J1410" i="6" s="1"/>
  <c r="H1411" i="6"/>
  <c r="J1411" i="6" s="1"/>
  <c r="H1412" i="6"/>
  <c r="J1412" i="6" s="1"/>
  <c r="H1413" i="6"/>
  <c r="J1413" i="6" s="1"/>
  <c r="H1414" i="6"/>
  <c r="J1414" i="6" s="1"/>
  <c r="H1415" i="6"/>
  <c r="J1415" i="6" s="1"/>
  <c r="H1416" i="6"/>
  <c r="J1416" i="6" s="1"/>
  <c r="H1417" i="6"/>
  <c r="J1417" i="6" s="1"/>
  <c r="H1418" i="6"/>
  <c r="J1418" i="6" s="1"/>
  <c r="H1419" i="6"/>
  <c r="J1419" i="6" s="1"/>
  <c r="H1420" i="6"/>
  <c r="J1420" i="6" s="1"/>
  <c r="H1421" i="6"/>
  <c r="J1421" i="6" s="1"/>
  <c r="H1422" i="6"/>
  <c r="J1422" i="6" s="1"/>
  <c r="H1423" i="6"/>
  <c r="J1423" i="6" s="1"/>
  <c r="H1424" i="6"/>
  <c r="J1424" i="6" s="1"/>
  <c r="H1425" i="6"/>
  <c r="J1425" i="6" s="1"/>
  <c r="H1426" i="6"/>
  <c r="J1426" i="6" s="1"/>
  <c r="H1427" i="6"/>
  <c r="J1427" i="6" s="1"/>
  <c r="H1428" i="6"/>
  <c r="J1428" i="6" s="1"/>
  <c r="H1429" i="6"/>
  <c r="J1429" i="6" s="1"/>
  <c r="H1430" i="6"/>
  <c r="J1430" i="6" s="1"/>
  <c r="H1431" i="6"/>
  <c r="J1431" i="6" s="1"/>
  <c r="H1432" i="6"/>
  <c r="J1432" i="6" s="1"/>
  <c r="H1433" i="6"/>
  <c r="J1433" i="6" s="1"/>
  <c r="H1434" i="6"/>
  <c r="J1434" i="6" s="1"/>
  <c r="H1435" i="6"/>
  <c r="J1435" i="6" s="1"/>
  <c r="H1436" i="6"/>
  <c r="J1436" i="6" s="1"/>
  <c r="H1437" i="6"/>
  <c r="J1437" i="6" s="1"/>
  <c r="H1438" i="6"/>
  <c r="J1438" i="6" s="1"/>
  <c r="H1439" i="6"/>
  <c r="J1439" i="6" s="1"/>
  <c r="H1440" i="6"/>
  <c r="J1440" i="6" s="1"/>
  <c r="H1441" i="6"/>
  <c r="J1441" i="6" s="1"/>
  <c r="H1442" i="6"/>
  <c r="J1442" i="6" s="1"/>
  <c r="H1443" i="6"/>
  <c r="H1444" i="6"/>
  <c r="H1445" i="6"/>
  <c r="H1446" i="6"/>
  <c r="J1446" i="6" s="1"/>
  <c r="H1447" i="6"/>
  <c r="J1447" i="6" s="1"/>
  <c r="H1448" i="6"/>
  <c r="J1448" i="6" s="1"/>
  <c r="H1449" i="6"/>
  <c r="J1449" i="6" s="1"/>
  <c r="H1450" i="6"/>
  <c r="J1450" i="6" s="1"/>
  <c r="H1451" i="6"/>
  <c r="J1451" i="6" s="1"/>
  <c r="H1452" i="6"/>
  <c r="J1452" i="6" s="1"/>
  <c r="H1453" i="6"/>
  <c r="J1453" i="6" s="1"/>
  <c r="H1454" i="6"/>
  <c r="J1454" i="6" s="1"/>
  <c r="H1455" i="6"/>
  <c r="J1455" i="6" s="1"/>
  <c r="H1456" i="6"/>
  <c r="J1456" i="6" s="1"/>
  <c r="H1457" i="6"/>
  <c r="J1457" i="6" s="1"/>
  <c r="H1458" i="6"/>
  <c r="J1458" i="6" s="1"/>
  <c r="H1459" i="6"/>
  <c r="H1460" i="6"/>
  <c r="H1461" i="6"/>
  <c r="H1462" i="6"/>
  <c r="J1462" i="6" s="1"/>
  <c r="H1463" i="6"/>
  <c r="J1463" i="6" s="1"/>
  <c r="H1464" i="6"/>
  <c r="J1464" i="6" s="1"/>
  <c r="H1465" i="6"/>
  <c r="J1465" i="6" s="1"/>
  <c r="H1466" i="6"/>
  <c r="J1466" i="6" s="1"/>
  <c r="H1467" i="6"/>
  <c r="J1467" i="6" s="1"/>
  <c r="H1468" i="6"/>
  <c r="J1468" i="6" s="1"/>
  <c r="H1469" i="6"/>
  <c r="J1469" i="6" s="1"/>
  <c r="H1470" i="6"/>
  <c r="J1470" i="6" s="1"/>
  <c r="H1471" i="6"/>
  <c r="J1471" i="6" s="1"/>
  <c r="H1472" i="6"/>
  <c r="J1472" i="6" s="1"/>
  <c r="H1473" i="6"/>
  <c r="J1473" i="6" s="1"/>
  <c r="H1474" i="6"/>
  <c r="J1474" i="6" s="1"/>
  <c r="H1475" i="6"/>
  <c r="H1476" i="6"/>
  <c r="H1477" i="6"/>
  <c r="H1478" i="6"/>
  <c r="J1478" i="6" s="1"/>
  <c r="H1479" i="6"/>
  <c r="J1479" i="6" s="1"/>
  <c r="H1480" i="6"/>
  <c r="J1480" i="6" s="1"/>
  <c r="H1481" i="6"/>
  <c r="J1481" i="6" s="1"/>
  <c r="H1482" i="6"/>
  <c r="J1482" i="6" s="1"/>
  <c r="H1483" i="6"/>
  <c r="J1483" i="6" s="1"/>
  <c r="H1484" i="6"/>
  <c r="J1484" i="6" s="1"/>
  <c r="H1485" i="6"/>
  <c r="J1485" i="6" s="1"/>
  <c r="H1486" i="6"/>
  <c r="J1486" i="6" s="1"/>
  <c r="H1487" i="6"/>
  <c r="J1487" i="6" s="1"/>
  <c r="H1488" i="6"/>
  <c r="J1488" i="6" s="1"/>
  <c r="H1489" i="6"/>
  <c r="J1489" i="6" s="1"/>
  <c r="H1490" i="6"/>
  <c r="J1490" i="6" s="1"/>
  <c r="H1491" i="6"/>
  <c r="J1491" i="6" s="1"/>
  <c r="H1492" i="6"/>
  <c r="J1492" i="6" s="1"/>
  <c r="H1493" i="6"/>
  <c r="J1493" i="6" s="1"/>
  <c r="H1494" i="6"/>
  <c r="J1494" i="6" s="1"/>
  <c r="H1495" i="6"/>
  <c r="J1495" i="6" s="1"/>
  <c r="H1496" i="6"/>
  <c r="J1496" i="6" s="1"/>
  <c r="H1497" i="6"/>
  <c r="J1497" i="6" s="1"/>
  <c r="H1498" i="6"/>
  <c r="J1498" i="6" s="1"/>
  <c r="H1499" i="6"/>
  <c r="J1499" i="6" s="1"/>
  <c r="H1500" i="6"/>
  <c r="J1500" i="6" s="1"/>
  <c r="H1501" i="6"/>
  <c r="J1501" i="6" s="1"/>
  <c r="H1502" i="6"/>
  <c r="J1502" i="6" s="1"/>
  <c r="H1503" i="6"/>
  <c r="J1503" i="6" s="1"/>
  <c r="H1504" i="6"/>
  <c r="J1504" i="6" s="1"/>
  <c r="H1505" i="6"/>
  <c r="J1505" i="6" s="1"/>
  <c r="H1506" i="6"/>
  <c r="J1506" i="6" s="1"/>
  <c r="H1507" i="6"/>
  <c r="J1507" i="6" s="1"/>
  <c r="H1508" i="6"/>
  <c r="J1508" i="6" s="1"/>
  <c r="H1509" i="6"/>
  <c r="J1509" i="6" s="1"/>
  <c r="H1510" i="6"/>
  <c r="J1510" i="6" s="1"/>
  <c r="H1511" i="6"/>
  <c r="J1511" i="6" s="1"/>
  <c r="H1512" i="6"/>
  <c r="J1512" i="6" s="1"/>
  <c r="H1513" i="6"/>
  <c r="J1513" i="6" s="1"/>
  <c r="H1514" i="6"/>
  <c r="J1514" i="6" s="1"/>
  <c r="H1515" i="6"/>
  <c r="J1515" i="6" s="1"/>
  <c r="H1516" i="6"/>
  <c r="J1516" i="6" s="1"/>
  <c r="H1517" i="6"/>
  <c r="J1517" i="6" s="1"/>
  <c r="H1518" i="6"/>
  <c r="J1518" i="6" s="1"/>
  <c r="H1519" i="6"/>
  <c r="J1519" i="6" s="1"/>
  <c r="H1520" i="6"/>
  <c r="J1520" i="6" s="1"/>
  <c r="H1521" i="6"/>
  <c r="J1521" i="6" s="1"/>
  <c r="H1522" i="6"/>
  <c r="J1522" i="6" s="1"/>
  <c r="H1523" i="6"/>
  <c r="J1523" i="6" s="1"/>
  <c r="H1524" i="6"/>
  <c r="J1524" i="6" s="1"/>
  <c r="H1525" i="6"/>
  <c r="H1526" i="6"/>
  <c r="J1526" i="6" s="1"/>
  <c r="H1527" i="6"/>
  <c r="J1527" i="6" s="1"/>
  <c r="H1528" i="6"/>
  <c r="J1528" i="6" s="1"/>
  <c r="H1529" i="6"/>
  <c r="J1529" i="6" s="1"/>
  <c r="H1530" i="6"/>
  <c r="J1530" i="6" s="1"/>
  <c r="H1531" i="6"/>
  <c r="J1531" i="6" s="1"/>
  <c r="H1532" i="6"/>
  <c r="J1532" i="6" s="1"/>
  <c r="H1533" i="6"/>
  <c r="J1533" i="6" s="1"/>
  <c r="H1534" i="6"/>
  <c r="J1534" i="6" s="1"/>
  <c r="H1535" i="6"/>
  <c r="J1535" i="6" s="1"/>
  <c r="H1536" i="6"/>
  <c r="J1536" i="6" s="1"/>
  <c r="H1537" i="6"/>
  <c r="J1537" i="6" s="1"/>
  <c r="H1538" i="6"/>
  <c r="J1538" i="6" s="1"/>
  <c r="H1539" i="6"/>
  <c r="H1540" i="6"/>
  <c r="H1541" i="6"/>
  <c r="J1541" i="6" s="1"/>
  <c r="H1542" i="6"/>
  <c r="J1542" i="6" s="1"/>
  <c r="H1543" i="6"/>
  <c r="H1544" i="6"/>
  <c r="J1544" i="6" s="1"/>
  <c r="H1545" i="6"/>
  <c r="J1545" i="6" s="1"/>
  <c r="H1546" i="6"/>
  <c r="J1546" i="6" s="1"/>
  <c r="H1547" i="6"/>
  <c r="J1547" i="6" s="1"/>
  <c r="H1548" i="6"/>
  <c r="J1548" i="6" s="1"/>
  <c r="H1549" i="6"/>
  <c r="J1549" i="6" s="1"/>
  <c r="H1550" i="6"/>
  <c r="J1550" i="6" s="1"/>
  <c r="H1551" i="6"/>
  <c r="J1551" i="6" s="1"/>
  <c r="H1552" i="6"/>
  <c r="J1552" i="6" s="1"/>
  <c r="H1553" i="6"/>
  <c r="J1553" i="6" s="1"/>
  <c r="H1554" i="6"/>
  <c r="J1554" i="6" s="1"/>
  <c r="H1555" i="6"/>
  <c r="H1556" i="6"/>
  <c r="H1557" i="6"/>
  <c r="H1558" i="6"/>
  <c r="J1558" i="6" s="1"/>
  <c r="H1559" i="6"/>
  <c r="J1559" i="6" s="1"/>
  <c r="H1560" i="6"/>
  <c r="J1560" i="6" s="1"/>
  <c r="H1561" i="6"/>
  <c r="J1561" i="6" s="1"/>
  <c r="H1562" i="6"/>
  <c r="J1562" i="6" s="1"/>
  <c r="H1563" i="6"/>
  <c r="J1563" i="6" s="1"/>
  <c r="H1564" i="6"/>
  <c r="J1564" i="6" s="1"/>
  <c r="H1565" i="6"/>
  <c r="J1565" i="6" s="1"/>
  <c r="H1566" i="6"/>
  <c r="J1566" i="6" s="1"/>
  <c r="H1567" i="6"/>
  <c r="J1567" i="6" s="1"/>
  <c r="H1568" i="6"/>
  <c r="J1568" i="6" s="1"/>
  <c r="H1569" i="6"/>
  <c r="J1569" i="6" s="1"/>
  <c r="H1570" i="6"/>
  <c r="J1570" i="6" s="1"/>
  <c r="H1571" i="6"/>
  <c r="H1572" i="6"/>
  <c r="J1572" i="6" s="1"/>
  <c r="H1573" i="6"/>
  <c r="J1573" i="6" s="1"/>
  <c r="H1574" i="6"/>
  <c r="J1574" i="6" s="1"/>
  <c r="H1575" i="6"/>
  <c r="J1575" i="6" s="1"/>
  <c r="H1576" i="6"/>
  <c r="J1576" i="6" s="1"/>
  <c r="H1577" i="6"/>
  <c r="J1577" i="6" s="1"/>
  <c r="H1578" i="6"/>
  <c r="J1578" i="6" s="1"/>
  <c r="H1579" i="6"/>
  <c r="J1579" i="6" s="1"/>
  <c r="H1580" i="6"/>
  <c r="J1580" i="6" s="1"/>
  <c r="H1581" i="6"/>
  <c r="J1581" i="6" s="1"/>
  <c r="H1582" i="6"/>
  <c r="J1582" i="6" s="1"/>
  <c r="H1583" i="6"/>
  <c r="J1583" i="6" s="1"/>
  <c r="H1584" i="6"/>
  <c r="J1584" i="6" s="1"/>
  <c r="H1585" i="6"/>
  <c r="J1585" i="6" s="1"/>
  <c r="H1586" i="6"/>
  <c r="J1586" i="6" s="1"/>
  <c r="H1587" i="6"/>
  <c r="J1587" i="6" s="1"/>
  <c r="H1588" i="6"/>
  <c r="J1588" i="6" s="1"/>
  <c r="H1589" i="6"/>
  <c r="J1589" i="6" s="1"/>
  <c r="H1590" i="6"/>
  <c r="J1590" i="6" s="1"/>
  <c r="H1591" i="6"/>
  <c r="J1591" i="6" s="1"/>
  <c r="H1592" i="6"/>
  <c r="J1592" i="6" s="1"/>
  <c r="H1593" i="6"/>
  <c r="J1593" i="6" s="1"/>
  <c r="H1594" i="6"/>
  <c r="J1594" i="6" s="1"/>
  <c r="H1595" i="6"/>
  <c r="J1595" i="6" s="1"/>
  <c r="H1596" i="6"/>
  <c r="J1596" i="6" s="1"/>
  <c r="H1597" i="6"/>
  <c r="J1597" i="6" s="1"/>
  <c r="H1598" i="6"/>
  <c r="J1598" i="6" s="1"/>
  <c r="H1599" i="6"/>
  <c r="J1599" i="6" s="1"/>
  <c r="H1600" i="6"/>
  <c r="J1600" i="6" s="1"/>
  <c r="H1601" i="6"/>
  <c r="J1601" i="6" s="1"/>
  <c r="H1602" i="6"/>
  <c r="J1602" i="6" s="1"/>
  <c r="H1603" i="6"/>
  <c r="J1603" i="6" s="1"/>
  <c r="H1604" i="6"/>
  <c r="J1604" i="6" s="1"/>
  <c r="H1605" i="6"/>
  <c r="J1605" i="6" s="1"/>
  <c r="H1606" i="6"/>
  <c r="J1606" i="6" s="1"/>
  <c r="H1607" i="6"/>
  <c r="J1607" i="6" s="1"/>
  <c r="H1608" i="6"/>
  <c r="J1608" i="6" s="1"/>
  <c r="H1609" i="6"/>
  <c r="J1609" i="6" s="1"/>
  <c r="H1610" i="6"/>
  <c r="H1611" i="6"/>
  <c r="J1611" i="6" s="1"/>
  <c r="H1612" i="6"/>
  <c r="J1612" i="6" s="1"/>
  <c r="H1613" i="6"/>
  <c r="J1613" i="6" s="1"/>
  <c r="H1614" i="6"/>
  <c r="J1614" i="6" s="1"/>
  <c r="H1615" i="6"/>
  <c r="J1615" i="6" s="1"/>
  <c r="H1616" i="6"/>
  <c r="J1616" i="6" s="1"/>
  <c r="H1617" i="6"/>
  <c r="J1617" i="6" s="1"/>
  <c r="H1618" i="6"/>
  <c r="J1618" i="6" s="1"/>
  <c r="H1619" i="6"/>
  <c r="J1619" i="6" s="1"/>
  <c r="H1620" i="6"/>
  <c r="H1621" i="6"/>
  <c r="H1622" i="6"/>
  <c r="J1622" i="6" s="1"/>
  <c r="H1623" i="6"/>
  <c r="J1623" i="6" s="1"/>
  <c r="H1624" i="6"/>
  <c r="J1624" i="6" s="1"/>
  <c r="H1625" i="6"/>
  <c r="J1625" i="6" s="1"/>
  <c r="H1626" i="6"/>
  <c r="J1626" i="6" s="1"/>
  <c r="H1627" i="6"/>
  <c r="J1627" i="6" s="1"/>
  <c r="H1628" i="6"/>
  <c r="J1628" i="6" s="1"/>
  <c r="H1629" i="6"/>
  <c r="J1629" i="6" s="1"/>
  <c r="H1630" i="6"/>
  <c r="J1630" i="6" s="1"/>
  <c r="H1631" i="6"/>
  <c r="J1631" i="6" s="1"/>
  <c r="H1632" i="6"/>
  <c r="J1632" i="6" s="1"/>
  <c r="H1633" i="6"/>
  <c r="J1633" i="6" s="1"/>
  <c r="H1634" i="6"/>
  <c r="J1634" i="6" s="1"/>
  <c r="H1635" i="6"/>
  <c r="H1636" i="6"/>
  <c r="H1637" i="6"/>
  <c r="H1638" i="6"/>
  <c r="J1638" i="6" s="1"/>
  <c r="H1639" i="6"/>
  <c r="J1639" i="6" s="1"/>
  <c r="H1640" i="6"/>
  <c r="J1640" i="6" s="1"/>
  <c r="H1641" i="6"/>
  <c r="J1641" i="6" s="1"/>
  <c r="H1642" i="6"/>
  <c r="J1642" i="6" s="1"/>
  <c r="H1643" i="6"/>
  <c r="J1643" i="6" s="1"/>
  <c r="H1644" i="6"/>
  <c r="J1644" i="6" s="1"/>
  <c r="H1645" i="6"/>
  <c r="J1645" i="6" s="1"/>
  <c r="H1646" i="6"/>
  <c r="J1646" i="6" s="1"/>
  <c r="H1647" i="6"/>
  <c r="J1647" i="6" s="1"/>
  <c r="H1648" i="6"/>
  <c r="J1648" i="6" s="1"/>
  <c r="H1649" i="6"/>
  <c r="J1649" i="6" s="1"/>
  <c r="H1650" i="6"/>
  <c r="J1650" i="6" s="1"/>
  <c r="H1651" i="6"/>
  <c r="H1652" i="6"/>
  <c r="H1653" i="6"/>
  <c r="J1653" i="6" s="1"/>
  <c r="H1654" i="6"/>
  <c r="J1654" i="6" s="1"/>
  <c r="H1655" i="6"/>
  <c r="J1655" i="6" s="1"/>
  <c r="H1656" i="6"/>
  <c r="J1656" i="6" s="1"/>
  <c r="H1657" i="6"/>
  <c r="J1657" i="6" s="1"/>
  <c r="H1658" i="6"/>
  <c r="J1658" i="6" s="1"/>
  <c r="H1659" i="6"/>
  <c r="J1659" i="6" s="1"/>
  <c r="H1660" i="6"/>
  <c r="J1660" i="6" s="1"/>
  <c r="H1661" i="6"/>
  <c r="J1661" i="6" s="1"/>
  <c r="H1662" i="6"/>
  <c r="J1662" i="6" s="1"/>
  <c r="H1663" i="6"/>
  <c r="J1663" i="6" s="1"/>
  <c r="H1664" i="6"/>
  <c r="J1664" i="6" s="1"/>
  <c r="H1665" i="6"/>
  <c r="J1665" i="6" s="1"/>
  <c r="H1666" i="6"/>
  <c r="J1666" i="6" s="1"/>
  <c r="H1667" i="6"/>
  <c r="J1667" i="6" s="1"/>
  <c r="H1668" i="6"/>
  <c r="H1669" i="6"/>
  <c r="J1669" i="6" s="1"/>
  <c r="H1670" i="6"/>
  <c r="J1670" i="6" s="1"/>
  <c r="H1671" i="6"/>
  <c r="J1671" i="6" s="1"/>
  <c r="H1672" i="6"/>
  <c r="J1672" i="6" s="1"/>
  <c r="H1673" i="6"/>
  <c r="J1673" i="6" s="1"/>
  <c r="H1674" i="6"/>
  <c r="J1674" i="6" s="1"/>
  <c r="H1675" i="6"/>
  <c r="J1675" i="6" s="1"/>
  <c r="H1676" i="6"/>
  <c r="J1676" i="6" s="1"/>
  <c r="H1677" i="6"/>
  <c r="J1677" i="6" s="1"/>
  <c r="H1678" i="6"/>
  <c r="J1678" i="6" s="1"/>
  <c r="H1679" i="6"/>
  <c r="J1679" i="6" s="1"/>
  <c r="H1680" i="6"/>
  <c r="J1680" i="6" s="1"/>
  <c r="H1681" i="6"/>
  <c r="J1681" i="6" s="1"/>
  <c r="H1682" i="6"/>
  <c r="J1682" i="6" s="1"/>
  <c r="H1683" i="6"/>
  <c r="J1683" i="6" s="1"/>
  <c r="H1684" i="6"/>
  <c r="J1684" i="6" s="1"/>
  <c r="H1685" i="6"/>
  <c r="J1685" i="6" s="1"/>
  <c r="H1686" i="6"/>
  <c r="J1686" i="6" s="1"/>
  <c r="H1687" i="6"/>
  <c r="J1687" i="6" s="1"/>
  <c r="H1688" i="6"/>
  <c r="J1688" i="6" s="1"/>
  <c r="H1689" i="6"/>
  <c r="J1689" i="6" s="1"/>
  <c r="H1690" i="6"/>
  <c r="J1690" i="6" s="1"/>
  <c r="H1691" i="6"/>
  <c r="J1691" i="6" s="1"/>
  <c r="H1692" i="6"/>
  <c r="J1692" i="6" s="1"/>
  <c r="H1693" i="6"/>
  <c r="J1693" i="6" s="1"/>
  <c r="H1694" i="6"/>
  <c r="J1694" i="6" s="1"/>
  <c r="H1695" i="6"/>
  <c r="J1695" i="6" s="1"/>
  <c r="H1696" i="6"/>
  <c r="J1696" i="6" s="1"/>
  <c r="H1697" i="6"/>
  <c r="J1697" i="6" s="1"/>
  <c r="H1698" i="6"/>
  <c r="J1698" i="6" s="1"/>
  <c r="H1699" i="6"/>
  <c r="J1699" i="6" s="1"/>
  <c r="H1700" i="6"/>
  <c r="J1700" i="6" s="1"/>
  <c r="H1701" i="6"/>
  <c r="J1701" i="6" s="1"/>
  <c r="H1702" i="6"/>
  <c r="J1702" i="6" s="1"/>
  <c r="H1703" i="6"/>
  <c r="J1703" i="6" s="1"/>
  <c r="H1704" i="6"/>
  <c r="J1704" i="6" s="1"/>
  <c r="H1705" i="6"/>
  <c r="J1705" i="6" s="1"/>
  <c r="H1706" i="6"/>
  <c r="H1707" i="6"/>
  <c r="J1707" i="6" s="1"/>
  <c r="H1708" i="6"/>
  <c r="J1708" i="6" s="1"/>
  <c r="H1709" i="6"/>
  <c r="J1709" i="6" s="1"/>
  <c r="H1710" i="6"/>
  <c r="J1710" i="6" s="1"/>
  <c r="H1711" i="6"/>
  <c r="J1711" i="6" s="1"/>
  <c r="H1712" i="6"/>
  <c r="J1712" i="6" s="1"/>
  <c r="H1713" i="6"/>
  <c r="J1713" i="6" s="1"/>
  <c r="H1714" i="6"/>
  <c r="J1714" i="6" s="1"/>
  <c r="H1715" i="6"/>
  <c r="H1716" i="6"/>
  <c r="H1717" i="6"/>
  <c r="H1718" i="6"/>
  <c r="J1718" i="6" s="1"/>
  <c r="H1719" i="6"/>
  <c r="J1719" i="6" s="1"/>
  <c r="H1720" i="6"/>
  <c r="J1720" i="6" s="1"/>
  <c r="H1721" i="6"/>
  <c r="J1721" i="6" s="1"/>
  <c r="H1722" i="6"/>
  <c r="J1722" i="6" s="1"/>
  <c r="H1723" i="6"/>
  <c r="J1723" i="6" s="1"/>
  <c r="H1724" i="6"/>
  <c r="J1724" i="6" s="1"/>
  <c r="H1725" i="6"/>
  <c r="J1725" i="6" s="1"/>
  <c r="H1726" i="6"/>
  <c r="J1726" i="6" s="1"/>
  <c r="H1727" i="6"/>
  <c r="J1727" i="6" s="1"/>
  <c r="H1728" i="6"/>
  <c r="J1728" i="6" s="1"/>
  <c r="H1729" i="6"/>
  <c r="J1729" i="6" s="1"/>
  <c r="H1730" i="6"/>
  <c r="J1730" i="6" s="1"/>
  <c r="H1731" i="6"/>
  <c r="H1732" i="6"/>
  <c r="H1733" i="6"/>
  <c r="H1734" i="6"/>
  <c r="J1734" i="6" s="1"/>
  <c r="H1735" i="6"/>
  <c r="J1735" i="6" s="1"/>
  <c r="H1736" i="6"/>
  <c r="J1736" i="6" s="1"/>
  <c r="H1737" i="6"/>
  <c r="J1737" i="6" s="1"/>
  <c r="H1738" i="6"/>
  <c r="J1738" i="6" s="1"/>
  <c r="H1739" i="6"/>
  <c r="J1739" i="6" s="1"/>
  <c r="H1740" i="6"/>
  <c r="J1740" i="6" s="1"/>
  <c r="H1741" i="6"/>
  <c r="J1741" i="6" s="1"/>
  <c r="H1742" i="6"/>
  <c r="J1742" i="6" s="1"/>
  <c r="H1743" i="6"/>
  <c r="J1743" i="6" s="1"/>
  <c r="H1744" i="6"/>
  <c r="J1744" i="6" s="1"/>
  <c r="H1745" i="6"/>
  <c r="J1745" i="6" s="1"/>
  <c r="H1746" i="6"/>
  <c r="J1746" i="6" s="1"/>
  <c r="H1747" i="6"/>
  <c r="H1748" i="6"/>
  <c r="H1749" i="6"/>
  <c r="J1749" i="6" s="1"/>
  <c r="H1750" i="6"/>
  <c r="J1750" i="6" s="1"/>
  <c r="H1751" i="6"/>
  <c r="J1751" i="6" s="1"/>
  <c r="H1752" i="6"/>
  <c r="J1752" i="6" s="1"/>
  <c r="H1753" i="6"/>
  <c r="J1753" i="6" s="1"/>
  <c r="H1754" i="6"/>
  <c r="J1754" i="6" s="1"/>
  <c r="H1755" i="6"/>
  <c r="J1755" i="6" s="1"/>
  <c r="H1756" i="6"/>
  <c r="J1756" i="6" s="1"/>
  <c r="H1757" i="6"/>
  <c r="J1757" i="6" s="1"/>
  <c r="H1758" i="6"/>
  <c r="J1758" i="6" s="1"/>
  <c r="H1759" i="6"/>
  <c r="J1759" i="6" s="1"/>
  <c r="H1760" i="6"/>
  <c r="J1760" i="6" s="1"/>
  <c r="H1761" i="6"/>
  <c r="J1761" i="6" s="1"/>
  <c r="H1762" i="6"/>
  <c r="J1762" i="6" s="1"/>
  <c r="H1763" i="6"/>
  <c r="H1764" i="6"/>
  <c r="J1764" i="6" s="1"/>
  <c r="H1765" i="6"/>
  <c r="J1765" i="6" s="1"/>
  <c r="H1766" i="6"/>
  <c r="J1766" i="6" s="1"/>
  <c r="H1767" i="6"/>
  <c r="J1767" i="6" s="1"/>
  <c r="H1768" i="6"/>
  <c r="J1768" i="6" s="1"/>
  <c r="H1769" i="6"/>
  <c r="J1769" i="6" s="1"/>
  <c r="H1770" i="6"/>
  <c r="J1770" i="6" s="1"/>
  <c r="H1771" i="6"/>
  <c r="J1771" i="6" s="1"/>
  <c r="H1772" i="6"/>
  <c r="J1772" i="6" s="1"/>
  <c r="H1773" i="6"/>
  <c r="J1773" i="6" s="1"/>
  <c r="H1774" i="6"/>
  <c r="J1774" i="6" s="1"/>
  <c r="H1775" i="6"/>
  <c r="J1775" i="6" s="1"/>
  <c r="H1776" i="6"/>
  <c r="J1776" i="6" s="1"/>
  <c r="H1777" i="6"/>
  <c r="J1777" i="6" s="1"/>
  <c r="H1778" i="6"/>
  <c r="J1778" i="6" s="1"/>
  <c r="H1779" i="6"/>
  <c r="J1779" i="6" s="1"/>
  <c r="H1780" i="6"/>
  <c r="J1780" i="6" s="1"/>
  <c r="H1781" i="6"/>
  <c r="J1781" i="6" s="1"/>
  <c r="H1782" i="6"/>
  <c r="J1782" i="6" s="1"/>
  <c r="H1783" i="6"/>
  <c r="J1783" i="6" s="1"/>
  <c r="H1784" i="6"/>
  <c r="J1784" i="6" s="1"/>
  <c r="H1785" i="6"/>
  <c r="J1785" i="6" s="1"/>
  <c r="H1786" i="6"/>
  <c r="J1786" i="6" s="1"/>
  <c r="H1787" i="6"/>
  <c r="J1787" i="6" s="1"/>
  <c r="H1788" i="6"/>
  <c r="J1788" i="6" s="1"/>
  <c r="H1789" i="6"/>
  <c r="J1789" i="6" s="1"/>
  <c r="H1790" i="6"/>
  <c r="J1790" i="6" s="1"/>
  <c r="H1791" i="6"/>
  <c r="J1791" i="6" s="1"/>
  <c r="H1792" i="6"/>
  <c r="J1792" i="6" s="1"/>
  <c r="H1793" i="6"/>
  <c r="J1793" i="6" s="1"/>
  <c r="H1794" i="6"/>
  <c r="J1794" i="6" s="1"/>
  <c r="H1795" i="6"/>
  <c r="J1795" i="6" s="1"/>
  <c r="H1796" i="6"/>
  <c r="J1796" i="6" s="1"/>
  <c r="H1797" i="6"/>
  <c r="J1797" i="6" s="1"/>
  <c r="H1798" i="6"/>
  <c r="J1798" i="6" s="1"/>
  <c r="H1799" i="6"/>
  <c r="J1799" i="6" s="1"/>
  <c r="H1800" i="6"/>
  <c r="J1800" i="6" s="1"/>
  <c r="H1801" i="6"/>
  <c r="J1801" i="6" s="1"/>
  <c r="H1802" i="6"/>
  <c r="J1802" i="6" s="1"/>
  <c r="H1803" i="6"/>
  <c r="J1803" i="6" s="1"/>
  <c r="H1804" i="6"/>
  <c r="J1804" i="6" s="1"/>
  <c r="H1805" i="6"/>
  <c r="J1805" i="6" s="1"/>
  <c r="H1806" i="6"/>
  <c r="J1806" i="6" s="1"/>
  <c r="H1807" i="6"/>
  <c r="J1807" i="6" s="1"/>
  <c r="H1808" i="6"/>
  <c r="J1808" i="6" s="1"/>
  <c r="H1809" i="6"/>
  <c r="J1809" i="6" s="1"/>
  <c r="H1810" i="6"/>
  <c r="J1810" i="6" s="1"/>
  <c r="H1811" i="6"/>
  <c r="J1811" i="6" s="1"/>
  <c r="H1812" i="6"/>
  <c r="H1813" i="6"/>
  <c r="H1814" i="6"/>
  <c r="J1814" i="6" s="1"/>
  <c r="H1815" i="6"/>
  <c r="H1816" i="6"/>
  <c r="J1816" i="6" s="1"/>
  <c r="H1817" i="6"/>
  <c r="H1818" i="6"/>
  <c r="J1818" i="6" s="1"/>
  <c r="H1819" i="6"/>
  <c r="J1819" i="6" s="1"/>
  <c r="H1820" i="6"/>
  <c r="J1820" i="6" s="1"/>
  <c r="H1821" i="6"/>
  <c r="J1821" i="6" s="1"/>
  <c r="H1822" i="6"/>
  <c r="J1822" i="6" s="1"/>
  <c r="H1823" i="6"/>
  <c r="J1823" i="6" s="1"/>
  <c r="H1824" i="6"/>
  <c r="J1824" i="6" s="1"/>
  <c r="H1825" i="6"/>
  <c r="J1825" i="6" s="1"/>
  <c r="H1826" i="6"/>
  <c r="J1826" i="6" s="1"/>
  <c r="H1827" i="6"/>
  <c r="H1828" i="6"/>
  <c r="H1829" i="6"/>
  <c r="J1829" i="6" s="1"/>
  <c r="H1830" i="6"/>
  <c r="J1830" i="6" s="1"/>
  <c r="H1831" i="6"/>
  <c r="J1831" i="6" s="1"/>
  <c r="H1832" i="6"/>
  <c r="J1832" i="6" s="1"/>
  <c r="H1833" i="6"/>
  <c r="J1833" i="6" s="1"/>
  <c r="H1834" i="6"/>
  <c r="J1834" i="6" s="1"/>
  <c r="H1835" i="6"/>
  <c r="J1835" i="6" s="1"/>
  <c r="H1836" i="6"/>
  <c r="J1836" i="6" s="1"/>
  <c r="H1837" i="6"/>
  <c r="J1837" i="6" s="1"/>
  <c r="H1838" i="6"/>
  <c r="J1838" i="6" s="1"/>
  <c r="H1839" i="6"/>
  <c r="J1839" i="6" s="1"/>
  <c r="H1840" i="6"/>
  <c r="J1840" i="6" s="1"/>
  <c r="H1841" i="6"/>
  <c r="J1841" i="6" s="1"/>
  <c r="H1842" i="6"/>
  <c r="J1842" i="6" s="1"/>
  <c r="H1843" i="6"/>
  <c r="J1843" i="6" s="1"/>
  <c r="H1844" i="6"/>
  <c r="H1845" i="6"/>
  <c r="H1846" i="6"/>
  <c r="J1846" i="6" s="1"/>
  <c r="H1847" i="6"/>
  <c r="J1847" i="6" s="1"/>
  <c r="H1848" i="6"/>
  <c r="J1848" i="6" s="1"/>
  <c r="H1849" i="6"/>
  <c r="J1849" i="6" s="1"/>
  <c r="H1850" i="6"/>
  <c r="J1850" i="6" s="1"/>
  <c r="H1851" i="6"/>
  <c r="J1851" i="6" s="1"/>
  <c r="H1852" i="6"/>
  <c r="J1852" i="6" s="1"/>
  <c r="H1853" i="6"/>
  <c r="J1853" i="6" s="1"/>
  <c r="H1854" i="6"/>
  <c r="J1854" i="6" s="1"/>
  <c r="H1855" i="6"/>
  <c r="J1855" i="6" s="1"/>
  <c r="H1856" i="6"/>
  <c r="J1856" i="6" s="1"/>
  <c r="H1857" i="6"/>
  <c r="J1857" i="6" s="1"/>
  <c r="H1858" i="6"/>
  <c r="J1858" i="6" s="1"/>
  <c r="H1859" i="6"/>
  <c r="H1860" i="6"/>
  <c r="J1860" i="6" s="1"/>
  <c r="H1861" i="6"/>
  <c r="J1861" i="6" s="1"/>
  <c r="H1862" i="6"/>
  <c r="J1862" i="6" s="1"/>
  <c r="H1863" i="6"/>
  <c r="J1863" i="6" s="1"/>
  <c r="H1864" i="6"/>
  <c r="J1864" i="6" s="1"/>
  <c r="H1865" i="6"/>
  <c r="J1865" i="6" s="1"/>
  <c r="H1866" i="6"/>
  <c r="J1866" i="6" s="1"/>
  <c r="H1867" i="6"/>
  <c r="J1867" i="6" s="1"/>
  <c r="H1868" i="6"/>
  <c r="J1868" i="6" s="1"/>
  <c r="H1869" i="6"/>
  <c r="J1869" i="6" s="1"/>
  <c r="H1870" i="6"/>
  <c r="J1870" i="6" s="1"/>
  <c r="H1871" i="6"/>
  <c r="J1871" i="6" s="1"/>
  <c r="H1872" i="6"/>
  <c r="J1872" i="6" s="1"/>
  <c r="H1873" i="6"/>
  <c r="J1873" i="6" s="1"/>
  <c r="H1874" i="6"/>
  <c r="J1874" i="6" s="1"/>
  <c r="H1875" i="6"/>
  <c r="J1875" i="6" s="1"/>
  <c r="H1876" i="6"/>
  <c r="J1876" i="6" s="1"/>
  <c r="H1877" i="6"/>
  <c r="J1877" i="6" s="1"/>
  <c r="H1878" i="6"/>
  <c r="J1878" i="6" s="1"/>
  <c r="H1879" i="6"/>
  <c r="J1879" i="6" s="1"/>
  <c r="H1880" i="6"/>
  <c r="J1880" i="6" s="1"/>
  <c r="H1881" i="6"/>
  <c r="J1881" i="6" s="1"/>
  <c r="H1882" i="6"/>
  <c r="J1882" i="6" s="1"/>
  <c r="H1883" i="6"/>
  <c r="J1883" i="6" s="1"/>
  <c r="H1884" i="6"/>
  <c r="J1884" i="6" s="1"/>
  <c r="H1885" i="6"/>
  <c r="J1885" i="6" s="1"/>
  <c r="H1886" i="6"/>
  <c r="J1886" i="6" s="1"/>
  <c r="H1887" i="6"/>
  <c r="J1887" i="6" s="1"/>
  <c r="H1888" i="6"/>
  <c r="J1888" i="6" s="1"/>
  <c r="H1889" i="6"/>
  <c r="J1889" i="6" s="1"/>
  <c r="H1890" i="6"/>
  <c r="J1890" i="6" s="1"/>
  <c r="H1891" i="6"/>
  <c r="J1891" i="6" s="1"/>
  <c r="H1892" i="6"/>
  <c r="H1893" i="6"/>
  <c r="H1894" i="6"/>
  <c r="J1894" i="6" s="1"/>
  <c r="H1895" i="6"/>
  <c r="J1895" i="6" s="1"/>
  <c r="H1896" i="6"/>
  <c r="J1896" i="6" s="1"/>
  <c r="H1897" i="6"/>
  <c r="J1897" i="6" s="1"/>
  <c r="H1898" i="6"/>
  <c r="J1898" i="6" s="1"/>
  <c r="H1899" i="6"/>
  <c r="J1899" i="6" s="1"/>
  <c r="H1900" i="6"/>
  <c r="J1900" i="6" s="1"/>
  <c r="H1901" i="6"/>
  <c r="J1901" i="6" s="1"/>
  <c r="H1902" i="6"/>
  <c r="J1902" i="6" s="1"/>
  <c r="H1903" i="6"/>
  <c r="J1903" i="6" s="1"/>
  <c r="H1904" i="6"/>
  <c r="J1904" i="6" s="1"/>
  <c r="H1905" i="6"/>
  <c r="J1905" i="6" s="1"/>
  <c r="H1906" i="6"/>
  <c r="J1906" i="6" s="1"/>
  <c r="H1907" i="6"/>
  <c r="J1907" i="6" s="1"/>
  <c r="H1908" i="6"/>
  <c r="H1909" i="6"/>
  <c r="H1910" i="6"/>
  <c r="J1910" i="6" s="1"/>
  <c r="H1911" i="6"/>
  <c r="J1911" i="6" s="1"/>
  <c r="H1912" i="6"/>
  <c r="J1912" i="6" s="1"/>
  <c r="H1913" i="6"/>
  <c r="J1913" i="6" s="1"/>
  <c r="H1914" i="6"/>
  <c r="J1914" i="6" s="1"/>
  <c r="H1915" i="6"/>
  <c r="J1915" i="6" s="1"/>
  <c r="H1916" i="6"/>
  <c r="J1916" i="6" s="1"/>
  <c r="H1917" i="6"/>
  <c r="J1917" i="6" s="1"/>
  <c r="H1918" i="6"/>
  <c r="J1918" i="6" s="1"/>
  <c r="H1919" i="6"/>
  <c r="J1919" i="6" s="1"/>
  <c r="H1920" i="6"/>
  <c r="J1920" i="6" s="1"/>
  <c r="H1921" i="6"/>
  <c r="J1921" i="6" s="1"/>
  <c r="H1922" i="6"/>
  <c r="J1922" i="6" s="1"/>
  <c r="H1923" i="6"/>
  <c r="H1924" i="6"/>
  <c r="H1925" i="6"/>
  <c r="H1926" i="6"/>
  <c r="J1926" i="6" s="1"/>
  <c r="H1927" i="6"/>
  <c r="J1927" i="6" s="1"/>
  <c r="H1928" i="6"/>
  <c r="J1928" i="6" s="1"/>
  <c r="H1929" i="6"/>
  <c r="J1929" i="6" s="1"/>
  <c r="H1930" i="6"/>
  <c r="J1930" i="6" s="1"/>
  <c r="H1931" i="6"/>
  <c r="J1931" i="6" s="1"/>
  <c r="H1932" i="6"/>
  <c r="J1932" i="6" s="1"/>
  <c r="H1933" i="6"/>
  <c r="J1933" i="6" s="1"/>
  <c r="H1934" i="6"/>
  <c r="J1934" i="6" s="1"/>
  <c r="H1935" i="6"/>
  <c r="J1935" i="6" s="1"/>
  <c r="H1936" i="6"/>
  <c r="J1936" i="6" s="1"/>
  <c r="H1937" i="6"/>
  <c r="J1937" i="6" s="1"/>
  <c r="H1938" i="6"/>
  <c r="J1938" i="6" s="1"/>
  <c r="H1939" i="6"/>
  <c r="H1940" i="6"/>
  <c r="H1941" i="6"/>
  <c r="J1941" i="6" s="1"/>
  <c r="H1942" i="6"/>
  <c r="J1942" i="6" s="1"/>
  <c r="H1943" i="6"/>
  <c r="J1943" i="6" s="1"/>
  <c r="H1944" i="6"/>
  <c r="J1944" i="6" s="1"/>
  <c r="H1945" i="6"/>
  <c r="J1945" i="6" s="1"/>
  <c r="H1946" i="6"/>
  <c r="J1946" i="6" s="1"/>
  <c r="H1947" i="6"/>
  <c r="J1947" i="6" s="1"/>
  <c r="H1948" i="6"/>
  <c r="J1948" i="6" s="1"/>
  <c r="H1949" i="6"/>
  <c r="J1949" i="6" s="1"/>
  <c r="H1950" i="6"/>
  <c r="J1950" i="6" s="1"/>
  <c r="H1951" i="6"/>
  <c r="J1951" i="6" s="1"/>
  <c r="H1952" i="6"/>
  <c r="J1952" i="6" s="1"/>
  <c r="H1953" i="6"/>
  <c r="J1953" i="6" s="1"/>
  <c r="H1954" i="6"/>
  <c r="J1954" i="6" s="1"/>
  <c r="H1955" i="6"/>
  <c r="J1955" i="6" s="1"/>
  <c r="H1956" i="6"/>
  <c r="J1956" i="6" s="1"/>
  <c r="H1957" i="6"/>
  <c r="J1957" i="6" s="1"/>
  <c r="H1958" i="6"/>
  <c r="J1958" i="6" s="1"/>
  <c r="H1959" i="6"/>
  <c r="J1959" i="6" s="1"/>
  <c r="H1960" i="6"/>
  <c r="J1960" i="6" s="1"/>
  <c r="H1961" i="6"/>
  <c r="J1961" i="6" s="1"/>
  <c r="H1962" i="6"/>
  <c r="J1962" i="6" s="1"/>
  <c r="H1963" i="6"/>
  <c r="J1963" i="6" s="1"/>
  <c r="H1964" i="6"/>
  <c r="J1964" i="6" s="1"/>
  <c r="H1965" i="6"/>
  <c r="J1965" i="6" s="1"/>
  <c r="H1966" i="6"/>
  <c r="J1966" i="6" s="1"/>
  <c r="H1967" i="6"/>
  <c r="J1967" i="6" s="1"/>
  <c r="H1968" i="6"/>
  <c r="J1968" i="6" s="1"/>
  <c r="H1969" i="6"/>
  <c r="J1969" i="6" s="1"/>
  <c r="H1970" i="6"/>
  <c r="J1970" i="6" s="1"/>
  <c r="H1971" i="6"/>
  <c r="J1971" i="6" s="1"/>
  <c r="H1972" i="6"/>
  <c r="J1972" i="6" s="1"/>
  <c r="H1973" i="6"/>
  <c r="J1973" i="6" s="1"/>
  <c r="H1974" i="6"/>
  <c r="J1974" i="6" s="1"/>
  <c r="H1975" i="6"/>
  <c r="J1975" i="6" s="1"/>
  <c r="H1976" i="6"/>
  <c r="J1976" i="6" s="1"/>
  <c r="H1977" i="6"/>
  <c r="J1977" i="6" s="1"/>
  <c r="H1978" i="6"/>
  <c r="J1978" i="6" s="1"/>
  <c r="H1979" i="6"/>
  <c r="J1979" i="6" s="1"/>
  <c r="H1980" i="6"/>
  <c r="J1980" i="6" s="1"/>
  <c r="H1981" i="6"/>
  <c r="J1981" i="6" s="1"/>
  <c r="H1982" i="6"/>
  <c r="J1982" i="6" s="1"/>
  <c r="H1983" i="6"/>
  <c r="J1983" i="6" s="1"/>
  <c r="H1984" i="6"/>
  <c r="J1984" i="6" s="1"/>
  <c r="H1985" i="6"/>
  <c r="J1985" i="6" s="1"/>
  <c r="H1986" i="6"/>
  <c r="J1986" i="6" s="1"/>
  <c r="H1987" i="6"/>
  <c r="J1987" i="6" s="1"/>
  <c r="H1988" i="6"/>
  <c r="H1989" i="6"/>
  <c r="H1990" i="6"/>
  <c r="J1990" i="6" s="1"/>
  <c r="H1991" i="6"/>
  <c r="J1991" i="6" s="1"/>
  <c r="H1992" i="6"/>
  <c r="J1992" i="6" s="1"/>
  <c r="H1993" i="6"/>
  <c r="J1993" i="6" s="1"/>
  <c r="H1994" i="6"/>
  <c r="J1994" i="6" s="1"/>
  <c r="H1995" i="6"/>
  <c r="J1995" i="6" s="1"/>
  <c r="H1996" i="6"/>
  <c r="J1996" i="6" s="1"/>
  <c r="H1997" i="6"/>
  <c r="J1997" i="6" s="1"/>
  <c r="H1998" i="6"/>
  <c r="J1998" i="6" s="1"/>
  <c r="H1999" i="6"/>
  <c r="J1999" i="6" s="1"/>
  <c r="H2000" i="6"/>
  <c r="J2000" i="6" s="1"/>
  <c r="H2001" i="6"/>
  <c r="J2001" i="6" s="1"/>
  <c r="H2002" i="6"/>
  <c r="J2002" i="6" s="1"/>
  <c r="H2003" i="6"/>
  <c r="H2004" i="6"/>
  <c r="H2005" i="6"/>
  <c r="J2005" i="6" s="1"/>
  <c r="H2006" i="6"/>
  <c r="J2006" i="6" s="1"/>
  <c r="H2007" i="6"/>
  <c r="J2007" i="6" s="1"/>
  <c r="H2008" i="6"/>
  <c r="J2008" i="6" s="1"/>
  <c r="H2009" i="6"/>
  <c r="J2009" i="6" s="1"/>
  <c r="H2010" i="6"/>
  <c r="J2010" i="6" s="1"/>
  <c r="H2011" i="6"/>
  <c r="J2011" i="6" s="1"/>
  <c r="H2012" i="6"/>
  <c r="J2012" i="6" s="1"/>
  <c r="H2013" i="6"/>
  <c r="J2013" i="6" s="1"/>
  <c r="H2014" i="6"/>
  <c r="J2014" i="6" s="1"/>
  <c r="H2015" i="6"/>
  <c r="J2015" i="6" s="1"/>
  <c r="H2016" i="6"/>
  <c r="J2016" i="6" s="1"/>
  <c r="H2017" i="6"/>
  <c r="J2017" i="6" s="1"/>
  <c r="H2018" i="6"/>
  <c r="J2018" i="6" s="1"/>
  <c r="H2019" i="6"/>
  <c r="H2020" i="6"/>
  <c r="H2021" i="6"/>
  <c r="H2022" i="6"/>
  <c r="J2022" i="6" s="1"/>
  <c r="H2023" i="6"/>
  <c r="J2023" i="6" s="1"/>
  <c r="H2024" i="6"/>
  <c r="J2024" i="6" s="1"/>
  <c r="H2025" i="6"/>
  <c r="J2025" i="6" s="1"/>
  <c r="H2026" i="6"/>
  <c r="J2026" i="6" s="1"/>
  <c r="H2027" i="6"/>
  <c r="J2027" i="6" s="1"/>
  <c r="H2028" i="6"/>
  <c r="J2028" i="6" s="1"/>
  <c r="H2029" i="6"/>
  <c r="J2029" i="6" s="1"/>
  <c r="H2030" i="6"/>
  <c r="J2030" i="6" s="1"/>
  <c r="H2031" i="6"/>
  <c r="J2031" i="6" s="1"/>
  <c r="H2032" i="6"/>
  <c r="J2032" i="6" s="1"/>
  <c r="H2033" i="6"/>
  <c r="J2033" i="6" s="1"/>
  <c r="H2034" i="6"/>
  <c r="J2034" i="6" s="1"/>
  <c r="H2035" i="6"/>
  <c r="J2035" i="6" s="1"/>
  <c r="H2036" i="6"/>
  <c r="H2037" i="6"/>
  <c r="H2038" i="6"/>
  <c r="J2038" i="6" s="1"/>
  <c r="H2039" i="6"/>
  <c r="J2039" i="6" s="1"/>
  <c r="H2040" i="6"/>
  <c r="J2040" i="6" s="1"/>
  <c r="H2041" i="6"/>
  <c r="J2041" i="6" s="1"/>
  <c r="H2042" i="6"/>
  <c r="J2042" i="6" s="1"/>
  <c r="H2043" i="6"/>
  <c r="J2043" i="6" s="1"/>
  <c r="H2044" i="6"/>
  <c r="J2044" i="6" s="1"/>
  <c r="H2045" i="6"/>
  <c r="J2045" i="6" s="1"/>
  <c r="H2046" i="6"/>
  <c r="J2046" i="6" s="1"/>
  <c r="H2047" i="6"/>
  <c r="J2047" i="6" s="1"/>
  <c r="H2048" i="6"/>
  <c r="J2048" i="6" s="1"/>
  <c r="H2049" i="6"/>
  <c r="J2049" i="6" s="1"/>
  <c r="H2050" i="6"/>
  <c r="J2050" i="6" s="1"/>
  <c r="H2051" i="6"/>
  <c r="J2051" i="6" s="1"/>
  <c r="H2052" i="6"/>
  <c r="J2052" i="6" s="1"/>
  <c r="H2053" i="6"/>
  <c r="J2053" i="6" s="1"/>
  <c r="H2054" i="6"/>
  <c r="J2054" i="6" s="1"/>
  <c r="H2055" i="6"/>
  <c r="J2055" i="6" s="1"/>
  <c r="H2056" i="6"/>
  <c r="J2056" i="6" s="1"/>
  <c r="H2057" i="6"/>
  <c r="J2057" i="6" s="1"/>
  <c r="H2058" i="6"/>
  <c r="J2058" i="6" s="1"/>
  <c r="H2059" i="6"/>
  <c r="J2059" i="6" s="1"/>
  <c r="H2060" i="6"/>
  <c r="J2060" i="6" s="1"/>
  <c r="H2061" i="6"/>
  <c r="J2061" i="6" s="1"/>
  <c r="H2062" i="6"/>
  <c r="J2062" i="6" s="1"/>
  <c r="H2063" i="6"/>
  <c r="J2063" i="6" s="1"/>
  <c r="H2064" i="6"/>
  <c r="J2064" i="6" s="1"/>
  <c r="H2065" i="6"/>
  <c r="J2065" i="6" s="1"/>
  <c r="H2066" i="6"/>
  <c r="J2066" i="6" s="1"/>
  <c r="H2067" i="6"/>
  <c r="J2067" i="6" s="1"/>
  <c r="H2068" i="6"/>
  <c r="J2068" i="6" s="1"/>
  <c r="H2069" i="6"/>
  <c r="J2069" i="6" s="1"/>
  <c r="H2070" i="6"/>
  <c r="J2070" i="6" s="1"/>
  <c r="H2071" i="6"/>
  <c r="J2071" i="6" s="1"/>
  <c r="H2072" i="6"/>
  <c r="J2072" i="6" s="1"/>
  <c r="H2073" i="6"/>
  <c r="J2073" i="6" s="1"/>
  <c r="H2074" i="6"/>
  <c r="J2074" i="6" s="1"/>
  <c r="H2075" i="6"/>
  <c r="J2075" i="6" s="1"/>
  <c r="H2076" i="6"/>
  <c r="J2076" i="6" s="1"/>
  <c r="H2077" i="6"/>
  <c r="J2077" i="6" s="1"/>
  <c r="H2078" i="6"/>
  <c r="J2078" i="6" s="1"/>
  <c r="H2079" i="6"/>
  <c r="J2079" i="6" s="1"/>
  <c r="H2080" i="6"/>
  <c r="J2080" i="6" s="1"/>
  <c r="H2081" i="6"/>
  <c r="J2081" i="6" s="1"/>
  <c r="H2082" i="6"/>
  <c r="J2082" i="6" s="1"/>
  <c r="H2083" i="6"/>
  <c r="J2083" i="6" s="1"/>
  <c r="H2084" i="6"/>
  <c r="H2085" i="6"/>
  <c r="H2086" i="6"/>
  <c r="J2086" i="6" s="1"/>
  <c r="H2087" i="6"/>
  <c r="J2087" i="6" s="1"/>
  <c r="H2088" i="6"/>
  <c r="J2088" i="6" s="1"/>
  <c r="H2089" i="6"/>
  <c r="J2089" i="6" s="1"/>
  <c r="H2090" i="6"/>
  <c r="J2090" i="6" s="1"/>
  <c r="H2091" i="6"/>
  <c r="J2091" i="6" s="1"/>
  <c r="H2092" i="6"/>
  <c r="J2092" i="6" s="1"/>
  <c r="H2093" i="6"/>
  <c r="J2093" i="6" s="1"/>
  <c r="H2094" i="6"/>
  <c r="J2094" i="6" s="1"/>
  <c r="H2095" i="6"/>
  <c r="J2095" i="6" s="1"/>
  <c r="H2096" i="6"/>
  <c r="J2096" i="6" s="1"/>
  <c r="H2097" i="6"/>
  <c r="J2097" i="6" s="1"/>
  <c r="H2098" i="6"/>
  <c r="J2098" i="6" s="1"/>
  <c r="H2099" i="6"/>
  <c r="H2100" i="6"/>
  <c r="H2101" i="6"/>
  <c r="J2101" i="6" s="1"/>
  <c r="H2102" i="6"/>
  <c r="J2102" i="6" s="1"/>
  <c r="H2103" i="6"/>
  <c r="J2103" i="6" s="1"/>
  <c r="H2104" i="6"/>
  <c r="J2104" i="6" s="1"/>
  <c r="H2105" i="6"/>
  <c r="J2105" i="6" s="1"/>
  <c r="H2106" i="6"/>
  <c r="J2106" i="6" s="1"/>
  <c r="H2107" i="6"/>
  <c r="J2107" i="6" s="1"/>
  <c r="H2108" i="6"/>
  <c r="J2108" i="6" s="1"/>
  <c r="H2109" i="6"/>
  <c r="J2109" i="6" s="1"/>
  <c r="H2110" i="6"/>
  <c r="J2110" i="6" s="1"/>
  <c r="H2111" i="6"/>
  <c r="J2111" i="6" s="1"/>
  <c r="H2112" i="6"/>
  <c r="J2112" i="6" s="1"/>
  <c r="H2113" i="6"/>
  <c r="J2113" i="6" s="1"/>
  <c r="H2114" i="6"/>
  <c r="J2114" i="6" s="1"/>
  <c r="H2115" i="6"/>
  <c r="J2115" i="6" s="1"/>
  <c r="H2116" i="6"/>
  <c r="H2117" i="6"/>
  <c r="H2118" i="6"/>
  <c r="J2118" i="6" s="1"/>
  <c r="H2119" i="6"/>
  <c r="J2119" i="6" s="1"/>
  <c r="H2120" i="6"/>
  <c r="J2120" i="6" s="1"/>
  <c r="H2121" i="6"/>
  <c r="J2121" i="6" s="1"/>
  <c r="H2122" i="6"/>
  <c r="J2122" i="6" s="1"/>
  <c r="H2123" i="6"/>
  <c r="J2123" i="6" s="1"/>
  <c r="H2124" i="6"/>
  <c r="J2124" i="6" s="1"/>
  <c r="H2125" i="6"/>
  <c r="J2125" i="6" s="1"/>
  <c r="H2126" i="6"/>
  <c r="J2126" i="6" s="1"/>
  <c r="H2127" i="6"/>
  <c r="J2127" i="6" s="1"/>
  <c r="H2128" i="6"/>
  <c r="J2128" i="6" s="1"/>
  <c r="H2129" i="6"/>
  <c r="J2129" i="6" s="1"/>
  <c r="H2130" i="6"/>
  <c r="J2130" i="6" s="1"/>
  <c r="H2131" i="6"/>
  <c r="H2132" i="6"/>
  <c r="H2133" i="6"/>
  <c r="H2134" i="6"/>
  <c r="J2134" i="6" s="1"/>
  <c r="H2135" i="6"/>
  <c r="J2135" i="6" s="1"/>
  <c r="H2136" i="6"/>
  <c r="J2136" i="6" s="1"/>
  <c r="H2137" i="6"/>
  <c r="J2137" i="6" s="1"/>
  <c r="H2138" i="6"/>
  <c r="J2138" i="6" s="1"/>
  <c r="H2139" i="6"/>
  <c r="J2139" i="6" s="1"/>
  <c r="H2140" i="6"/>
  <c r="J2140" i="6" s="1"/>
  <c r="H2141" i="6"/>
  <c r="J2141" i="6" s="1"/>
  <c r="H2142" i="6"/>
  <c r="J2142" i="6" s="1"/>
  <c r="H2143" i="6"/>
  <c r="J2143" i="6" s="1"/>
  <c r="H2144" i="6"/>
  <c r="J2144" i="6" s="1"/>
  <c r="H2145" i="6"/>
  <c r="J2145" i="6" s="1"/>
  <c r="H2146" i="6"/>
  <c r="J2146" i="6" s="1"/>
  <c r="H2147" i="6"/>
  <c r="J2147" i="6" s="1"/>
  <c r="H2148" i="6"/>
  <c r="J2148" i="6" s="1"/>
  <c r="H2149" i="6"/>
  <c r="J2149" i="6" s="1"/>
  <c r="H2150" i="6"/>
  <c r="J2150" i="6" s="1"/>
  <c r="H2151" i="6"/>
  <c r="J2151" i="6" s="1"/>
  <c r="H2152" i="6"/>
  <c r="H2153" i="6"/>
  <c r="J2153" i="6" s="1"/>
  <c r="H2154" i="6"/>
  <c r="J2154" i="6" s="1"/>
  <c r="H2155" i="6"/>
  <c r="J2155" i="6" s="1"/>
  <c r="H2156" i="6"/>
  <c r="J2156" i="6" s="1"/>
  <c r="H2157" i="6"/>
  <c r="J2157" i="6" s="1"/>
  <c r="H2158" i="6"/>
  <c r="J2158" i="6" s="1"/>
  <c r="H2159" i="6"/>
  <c r="J2159" i="6" s="1"/>
  <c r="H2160" i="6"/>
  <c r="J2160" i="6" s="1"/>
  <c r="H2161" i="6"/>
  <c r="J2161" i="6" s="1"/>
  <c r="H2162" i="6"/>
  <c r="J2162" i="6" s="1"/>
  <c r="H2163" i="6"/>
  <c r="J2163" i="6" s="1"/>
  <c r="H2164" i="6"/>
  <c r="J2164" i="6" s="1"/>
  <c r="H2165" i="6"/>
  <c r="J2165" i="6" s="1"/>
  <c r="H2166" i="6"/>
  <c r="J2166" i="6" s="1"/>
  <c r="H2167" i="6"/>
  <c r="J2167" i="6" s="1"/>
  <c r="H2168" i="6"/>
  <c r="J2168" i="6" s="1"/>
  <c r="H2169" i="6"/>
  <c r="J2169" i="6" s="1"/>
  <c r="H2170" i="6"/>
  <c r="J2170" i="6" s="1"/>
  <c r="H2171" i="6"/>
  <c r="J2171" i="6" s="1"/>
  <c r="H2172" i="6"/>
  <c r="J2172" i="6" s="1"/>
  <c r="H2173" i="6"/>
  <c r="J2173" i="6" s="1"/>
  <c r="H2174" i="6"/>
  <c r="J2174" i="6" s="1"/>
  <c r="H2175" i="6"/>
  <c r="J2175" i="6" s="1"/>
  <c r="H2176" i="6"/>
  <c r="J2176" i="6" s="1"/>
  <c r="H2177" i="6"/>
  <c r="J2177" i="6" s="1"/>
  <c r="H2178" i="6"/>
  <c r="J2178" i="6" s="1"/>
  <c r="H2179" i="6"/>
  <c r="J2179" i="6" s="1"/>
  <c r="H2180" i="6"/>
  <c r="H2181" i="6"/>
  <c r="J2181" i="6" s="1"/>
  <c r="H2182" i="6"/>
  <c r="J2182" i="6" s="1"/>
  <c r="H2183" i="6"/>
  <c r="J2183" i="6" s="1"/>
  <c r="H2184" i="6"/>
  <c r="J2184" i="6" s="1"/>
  <c r="H2185" i="6"/>
  <c r="J2185" i="6" s="1"/>
  <c r="H2186" i="6"/>
  <c r="J2186" i="6" s="1"/>
  <c r="H2187" i="6"/>
  <c r="J2187" i="6" s="1"/>
  <c r="H2188" i="6"/>
  <c r="J2188" i="6" s="1"/>
  <c r="H2189" i="6"/>
  <c r="J2189" i="6" s="1"/>
  <c r="H2190" i="6"/>
  <c r="J2190" i="6" s="1"/>
  <c r="H2191" i="6"/>
  <c r="J2191" i="6" s="1"/>
  <c r="H2192" i="6"/>
  <c r="J2192" i="6" s="1"/>
  <c r="H2193" i="6"/>
  <c r="J2193" i="6" s="1"/>
  <c r="H2194" i="6"/>
  <c r="J2194" i="6" s="1"/>
  <c r="H2195" i="6"/>
  <c r="J2195" i="6" s="1"/>
  <c r="H2196" i="6"/>
  <c r="H2197" i="6"/>
  <c r="H2198" i="6"/>
  <c r="J2198" i="6" s="1"/>
  <c r="H2199" i="6"/>
  <c r="J2199" i="6" s="1"/>
  <c r="H2200" i="6"/>
  <c r="J2200" i="6" s="1"/>
  <c r="H2201" i="6"/>
  <c r="J2201" i="6" s="1"/>
  <c r="H2202" i="6"/>
  <c r="J2202" i="6" s="1"/>
  <c r="H2203" i="6"/>
  <c r="J2203" i="6" s="1"/>
  <c r="H2204" i="6"/>
  <c r="J2204" i="6" s="1"/>
  <c r="H2205" i="6"/>
  <c r="J2205" i="6" s="1"/>
  <c r="H2206" i="6"/>
  <c r="J2206" i="6" s="1"/>
  <c r="H2207" i="6"/>
  <c r="J2207" i="6" s="1"/>
  <c r="H2208" i="6"/>
  <c r="J2208" i="6" s="1"/>
  <c r="H2209" i="6"/>
  <c r="J2209" i="6" s="1"/>
  <c r="H2210" i="6"/>
  <c r="J2210" i="6" s="1"/>
  <c r="H2211" i="6"/>
  <c r="H2212" i="6"/>
  <c r="H2213" i="6"/>
  <c r="H2214" i="6"/>
  <c r="J2214" i="6" s="1"/>
  <c r="H2215" i="6"/>
  <c r="J2215" i="6" s="1"/>
  <c r="H2216" i="6"/>
  <c r="J2216" i="6" s="1"/>
  <c r="H2217" i="6"/>
  <c r="J2217" i="6" s="1"/>
  <c r="H2218" i="6"/>
  <c r="J2218" i="6" s="1"/>
  <c r="H2219" i="6"/>
  <c r="J2219" i="6" s="1"/>
  <c r="H2220" i="6"/>
  <c r="J2220" i="6" s="1"/>
  <c r="H2221" i="6"/>
  <c r="J2221" i="6" s="1"/>
  <c r="H2222" i="6"/>
  <c r="J2222" i="6" s="1"/>
  <c r="H2223" i="6"/>
  <c r="J2223" i="6" s="1"/>
  <c r="H2224" i="6"/>
  <c r="J2224" i="6" s="1"/>
  <c r="H2225" i="6"/>
  <c r="J2225" i="6" s="1"/>
  <c r="H2226" i="6"/>
  <c r="J2226" i="6" s="1"/>
  <c r="H2227" i="6"/>
  <c r="H2228" i="6"/>
  <c r="H2229" i="6"/>
  <c r="J2229" i="6" s="1"/>
  <c r="H2230" i="6"/>
  <c r="J2230" i="6" s="1"/>
  <c r="H2231" i="6"/>
  <c r="J2231" i="6" s="1"/>
  <c r="H2232" i="6"/>
  <c r="J2232" i="6" s="1"/>
  <c r="H2233" i="6"/>
  <c r="J2233" i="6" s="1"/>
  <c r="H2234" i="6"/>
  <c r="J2234" i="6" s="1"/>
  <c r="H2235" i="6"/>
  <c r="J2235" i="6" s="1"/>
  <c r="H2236" i="6"/>
  <c r="J2236" i="6" s="1"/>
  <c r="H2237" i="6"/>
  <c r="J2237" i="6" s="1"/>
  <c r="H2238" i="6"/>
  <c r="J2238" i="6" s="1"/>
  <c r="H2239" i="6"/>
  <c r="J2239" i="6" s="1"/>
  <c r="H2240" i="6"/>
  <c r="J2240" i="6" s="1"/>
  <c r="H2241" i="6"/>
  <c r="J2241" i="6" s="1"/>
  <c r="H2242" i="6"/>
  <c r="J2242" i="6" s="1"/>
  <c r="H2243" i="6"/>
  <c r="J2243" i="6" s="1"/>
  <c r="H2244" i="6"/>
  <c r="J2244" i="6" s="1"/>
  <c r="H2245" i="6"/>
  <c r="J2245" i="6" s="1"/>
  <c r="H2246" i="6"/>
  <c r="J2246" i="6" s="1"/>
  <c r="H2247" i="6"/>
  <c r="J2247" i="6" s="1"/>
  <c r="H2248" i="6"/>
  <c r="J2248" i="6" s="1"/>
  <c r="H2249" i="6"/>
  <c r="J2249" i="6" s="1"/>
  <c r="H2250" i="6"/>
  <c r="J2250" i="6" s="1"/>
  <c r="H2251" i="6"/>
  <c r="J2251" i="6" s="1"/>
  <c r="H2252" i="6"/>
  <c r="J2252" i="6" s="1"/>
  <c r="H2253" i="6"/>
  <c r="J2253" i="6" s="1"/>
  <c r="H2254" i="6"/>
  <c r="J2254" i="6" s="1"/>
  <c r="H2255" i="6"/>
  <c r="J2255" i="6" s="1"/>
  <c r="H2256" i="6"/>
  <c r="J2256" i="6" s="1"/>
  <c r="H2257" i="6"/>
  <c r="J2257" i="6" s="1"/>
  <c r="H2258" i="6"/>
  <c r="J2258" i="6" s="1"/>
  <c r="H2259" i="6"/>
  <c r="J2259" i="6" s="1"/>
  <c r="H2260" i="6"/>
  <c r="J2260" i="6" s="1"/>
  <c r="H2261" i="6"/>
  <c r="J2261" i="6" s="1"/>
  <c r="H2262" i="6"/>
  <c r="J2262" i="6" s="1"/>
  <c r="H2263" i="6"/>
  <c r="J2263" i="6" s="1"/>
  <c r="H2264" i="6"/>
  <c r="H2265" i="6"/>
  <c r="J2265" i="6" s="1"/>
  <c r="H2266" i="6"/>
  <c r="J2266" i="6" s="1"/>
  <c r="H2267" i="6"/>
  <c r="J2267" i="6" s="1"/>
  <c r="H2268" i="6"/>
  <c r="J2268" i="6" s="1"/>
  <c r="H2269" i="6"/>
  <c r="J2269" i="6" s="1"/>
  <c r="H2270" i="6"/>
  <c r="J2270" i="6" s="1"/>
  <c r="H2271" i="6"/>
  <c r="J2271" i="6" s="1"/>
  <c r="H2272" i="6"/>
  <c r="J2272" i="6" s="1"/>
  <c r="H2273" i="6"/>
  <c r="J2273" i="6" s="1"/>
  <c r="H2274" i="6"/>
  <c r="J2274" i="6" s="1"/>
  <c r="H2275" i="6"/>
  <c r="J2275" i="6" s="1"/>
  <c r="H2276" i="6"/>
  <c r="H2277" i="6"/>
  <c r="J2277" i="6" s="1"/>
  <c r="H2278" i="6"/>
  <c r="J2278" i="6" s="1"/>
  <c r="H2279" i="6"/>
  <c r="J2279" i="6" s="1"/>
  <c r="H2280" i="6"/>
  <c r="J2280" i="6" s="1"/>
  <c r="H2281" i="6"/>
  <c r="J2281" i="6" s="1"/>
  <c r="H2282" i="6"/>
  <c r="J2282" i="6" s="1"/>
  <c r="H2283" i="6"/>
  <c r="J2283" i="6" s="1"/>
  <c r="H2284" i="6"/>
  <c r="J2284" i="6" s="1"/>
  <c r="H2285" i="6"/>
  <c r="J2285" i="6" s="1"/>
  <c r="H2286" i="6"/>
  <c r="J2286" i="6" s="1"/>
  <c r="H2287" i="6"/>
  <c r="J2287" i="6" s="1"/>
  <c r="H2288" i="6"/>
  <c r="J2288" i="6" s="1"/>
  <c r="H2289" i="6"/>
  <c r="J2289" i="6" s="1"/>
  <c r="H2290" i="6"/>
  <c r="J2290" i="6" s="1"/>
  <c r="H2291" i="6"/>
  <c r="J2291" i="6" s="1"/>
  <c r="H2292" i="6"/>
  <c r="H2293" i="6"/>
  <c r="H2294" i="6"/>
  <c r="J2294" i="6" s="1"/>
  <c r="H2295" i="6"/>
  <c r="J2295" i="6" s="1"/>
  <c r="H2296" i="6"/>
  <c r="J2296" i="6" s="1"/>
  <c r="H2297" i="6"/>
  <c r="J2297" i="6" s="1"/>
  <c r="H2298" i="6"/>
  <c r="J2298" i="6" s="1"/>
  <c r="H2299" i="6"/>
  <c r="J2299" i="6" s="1"/>
  <c r="H2300" i="6"/>
  <c r="J2300" i="6" s="1"/>
  <c r="H2301" i="6"/>
  <c r="J2301" i="6" s="1"/>
  <c r="H2302" i="6"/>
  <c r="J2302" i="6" s="1"/>
  <c r="H2303" i="6"/>
  <c r="J2303" i="6" s="1"/>
  <c r="H2304" i="6"/>
  <c r="J2304" i="6" s="1"/>
  <c r="H2305" i="6"/>
  <c r="J2305" i="6" s="1"/>
  <c r="H2306" i="6"/>
  <c r="J2306" i="6" s="1"/>
  <c r="H2307" i="6"/>
  <c r="H2308" i="6"/>
  <c r="H2309" i="6"/>
  <c r="H2310" i="6"/>
  <c r="J2310" i="6" s="1"/>
  <c r="H2311" i="6"/>
  <c r="J2311" i="6" s="1"/>
  <c r="H2312" i="6"/>
  <c r="J2312" i="6" s="1"/>
  <c r="H2313" i="6"/>
  <c r="J2313" i="6" s="1"/>
  <c r="H2314" i="6"/>
  <c r="J2314" i="6" s="1"/>
  <c r="H2315" i="6"/>
  <c r="J2315" i="6" s="1"/>
  <c r="H2316" i="6"/>
  <c r="J2316" i="6" s="1"/>
  <c r="H2317" i="6"/>
  <c r="J2317" i="6" s="1"/>
  <c r="H2318" i="6"/>
  <c r="J2318" i="6" s="1"/>
  <c r="H2319" i="6"/>
  <c r="J2319" i="6" s="1"/>
  <c r="H2320" i="6"/>
  <c r="J2320" i="6" s="1"/>
  <c r="H2321" i="6"/>
  <c r="J2321" i="6" s="1"/>
  <c r="H2322" i="6"/>
  <c r="J2322" i="6" s="1"/>
  <c r="H2323" i="6"/>
  <c r="J2323" i="6" s="1"/>
  <c r="H2324" i="6"/>
  <c r="H2325" i="6"/>
  <c r="J2325" i="6" s="1"/>
  <c r="H2326" i="6"/>
  <c r="J2326" i="6" s="1"/>
  <c r="H2327" i="6"/>
  <c r="J2327" i="6" s="1"/>
  <c r="H2328" i="6"/>
  <c r="J2328" i="6" s="1"/>
  <c r="H2329" i="6"/>
  <c r="J2329" i="6" s="1"/>
  <c r="H2330" i="6"/>
  <c r="J2330" i="6" s="1"/>
  <c r="H2331" i="6"/>
  <c r="J2331" i="6" s="1"/>
  <c r="H2332" i="6"/>
  <c r="J2332" i="6" s="1"/>
  <c r="H2333" i="6"/>
  <c r="J2333" i="6" s="1"/>
  <c r="H2334" i="6"/>
  <c r="J2334" i="6" s="1"/>
  <c r="H2335" i="6"/>
  <c r="J2335" i="6" s="1"/>
  <c r="H2336" i="6"/>
  <c r="J2336" i="6" s="1"/>
  <c r="H2337" i="6"/>
  <c r="J2337" i="6" s="1"/>
  <c r="H2338" i="6"/>
  <c r="J2338" i="6" s="1"/>
  <c r="H2339" i="6"/>
  <c r="H2340" i="6"/>
  <c r="J2340" i="6" s="1"/>
  <c r="H2341" i="6"/>
  <c r="J2341" i="6" s="1"/>
  <c r="H2342" i="6"/>
  <c r="J2342" i="6" s="1"/>
  <c r="H2343" i="6"/>
  <c r="J2343" i="6" s="1"/>
  <c r="H2344" i="6"/>
  <c r="J2344" i="6" s="1"/>
  <c r="H2345" i="6"/>
  <c r="J2345" i="6" s="1"/>
  <c r="H2346" i="6"/>
  <c r="J2346" i="6" s="1"/>
  <c r="H2347" i="6"/>
  <c r="J2347" i="6" s="1"/>
  <c r="H2348" i="6"/>
  <c r="J2348" i="6" s="1"/>
  <c r="H2349" i="6"/>
  <c r="J2349" i="6" s="1"/>
  <c r="H2350" i="6"/>
  <c r="J2350" i="6" s="1"/>
  <c r="H2351" i="6"/>
  <c r="J2351" i="6" s="1"/>
  <c r="H2352" i="6"/>
  <c r="J2352" i="6" s="1"/>
  <c r="H2353" i="6"/>
  <c r="J2353" i="6" s="1"/>
  <c r="H2354" i="6"/>
  <c r="J2354" i="6" s="1"/>
  <c r="H2355" i="6"/>
  <c r="J2355" i="6" s="1"/>
  <c r="H2356" i="6"/>
  <c r="J2356" i="6" s="1"/>
  <c r="H2357" i="6"/>
  <c r="J2357" i="6" s="1"/>
  <c r="H2358" i="6"/>
  <c r="J2358" i="6" s="1"/>
  <c r="H2359" i="6"/>
  <c r="J2359" i="6" s="1"/>
  <c r="H2360" i="6"/>
  <c r="J2360" i="6" s="1"/>
  <c r="H2361" i="6"/>
  <c r="J2361" i="6" s="1"/>
  <c r="H2362" i="6"/>
  <c r="J2362" i="6" s="1"/>
  <c r="H2363" i="6"/>
  <c r="J2363" i="6" s="1"/>
  <c r="H2364" i="6"/>
  <c r="J2364" i="6" s="1"/>
  <c r="H2365" i="6"/>
  <c r="J2365" i="6" s="1"/>
  <c r="H2366" i="6"/>
  <c r="J2366" i="6" s="1"/>
  <c r="H2367" i="6"/>
  <c r="J2367" i="6" s="1"/>
  <c r="H2368" i="6"/>
  <c r="J2368" i="6" s="1"/>
  <c r="H2369" i="6"/>
  <c r="J2369" i="6" s="1"/>
  <c r="H2370" i="6"/>
  <c r="J2370" i="6" s="1"/>
  <c r="H2371" i="6"/>
  <c r="J2371" i="6" s="1"/>
  <c r="H2372" i="6"/>
  <c r="J2372" i="6" s="1"/>
  <c r="H2373" i="6"/>
  <c r="J2373" i="6" s="1"/>
  <c r="H2374" i="6"/>
  <c r="J2374" i="6" s="1"/>
  <c r="H2375" i="6"/>
  <c r="J2375" i="6" s="1"/>
  <c r="H2376" i="6"/>
  <c r="J2376" i="6" s="1"/>
  <c r="H2377" i="6"/>
  <c r="J2377" i="6" s="1"/>
  <c r="H2378" i="6"/>
  <c r="J2378" i="6" s="1"/>
  <c r="H2379" i="6"/>
  <c r="J2379" i="6" s="1"/>
  <c r="H2380" i="6"/>
  <c r="J2380" i="6" s="1"/>
  <c r="H2381" i="6"/>
  <c r="J2381" i="6" s="1"/>
  <c r="H2382" i="6"/>
  <c r="J2382" i="6" s="1"/>
  <c r="H2383" i="6"/>
  <c r="J2383" i="6" s="1"/>
  <c r="H2384" i="6"/>
  <c r="J2384" i="6" s="1"/>
  <c r="H2385" i="6"/>
  <c r="J2385" i="6" s="1"/>
  <c r="H2386" i="6"/>
  <c r="J2386" i="6" s="1"/>
  <c r="H2387" i="6"/>
  <c r="H2388" i="6"/>
  <c r="H2389" i="6"/>
  <c r="J2389" i="6" s="1"/>
  <c r="H2390" i="6"/>
  <c r="J2390" i="6" s="1"/>
  <c r="H2391" i="6"/>
  <c r="J2391" i="6" s="1"/>
  <c r="H2392" i="6"/>
  <c r="J2392" i="6" s="1"/>
  <c r="H2393" i="6"/>
  <c r="J2393" i="6" s="1"/>
  <c r="H2394" i="6"/>
  <c r="J2394" i="6" s="1"/>
  <c r="H2395" i="6"/>
  <c r="J2395" i="6" s="1"/>
  <c r="H2396" i="6"/>
  <c r="J2396" i="6" s="1"/>
  <c r="H2397" i="6"/>
  <c r="J2397" i="6" s="1"/>
  <c r="H2398" i="6"/>
  <c r="J2398" i="6" s="1"/>
  <c r="H2399" i="6"/>
  <c r="J2399" i="6" s="1"/>
  <c r="H2400" i="6"/>
  <c r="J2400" i="6" s="1"/>
  <c r="H2401" i="6"/>
  <c r="J2401" i="6" s="1"/>
  <c r="H2402" i="6"/>
  <c r="J2402" i="6" s="1"/>
  <c r="H2403" i="6"/>
  <c r="H2404" i="6"/>
  <c r="H2405" i="6"/>
  <c r="J2405" i="6" s="1"/>
  <c r="H2406" i="6"/>
  <c r="J2406" i="6" s="1"/>
  <c r="H2407" i="6"/>
  <c r="J2407" i="6" s="1"/>
  <c r="H2408" i="6"/>
  <c r="J2408" i="6" s="1"/>
  <c r="H2409" i="6"/>
  <c r="J2409" i="6" s="1"/>
  <c r="H2410" i="6"/>
  <c r="J2410" i="6" s="1"/>
  <c r="H2411" i="6"/>
  <c r="J2411" i="6" s="1"/>
  <c r="H2412" i="6"/>
  <c r="J2412" i="6" s="1"/>
  <c r="H2413" i="6"/>
  <c r="J2413" i="6" s="1"/>
  <c r="H2414" i="6"/>
  <c r="J2414" i="6" s="1"/>
  <c r="H2415" i="6"/>
  <c r="J2415" i="6" s="1"/>
  <c r="H2416" i="6"/>
  <c r="J2416" i="6" s="1"/>
  <c r="H2417" i="6"/>
  <c r="J2417" i="6" s="1"/>
  <c r="H2418" i="6"/>
  <c r="J2418" i="6" s="1"/>
  <c r="H2419" i="6"/>
  <c r="H2420" i="6"/>
  <c r="H2421" i="6"/>
  <c r="H2422" i="6"/>
  <c r="J2422" i="6" s="1"/>
  <c r="H2423" i="6"/>
  <c r="J2423" i="6" s="1"/>
  <c r="H2424" i="6"/>
  <c r="J2424" i="6" s="1"/>
  <c r="H2425" i="6"/>
  <c r="J2425" i="6" s="1"/>
  <c r="H2426" i="6"/>
  <c r="J2426" i="6" s="1"/>
  <c r="H2427" i="6"/>
  <c r="J2427" i="6" s="1"/>
  <c r="H2428" i="6"/>
  <c r="J2428" i="6" s="1"/>
  <c r="H2429" i="6"/>
  <c r="J2429" i="6" s="1"/>
  <c r="H2430" i="6"/>
  <c r="J2430" i="6" s="1"/>
  <c r="H2431" i="6"/>
  <c r="J2431" i="6" s="1"/>
  <c r="H2432" i="6"/>
  <c r="J2432" i="6" s="1"/>
  <c r="H2433" i="6"/>
  <c r="J2433" i="6" s="1"/>
  <c r="H2434" i="6"/>
  <c r="J2434" i="6" s="1"/>
  <c r="H2435" i="6"/>
  <c r="J2435" i="6" s="1"/>
  <c r="H2436" i="6"/>
  <c r="H2437" i="6"/>
  <c r="J2437" i="6" s="1"/>
  <c r="H2438" i="6"/>
  <c r="J2438" i="6" s="1"/>
  <c r="H2439" i="6"/>
  <c r="J2439" i="6" s="1"/>
  <c r="H2440" i="6"/>
  <c r="J2440" i="6" s="1"/>
  <c r="H2441" i="6"/>
  <c r="J2441" i="6" s="1"/>
  <c r="H2442" i="6"/>
  <c r="J2442" i="6" s="1"/>
  <c r="H2443" i="6"/>
  <c r="J2443" i="6" s="1"/>
  <c r="H2444" i="6"/>
  <c r="J2444" i="6" s="1"/>
  <c r="H2445" i="6"/>
  <c r="J2445" i="6" s="1"/>
  <c r="H2446" i="6"/>
  <c r="J2446" i="6" s="1"/>
  <c r="H2447" i="6"/>
  <c r="J2447" i="6" s="1"/>
  <c r="H2448" i="6"/>
  <c r="J2448" i="6" s="1"/>
  <c r="H2449" i="6"/>
  <c r="J2449" i="6" s="1"/>
  <c r="H2450" i="6"/>
  <c r="J2450" i="6" s="1"/>
  <c r="H2451" i="6"/>
  <c r="J2451" i="6" s="1"/>
  <c r="H2452" i="6"/>
  <c r="H2453" i="6"/>
  <c r="J2453" i="6" s="1"/>
  <c r="H2454" i="6"/>
  <c r="J2454" i="6" s="1"/>
  <c r="H2455" i="6"/>
  <c r="J2455" i="6" s="1"/>
  <c r="H2456" i="6"/>
  <c r="H2457" i="6"/>
  <c r="J2457" i="6" s="1"/>
  <c r="H2458" i="6"/>
  <c r="J2458" i="6" s="1"/>
  <c r="H2459" i="6"/>
  <c r="J2459" i="6" s="1"/>
  <c r="H2460" i="6"/>
  <c r="J2460" i="6" s="1"/>
  <c r="H2461" i="6"/>
  <c r="J2461" i="6" s="1"/>
  <c r="H2462" i="6"/>
  <c r="J2462" i="6" s="1"/>
  <c r="H2463" i="6"/>
  <c r="J2463" i="6" s="1"/>
  <c r="H2464" i="6"/>
  <c r="J2464" i="6" s="1"/>
  <c r="H2465" i="6"/>
  <c r="J2465" i="6" s="1"/>
  <c r="H2466" i="6"/>
  <c r="J2466" i="6" s="1"/>
  <c r="H2467" i="6"/>
  <c r="J2467" i="6" s="1"/>
  <c r="H2468" i="6"/>
  <c r="J2468" i="6" s="1"/>
  <c r="H2469" i="6"/>
  <c r="J2469" i="6" s="1"/>
  <c r="H2470" i="6"/>
  <c r="J2470" i="6" s="1"/>
  <c r="H2471" i="6"/>
  <c r="J2471" i="6" s="1"/>
  <c r="H2472" i="6"/>
  <c r="J2472" i="6" s="1"/>
  <c r="H2473" i="6"/>
  <c r="J2473" i="6" s="1"/>
  <c r="H2474" i="6"/>
  <c r="J2474" i="6" s="1"/>
  <c r="H2475" i="6"/>
  <c r="J2475" i="6" s="1"/>
  <c r="H2476" i="6"/>
  <c r="J2476" i="6" s="1"/>
  <c r="H2477" i="6"/>
  <c r="J2477" i="6" s="1"/>
  <c r="H2478" i="6"/>
  <c r="J2478" i="6" s="1"/>
  <c r="H2479" i="6"/>
  <c r="J2479" i="6" s="1"/>
  <c r="H2480" i="6"/>
  <c r="J2480" i="6" s="1"/>
  <c r="H2481" i="6"/>
  <c r="J2481" i="6" s="1"/>
  <c r="H2482" i="6"/>
  <c r="J2482" i="6" s="1"/>
  <c r="H2483" i="6"/>
  <c r="J2483" i="6" s="1"/>
  <c r="H2484" i="6"/>
  <c r="H2485" i="6"/>
  <c r="H2486" i="6"/>
  <c r="J2486" i="6" s="1"/>
  <c r="H2487" i="6"/>
  <c r="J2487" i="6" s="1"/>
  <c r="H2488" i="6"/>
  <c r="J2488" i="6" s="1"/>
  <c r="H2489" i="6"/>
  <c r="J2489" i="6" s="1"/>
  <c r="H2490" i="6"/>
  <c r="J2490" i="6" s="1"/>
  <c r="H2491" i="6"/>
  <c r="J2491" i="6" s="1"/>
  <c r="H2492" i="6"/>
  <c r="J2492" i="6" s="1"/>
  <c r="H2493" i="6"/>
  <c r="J2493" i="6" s="1"/>
  <c r="H2494" i="6"/>
  <c r="J2494" i="6" s="1"/>
  <c r="H2495" i="6"/>
  <c r="J2495" i="6" s="1"/>
  <c r="H2496" i="6"/>
  <c r="J2496" i="6" s="1"/>
  <c r="H2497" i="6"/>
  <c r="J2497" i="6" s="1"/>
  <c r="H2498" i="6"/>
  <c r="J2498" i="6" s="1"/>
  <c r="H2499" i="6"/>
  <c r="H2500" i="6"/>
  <c r="H2501" i="6"/>
  <c r="J2501" i="6" s="1"/>
  <c r="H2502" i="6"/>
  <c r="J2502" i="6" s="1"/>
  <c r="H2503" i="6"/>
  <c r="J2503" i="6" s="1"/>
  <c r="H2504" i="6"/>
  <c r="J2504" i="6" s="1"/>
  <c r="H2505" i="6"/>
  <c r="J2505" i="6" s="1"/>
  <c r="H2506" i="6"/>
  <c r="J2506" i="6" s="1"/>
  <c r="H2507" i="6"/>
  <c r="J2507" i="6" s="1"/>
  <c r="H2508" i="6"/>
  <c r="J2508" i="6" s="1"/>
  <c r="H2509" i="6"/>
  <c r="J2509" i="6" s="1"/>
  <c r="H2510" i="6"/>
  <c r="J2510" i="6" s="1"/>
  <c r="H2511" i="6"/>
  <c r="J2511" i="6" s="1"/>
  <c r="H2512" i="6"/>
  <c r="J2512" i="6" s="1"/>
  <c r="H2513" i="6"/>
  <c r="J2513" i="6" s="1"/>
  <c r="H2514" i="6"/>
  <c r="J2514" i="6" s="1"/>
  <c r="H2515" i="6"/>
  <c r="J2515" i="6" s="1"/>
  <c r="H2516" i="6"/>
  <c r="H2517" i="6"/>
  <c r="H2518" i="6"/>
  <c r="J2518" i="6" s="1"/>
  <c r="H2519" i="6"/>
  <c r="J2519" i="6" s="1"/>
  <c r="H2520" i="6"/>
  <c r="J2520" i="6" s="1"/>
  <c r="H2521" i="6"/>
  <c r="H2522" i="6"/>
  <c r="J2522" i="6" s="1"/>
  <c r="H2523" i="6"/>
  <c r="J2523" i="6" s="1"/>
  <c r="H2524" i="6"/>
  <c r="J2524" i="6" s="1"/>
  <c r="H2525" i="6"/>
  <c r="J2525" i="6" s="1"/>
  <c r="H2526" i="6"/>
  <c r="J2526" i="6" s="1"/>
  <c r="H2527" i="6"/>
  <c r="J2527" i="6" s="1"/>
  <c r="H2528" i="6"/>
  <c r="J2528" i="6" s="1"/>
  <c r="H2529" i="6"/>
  <c r="J2529" i="6" s="1"/>
  <c r="H2530" i="6"/>
  <c r="J2530" i="6" s="1"/>
  <c r="H2531" i="6"/>
  <c r="J2531" i="6" s="1"/>
  <c r="H2532" i="6"/>
  <c r="J2532" i="6" s="1"/>
  <c r="H2533" i="6"/>
  <c r="J2533" i="6" s="1"/>
  <c r="H2534" i="6"/>
  <c r="J2534" i="6" s="1"/>
  <c r="H2535" i="6"/>
  <c r="J2535" i="6" s="1"/>
  <c r="H2536" i="6"/>
  <c r="J2536" i="6" s="1"/>
  <c r="H2537" i="6"/>
  <c r="J2537" i="6" s="1"/>
  <c r="H2538" i="6"/>
  <c r="J2538" i="6" s="1"/>
  <c r="H2539" i="6"/>
  <c r="J2539" i="6" s="1"/>
  <c r="H2540" i="6"/>
  <c r="J2540" i="6" s="1"/>
  <c r="H2541" i="6"/>
  <c r="J2541" i="6" s="1"/>
  <c r="H2542" i="6"/>
  <c r="J2542" i="6" s="1"/>
  <c r="H2543" i="6"/>
  <c r="J2543" i="6" s="1"/>
  <c r="H2544" i="6"/>
  <c r="J2544" i="6" s="1"/>
  <c r="H2545" i="6"/>
  <c r="J2545" i="6" s="1"/>
  <c r="H2546" i="6"/>
  <c r="J2546" i="6" s="1"/>
  <c r="H2547" i="6"/>
  <c r="J2547" i="6" s="1"/>
  <c r="H2548" i="6"/>
  <c r="J2548" i="6" s="1"/>
  <c r="H2549" i="6"/>
  <c r="J2549" i="6" s="1"/>
  <c r="H2550" i="6"/>
  <c r="J2550" i="6" s="1"/>
  <c r="H2551" i="6"/>
  <c r="J2551" i="6" s="1"/>
  <c r="H2552" i="6"/>
  <c r="J2552" i="6" s="1"/>
  <c r="H2553" i="6"/>
  <c r="J2553" i="6" s="1"/>
  <c r="H2554" i="6"/>
  <c r="J2554" i="6" s="1"/>
  <c r="H2555" i="6"/>
  <c r="J2555" i="6" s="1"/>
  <c r="H2556" i="6"/>
  <c r="J2556" i="6" s="1"/>
  <c r="H2557" i="6"/>
  <c r="J2557" i="6" s="1"/>
  <c r="H2558" i="6"/>
  <c r="J2558" i="6" s="1"/>
  <c r="H2559" i="6"/>
  <c r="J2559" i="6" s="1"/>
  <c r="H2560" i="6"/>
  <c r="J2560" i="6" s="1"/>
  <c r="H2561" i="6"/>
  <c r="J2561" i="6" s="1"/>
  <c r="H2562" i="6"/>
  <c r="J2562" i="6" s="1"/>
  <c r="H2563" i="6"/>
  <c r="J2563" i="6" s="1"/>
  <c r="H2564" i="6"/>
  <c r="J2564" i="6" s="1"/>
  <c r="H2565" i="6"/>
  <c r="J2565" i="6" s="1"/>
  <c r="H2566" i="6"/>
  <c r="J2566" i="6" s="1"/>
  <c r="H2567" i="6"/>
  <c r="J2567" i="6" s="1"/>
  <c r="H2568" i="6"/>
  <c r="J2568" i="6" s="1"/>
  <c r="H2569" i="6"/>
  <c r="J2569" i="6" s="1"/>
  <c r="H2570" i="6"/>
  <c r="J2570" i="6" s="1"/>
  <c r="H2571" i="6"/>
  <c r="J2571" i="6" s="1"/>
  <c r="H2572" i="6"/>
  <c r="J2572" i="6" s="1"/>
  <c r="H2573" i="6"/>
  <c r="J2573" i="6" s="1"/>
  <c r="H2574" i="6"/>
  <c r="J2574" i="6" s="1"/>
  <c r="H2575" i="6"/>
  <c r="J2575" i="6" s="1"/>
  <c r="H2576" i="6"/>
  <c r="J2576" i="6" s="1"/>
  <c r="H2577" i="6"/>
  <c r="J2577" i="6" s="1"/>
  <c r="H2578" i="6"/>
  <c r="J2578" i="6" s="1"/>
  <c r="H2579" i="6"/>
  <c r="H2580" i="6"/>
  <c r="H2581" i="6"/>
  <c r="H2582" i="6"/>
  <c r="J2582" i="6" s="1"/>
  <c r="H2583" i="6"/>
  <c r="J2583" i="6" s="1"/>
  <c r="H2584" i="6"/>
  <c r="J2584" i="6" s="1"/>
  <c r="H2585" i="6"/>
  <c r="J2585" i="6" s="1"/>
  <c r="H2586" i="6"/>
  <c r="J2586" i="6" s="1"/>
  <c r="H2587" i="6"/>
  <c r="J2587" i="6" s="1"/>
  <c r="H2588" i="6"/>
  <c r="J2588" i="6" s="1"/>
  <c r="H2589" i="6"/>
  <c r="J2589" i="6" s="1"/>
  <c r="H2590" i="6"/>
  <c r="J2590" i="6" s="1"/>
  <c r="H2591" i="6"/>
  <c r="J2591" i="6" s="1"/>
  <c r="H2592" i="6"/>
  <c r="J2592" i="6" s="1"/>
  <c r="H2593" i="6"/>
  <c r="J2593" i="6" s="1"/>
  <c r="H2594" i="6"/>
  <c r="J2594" i="6" s="1"/>
  <c r="H2595" i="6"/>
  <c r="J2595" i="6" s="1"/>
  <c r="H2596" i="6"/>
  <c r="H2597" i="6"/>
  <c r="H2598" i="6"/>
  <c r="J2598" i="6" s="1"/>
  <c r="H2599" i="6"/>
  <c r="J2599" i="6" s="1"/>
  <c r="H2600" i="6"/>
  <c r="J2600" i="6" s="1"/>
  <c r="H2601" i="6"/>
  <c r="J2601" i="6" s="1"/>
  <c r="H2602" i="6"/>
  <c r="J2602" i="6" s="1"/>
  <c r="H2603" i="6"/>
  <c r="J2603" i="6" s="1"/>
  <c r="H2604" i="6"/>
  <c r="J2604" i="6" s="1"/>
  <c r="H2605" i="6"/>
  <c r="J2605" i="6" s="1"/>
  <c r="H2606" i="6"/>
  <c r="J2606" i="6" s="1"/>
  <c r="H2607" i="6"/>
  <c r="J2607" i="6" s="1"/>
  <c r="H2608" i="6"/>
  <c r="J2608" i="6" s="1"/>
  <c r="H2609" i="6"/>
  <c r="J2609" i="6" s="1"/>
  <c r="H2610" i="6"/>
  <c r="J2610" i="6" s="1"/>
  <c r="H2611" i="6"/>
  <c r="H2612" i="6"/>
  <c r="H2613" i="6"/>
  <c r="H2614" i="6"/>
  <c r="J2614" i="6" s="1"/>
  <c r="H2615" i="6"/>
  <c r="J2615" i="6" s="1"/>
  <c r="H2616" i="6"/>
  <c r="J2616" i="6" s="1"/>
  <c r="H2617" i="6"/>
  <c r="J2617" i="6" s="1"/>
  <c r="H2618" i="6"/>
  <c r="J2618" i="6" s="1"/>
  <c r="H2619" i="6"/>
  <c r="J2619" i="6" s="1"/>
  <c r="H2620" i="6"/>
  <c r="J2620" i="6" s="1"/>
  <c r="H2621" i="6"/>
  <c r="J2621" i="6" s="1"/>
  <c r="H2622" i="6"/>
  <c r="J2622" i="6" s="1"/>
  <c r="H2623" i="6"/>
  <c r="J2623" i="6" s="1"/>
  <c r="H2624" i="6"/>
  <c r="J2624" i="6" s="1"/>
  <c r="H2625" i="6"/>
  <c r="J2625" i="6" s="1"/>
  <c r="H2626" i="6"/>
  <c r="J2626" i="6" s="1"/>
  <c r="H2627" i="6"/>
  <c r="H2628" i="6"/>
  <c r="J2628" i="6" s="1"/>
  <c r="H2629" i="6"/>
  <c r="J2629" i="6" s="1"/>
  <c r="H2630" i="6"/>
  <c r="J2630" i="6" s="1"/>
  <c r="H2631" i="6"/>
  <c r="J2631" i="6" s="1"/>
  <c r="H2632" i="6"/>
  <c r="J2632" i="6" s="1"/>
  <c r="H2633" i="6"/>
  <c r="J2633" i="6" s="1"/>
  <c r="H2634" i="6"/>
  <c r="J2634" i="6" s="1"/>
  <c r="H2635" i="6"/>
  <c r="J2635" i="6" s="1"/>
  <c r="H2636" i="6"/>
  <c r="J2636" i="6" s="1"/>
  <c r="H2637" i="6"/>
  <c r="J2637" i="6" s="1"/>
  <c r="H2638" i="6"/>
  <c r="J2638" i="6" s="1"/>
  <c r="H2639" i="6"/>
  <c r="J2639" i="6" s="1"/>
  <c r="H2640" i="6"/>
  <c r="J2640" i="6" s="1"/>
  <c r="H2641" i="6"/>
  <c r="J2641" i="6" s="1"/>
  <c r="H2642" i="6"/>
  <c r="J2642" i="6" s="1"/>
  <c r="H2643" i="6"/>
  <c r="J2643" i="6" s="1"/>
  <c r="H2644" i="6"/>
  <c r="J2644" i="6" s="1"/>
  <c r="H2645" i="6"/>
  <c r="J2645" i="6" s="1"/>
  <c r="H2646" i="6"/>
  <c r="J2646" i="6" s="1"/>
  <c r="H2647" i="6"/>
  <c r="J2647" i="6" s="1"/>
  <c r="H2648" i="6"/>
  <c r="J2648" i="6" s="1"/>
  <c r="H2649" i="6"/>
  <c r="J2649" i="6" s="1"/>
  <c r="H2650" i="6"/>
  <c r="J2650" i="6" s="1"/>
  <c r="H2651" i="6"/>
  <c r="J2651" i="6" s="1"/>
  <c r="H2652" i="6"/>
  <c r="J2652" i="6" s="1"/>
  <c r="H2653" i="6"/>
  <c r="J2653" i="6" s="1"/>
  <c r="H2654" i="6"/>
  <c r="J2654" i="6" s="1"/>
  <c r="H2655" i="6"/>
  <c r="J2655" i="6" s="1"/>
  <c r="H2656" i="6"/>
  <c r="J2656" i="6" s="1"/>
  <c r="H2657" i="6"/>
  <c r="J2657" i="6" s="1"/>
  <c r="H2658" i="6"/>
  <c r="J2658" i="6" s="1"/>
  <c r="H2659" i="6"/>
  <c r="J2659" i="6" s="1"/>
  <c r="H2660" i="6"/>
  <c r="J2660" i="6" s="1"/>
  <c r="H2661" i="6"/>
  <c r="J2661" i="6" s="1"/>
  <c r="H2662" i="6"/>
  <c r="J2662" i="6" s="1"/>
  <c r="H2663" i="6"/>
  <c r="J2663" i="6" s="1"/>
  <c r="H2664" i="6"/>
  <c r="J2664" i="6" s="1"/>
  <c r="H2665" i="6"/>
  <c r="J2665" i="6" s="1"/>
  <c r="H2666" i="6"/>
  <c r="J2666" i="6" s="1"/>
  <c r="H2667" i="6"/>
  <c r="J2667" i="6" s="1"/>
  <c r="H2668" i="6"/>
  <c r="J2668" i="6" s="1"/>
  <c r="H2669" i="6"/>
  <c r="J2669" i="6" s="1"/>
  <c r="H2670" i="6"/>
  <c r="J2670" i="6" s="1"/>
  <c r="H2671" i="6"/>
  <c r="J2671" i="6" s="1"/>
  <c r="H2672" i="6"/>
  <c r="J2672" i="6" s="1"/>
  <c r="H2673" i="6"/>
  <c r="J2673" i="6" s="1"/>
  <c r="H2674" i="6"/>
  <c r="J2674" i="6" s="1"/>
  <c r="H2675" i="6"/>
  <c r="J2675" i="6" s="1"/>
  <c r="H2676" i="6"/>
  <c r="J2676" i="6" s="1"/>
  <c r="H2" i="6"/>
  <c r="J2" i="6" s="1"/>
  <c r="J2627" i="6"/>
  <c r="J2613" i="6"/>
  <c r="J2612" i="6"/>
  <c r="J2611" i="6"/>
  <c r="J2597" i="6"/>
  <c r="J2596" i="6"/>
  <c r="J2581" i="6"/>
  <c r="J2580" i="6"/>
  <c r="J2579" i="6"/>
  <c r="J2521" i="6"/>
  <c r="J2517" i="6"/>
  <c r="J2516" i="6"/>
  <c r="J2500" i="6"/>
  <c r="J2499" i="6"/>
  <c r="J2485" i="6"/>
  <c r="J2484" i="6"/>
  <c r="J2456" i="6"/>
  <c r="J2452" i="6"/>
  <c r="J2436" i="6"/>
  <c r="J2421" i="6"/>
  <c r="J2420" i="6"/>
  <c r="J2419" i="6"/>
  <c r="J2404" i="6"/>
  <c r="J2403" i="6"/>
  <c r="J2388" i="6"/>
  <c r="J2387" i="6"/>
  <c r="J2339" i="6"/>
  <c r="J2324" i="6"/>
  <c r="J2309" i="6"/>
  <c r="J2308" i="6"/>
  <c r="J2307" i="6"/>
  <c r="J2293" i="6"/>
  <c r="J2292" i="6"/>
  <c r="J2276" i="6"/>
  <c r="J2264" i="6"/>
  <c r="J2228" i="6"/>
  <c r="J2227" i="6"/>
  <c r="J2213" i="6"/>
  <c r="J2212" i="6"/>
  <c r="J2211" i="6"/>
  <c r="J2197" i="6"/>
  <c r="J2196" i="6"/>
  <c r="J2180" i="6"/>
  <c r="J2152" i="6"/>
  <c r="J2133" i="6"/>
  <c r="J2132" i="6"/>
  <c r="J2131" i="6"/>
  <c r="J2117" i="6"/>
  <c r="J2116" i="6"/>
  <c r="J2100" i="6"/>
  <c r="J2099" i="6"/>
  <c r="J2085" i="6"/>
  <c r="J2084" i="6"/>
  <c r="J2037" i="6"/>
  <c r="J2036" i="6"/>
  <c r="J2021" i="6"/>
  <c r="J2020" i="6"/>
  <c r="J2019" i="6"/>
  <c r="J2004" i="6"/>
  <c r="J2003" i="6"/>
  <c r="J1989" i="6"/>
  <c r="J1988" i="6"/>
  <c r="J1940" i="6"/>
  <c r="J1939" i="6"/>
  <c r="J1925" i="6"/>
  <c r="J1924" i="6"/>
  <c r="J1923" i="6"/>
  <c r="J1909" i="6"/>
  <c r="J1908" i="6"/>
  <c r="J1893" i="6"/>
  <c r="J1892" i="6"/>
  <c r="J1859" i="6"/>
  <c r="J1845" i="6"/>
  <c r="J1844" i="6"/>
  <c r="J1828" i="6"/>
  <c r="J1827" i="6"/>
  <c r="J1817" i="6"/>
  <c r="J1815" i="6"/>
  <c r="J1813" i="6"/>
  <c r="J1812" i="6"/>
  <c r="J1763" i="6"/>
  <c r="J1748" i="6"/>
  <c r="J1747" i="6"/>
  <c r="J1733" i="6"/>
  <c r="J1732" i="6"/>
  <c r="J1731" i="6"/>
  <c r="J1717" i="6"/>
  <c r="J1716" i="6"/>
  <c r="J1715" i="6"/>
  <c r="J1706" i="6"/>
  <c r="J1668" i="6"/>
  <c r="J1652" i="6"/>
  <c r="J1651" i="6"/>
  <c r="J1637" i="6"/>
  <c r="J1636" i="6"/>
  <c r="J1635" i="6"/>
  <c r="J1621" i="6"/>
  <c r="J1620" i="6"/>
  <c r="J1610" i="6"/>
  <c r="J1571" i="6"/>
  <c r="J1557" i="6"/>
  <c r="J1556" i="6"/>
  <c r="J1555" i="6"/>
  <c r="J1543" i="6"/>
  <c r="J1540" i="6"/>
  <c r="J1539" i="6"/>
  <c r="J1525" i="6"/>
  <c r="J1477" i="6"/>
  <c r="J1476" i="6"/>
  <c r="J1475" i="6"/>
  <c r="J1461" i="6"/>
  <c r="J1460" i="6"/>
  <c r="J1459" i="6"/>
  <c r="J1445" i="6"/>
  <c r="J1444" i="6"/>
  <c r="J1443" i="6"/>
  <c r="J1396" i="6"/>
  <c r="J1381" i="6"/>
  <c r="J1380" i="6"/>
  <c r="J1379" i="6"/>
  <c r="J1364" i="6"/>
  <c r="J1363" i="6"/>
  <c r="J1349" i="6"/>
  <c r="J1348" i="6"/>
  <c r="J1299" i="6"/>
  <c r="J1290" i="6"/>
  <c r="J1289" i="6"/>
  <c r="J1285" i="6"/>
  <c r="J1284" i="6"/>
  <c r="J1269" i="6"/>
  <c r="J1268" i="6"/>
  <c r="J1267" i="6"/>
  <c r="J1257" i="6"/>
  <c r="J1254" i="6"/>
  <c r="J1222" i="6"/>
  <c r="J1220" i="6"/>
  <c r="J1204" i="6"/>
  <c r="J1203" i="6"/>
  <c r="J1193" i="6"/>
  <c r="J1189" i="6"/>
  <c r="J1188" i="6"/>
  <c r="J1187" i="6"/>
  <c r="J1178" i="6"/>
  <c r="J1140" i="6"/>
  <c r="J1139" i="6"/>
  <c r="J1131" i="6"/>
  <c r="J1126" i="6"/>
  <c r="J1124" i="6"/>
  <c r="J1123" i="6"/>
  <c r="J1110" i="6"/>
  <c r="J1109" i="6"/>
  <c r="J1108" i="6"/>
  <c r="J1107" i="6"/>
  <c r="J1064" i="6"/>
  <c r="J1061" i="6"/>
  <c r="J1060" i="6"/>
  <c r="J1059" i="6"/>
  <c r="J1047" i="6"/>
  <c r="J1046" i="6"/>
  <c r="J1045" i="6"/>
  <c r="J1044" i="6"/>
  <c r="J1043" i="6"/>
  <c r="J1030" i="6"/>
  <c r="J1028" i="6"/>
  <c r="J996" i="6"/>
  <c r="J995" i="6"/>
  <c r="J982" i="6"/>
  <c r="J981" i="6"/>
  <c r="J980" i="6"/>
  <c r="J979" i="6"/>
  <c r="J966" i="6"/>
  <c r="J965" i="6"/>
  <c r="J964" i="6"/>
  <c r="J963" i="6"/>
  <c r="J938" i="6"/>
  <c r="J932" i="6"/>
  <c r="J931" i="6"/>
  <c r="J925" i="6"/>
  <c r="J917" i="6"/>
  <c r="J916" i="6"/>
  <c r="J915" i="6"/>
  <c r="J902" i="6"/>
  <c r="J901" i="6"/>
  <c r="J900" i="6"/>
  <c r="J899" i="6"/>
  <c r="J872" i="6"/>
  <c r="J870" i="6"/>
  <c r="J867" i="6"/>
  <c r="J852" i="6"/>
  <c r="J851" i="6"/>
  <c r="J838" i="6"/>
  <c r="J837" i="6"/>
  <c r="J836" i="6"/>
  <c r="J835" i="6"/>
  <c r="J822" i="6"/>
  <c r="J820" i="6"/>
  <c r="J806" i="6"/>
  <c r="J793" i="6"/>
  <c r="J792" i="6"/>
  <c r="J790" i="6"/>
  <c r="J788" i="6"/>
  <c r="J787" i="6"/>
  <c r="J773" i="6"/>
  <c r="J772" i="6"/>
  <c r="J771" i="6"/>
  <c r="J759" i="6"/>
  <c r="J758" i="6"/>
  <c r="J757" i="6"/>
  <c r="J742" i="6"/>
  <c r="J739" i="6"/>
  <c r="J726" i="6"/>
  <c r="J724" i="6"/>
  <c r="J723" i="6"/>
  <c r="J709" i="6"/>
  <c r="J708" i="6"/>
  <c r="J707" i="6"/>
  <c r="J696" i="6"/>
  <c r="J693" i="6"/>
  <c r="J662" i="6"/>
  <c r="J661" i="6"/>
  <c r="J660" i="6"/>
  <c r="J659" i="6"/>
  <c r="J645" i="6"/>
  <c r="J644" i="6"/>
  <c r="J643" i="6"/>
  <c r="J631" i="6"/>
  <c r="J628" i="6"/>
  <c r="J627" i="6"/>
  <c r="J614" i="6"/>
  <c r="J596" i="6"/>
  <c r="J595" i="6"/>
  <c r="J582" i="6"/>
  <c r="J581" i="6"/>
  <c r="J580" i="6"/>
  <c r="J579" i="6"/>
  <c r="J569" i="6"/>
  <c r="J567" i="6"/>
  <c r="J566" i="6"/>
  <c r="J565" i="6"/>
  <c r="J550" i="6"/>
  <c r="J534" i="6"/>
  <c r="J532" i="6"/>
  <c r="J531" i="6"/>
  <c r="J517" i="6"/>
  <c r="J516" i="6"/>
  <c r="J515" i="6"/>
  <c r="J504" i="6"/>
  <c r="J503" i="6"/>
  <c r="J501" i="6"/>
  <c r="J486" i="6"/>
  <c r="J470" i="6"/>
  <c r="J469" i="6"/>
  <c r="J468" i="6"/>
  <c r="J467" i="6"/>
  <c r="J453" i="6"/>
  <c r="J452" i="6"/>
  <c r="J451" i="6"/>
  <c r="J440" i="6"/>
  <c r="J438" i="6"/>
  <c r="J437" i="6"/>
  <c r="J422" i="6"/>
  <c r="J406" i="6"/>
  <c r="J405" i="6"/>
  <c r="J404" i="6"/>
  <c r="J403" i="6"/>
  <c r="J394" i="6"/>
  <c r="J389" i="6"/>
  <c r="J388" i="6"/>
  <c r="J387" i="6"/>
  <c r="J381" i="6"/>
  <c r="J374" i="6"/>
  <c r="J358" i="6"/>
  <c r="J340" i="6"/>
  <c r="J339" i="6"/>
  <c r="J327" i="6"/>
  <c r="J326" i="6"/>
  <c r="J325" i="6"/>
  <c r="J324" i="6"/>
  <c r="J323" i="6"/>
  <c r="J314" i="6"/>
  <c r="J309" i="6"/>
  <c r="J294" i="6"/>
  <c r="J279" i="6"/>
  <c r="J278" i="6"/>
  <c r="J277" i="6"/>
  <c r="J276" i="6"/>
  <c r="J275" i="6"/>
  <c r="J260" i="6"/>
  <c r="J259" i="6"/>
  <c r="J246" i="6"/>
  <c r="J245" i="6"/>
  <c r="J213" i="6"/>
  <c r="J212" i="6"/>
  <c r="J211" i="6"/>
  <c r="J198" i="6"/>
  <c r="J197" i="6"/>
  <c r="J196" i="6"/>
  <c r="J195" i="6"/>
  <c r="J180" i="6"/>
  <c r="J179" i="6"/>
  <c r="J166" i="6"/>
  <c r="J152" i="6"/>
  <c r="J147" i="6"/>
  <c r="J136" i="6"/>
  <c r="J135" i="6"/>
  <c r="J134" i="6"/>
  <c r="J133" i="6"/>
  <c r="J132" i="6"/>
  <c r="J131" i="6"/>
  <c r="J118" i="6"/>
  <c r="J117" i="6"/>
  <c r="J102" i="6"/>
  <c r="J99" i="6"/>
  <c r="J86" i="6"/>
  <c r="J85" i="6"/>
  <c r="J84" i="6"/>
  <c r="J83" i="6"/>
  <c r="J70" i="6"/>
  <c r="J68" i="6"/>
  <c r="J67" i="6"/>
  <c r="J56" i="6"/>
  <c r="J54" i="6"/>
  <c r="J36" i="6"/>
  <c r="J35" i="6"/>
  <c r="J25" i="6"/>
  <c r="J24" i="6"/>
  <c r="J22" i="6"/>
  <c r="J21" i="6"/>
  <c r="J20" i="6"/>
  <c r="J19" i="6"/>
  <c r="J8" i="6"/>
  <c r="J6" i="6"/>
  <c r="S50" i="4" l="1"/>
  <c r="C50" i="4" s="1"/>
  <c r="S36" i="4"/>
  <c r="C36" i="4" s="1"/>
  <c r="Q39" i="4"/>
  <c r="Q41" i="4"/>
  <c r="Q40" i="4"/>
  <c r="Q37" i="4"/>
  <c r="Q38" i="4"/>
  <c r="Q28" i="4"/>
  <c r="Q27" i="4"/>
  <c r="Q30" i="4"/>
  <c r="Q29" i="4"/>
  <c r="Q31" i="4"/>
  <c r="Q20" i="4"/>
  <c r="Q18" i="4"/>
  <c r="Q19" i="4"/>
  <c r="Q17" i="4"/>
  <c r="Q21" i="4"/>
  <c r="C34" i="4"/>
  <c r="C17" i="4"/>
  <c r="F17" i="4" s="1"/>
  <c r="L17" i="4" s="1"/>
  <c r="C22" i="4"/>
  <c r="C48" i="4"/>
  <c r="C7" i="4"/>
  <c r="C9" i="4"/>
  <c r="C12" i="4"/>
  <c r="C49" i="4"/>
  <c r="C21" i="4"/>
  <c r="C24" i="4"/>
  <c r="C23" i="4"/>
  <c r="C37" i="4"/>
  <c r="C33" i="4"/>
  <c r="C35" i="4"/>
  <c r="C46" i="4"/>
  <c r="C45" i="4"/>
  <c r="C26" i="4"/>
  <c r="C10" i="4"/>
  <c r="C41" i="4"/>
  <c r="C51" i="4"/>
  <c r="C31" i="4"/>
  <c r="C19" i="4"/>
  <c r="C42" i="4"/>
  <c r="C29" i="4"/>
  <c r="C16" i="4"/>
  <c r="C55" i="4"/>
  <c r="C28" i="4"/>
  <c r="C54" i="4"/>
  <c r="C14" i="4"/>
  <c r="C44" i="4"/>
  <c r="C39" i="4"/>
  <c r="C13" i="4"/>
  <c r="C52" i="4"/>
  <c r="C32" i="4"/>
  <c r="C18" i="4"/>
  <c r="C53" i="4"/>
  <c r="C27" i="4"/>
  <c r="C8" i="4"/>
  <c r="C38" i="4"/>
  <c r="C43" i="4"/>
  <c r="C47" i="4"/>
  <c r="C30" i="4"/>
  <c r="C40" i="4"/>
  <c r="F52" i="4" l="1"/>
  <c r="F22" i="4"/>
  <c r="L22" i="4" s="1"/>
  <c r="F47" i="4"/>
  <c r="L47" i="4" s="1"/>
  <c r="F12" i="4"/>
  <c r="F42" i="4"/>
  <c r="L42" i="4" s="1"/>
  <c r="F32" i="4"/>
  <c r="L32" i="4" s="1"/>
  <c r="F27" i="4"/>
  <c r="L27" i="4" s="1"/>
  <c r="F7" i="4"/>
  <c r="F37" i="4"/>
  <c r="L37" i="4" s="1"/>
  <c r="J7" i="4"/>
  <c r="K7" i="4" s="1"/>
  <c r="J12" i="4"/>
  <c r="P12" i="4" s="1"/>
  <c r="J52" i="4"/>
  <c r="K52" i="4" s="1"/>
  <c r="P7" i="4" l="1"/>
  <c r="Q11" i="4" s="1"/>
  <c r="L7" i="4"/>
  <c r="L12" i="4"/>
  <c r="K12" i="4"/>
  <c r="P52" i="4"/>
  <c r="Q52" i="4" s="1"/>
  <c r="L52" i="4"/>
  <c r="Q54" i="4"/>
  <c r="Q12" i="4"/>
  <c r="Q16" i="4"/>
  <c r="Q13" i="4"/>
  <c r="Q15" i="4"/>
  <c r="Q14" i="4"/>
  <c r="Q7" i="4" l="1"/>
  <c r="Q56" i="4"/>
  <c r="Q55" i="4"/>
  <c r="Q53" i="4"/>
</calcChain>
</file>

<file path=xl/sharedStrings.xml><?xml version="1.0" encoding="utf-8"?>
<sst xmlns="http://schemas.openxmlformats.org/spreadsheetml/2006/main" count="17374" uniqueCount="3926">
  <si>
    <t xml:space="preserve">  Customer</t>
  </si>
  <si>
    <t>NITORI-HO CHI MINH</t>
  </si>
  <si>
    <t xml:space="preserve">  No.</t>
  </si>
  <si>
    <t>: NTR 001</t>
  </si>
  <si>
    <t xml:space="preserve">  Substrate Type</t>
  </si>
  <si>
    <t>BEECH WOOD</t>
  </si>
  <si>
    <t xml:space="preserve">  Date / Rev./ Page</t>
  </si>
  <si>
    <t>: 09/10/2026</t>
  </si>
  <si>
    <t xml:space="preserve">  Product Item</t>
  </si>
  <si>
    <t>TABLE</t>
  </si>
  <si>
    <t xml:space="preserve">  Positioning</t>
  </si>
  <si>
    <t>Interior</t>
  </si>
  <si>
    <t>Finishing Condition Recommended</t>
  </si>
  <si>
    <t xml:space="preserve">  Finishing System</t>
  </si>
  <si>
    <t xml:space="preserve">WATERBASED </t>
  </si>
  <si>
    <t xml:space="preserve">  MC wood</t>
  </si>
  <si>
    <t>: 8-12%</t>
  </si>
  <si>
    <t xml:space="preserve">  Gloss Level</t>
  </si>
  <si>
    <r>
      <t>15</t>
    </r>
    <r>
      <rPr>
        <sz val="12"/>
        <rFont val="Calibri"/>
        <family val="2"/>
      </rPr>
      <t>±</t>
    </r>
    <r>
      <rPr>
        <sz val="12"/>
        <rFont val="Arial"/>
        <family val="2"/>
        <charset val="1"/>
      </rPr>
      <t xml:space="preserve">5 SHEEN </t>
    </r>
  </si>
  <si>
    <t xml:space="preserve">  Room humidity</t>
  </si>
  <si>
    <t>: 40-80 %</t>
  </si>
  <si>
    <t xml:space="preserve">  Reference</t>
  </si>
  <si>
    <t xml:space="preserve">  Room temp.</t>
  </si>
  <si>
    <r>
      <t>: 25 – 40</t>
    </r>
    <r>
      <rPr>
        <sz val="12"/>
        <rFont val="DejaVu LGC Sans"/>
        <family val="2"/>
        <charset val="1"/>
      </rPr>
      <t>°C</t>
    </r>
  </si>
  <si>
    <t>No.</t>
  </si>
  <si>
    <t>Application Step</t>
  </si>
  <si>
    <t>Product Code</t>
  </si>
  <si>
    <t>Visco</t>
  </si>
  <si>
    <t xml:space="preserve">Application Method </t>
  </si>
  <si>
    <t>SANDING</t>
  </si>
  <si>
    <t>SANDING PAPER #180-240</t>
  </si>
  <si>
    <t>WIPING FILLER</t>
  </si>
  <si>
    <t>WIPING</t>
  </si>
  <si>
    <t>10-15 min</t>
  </si>
  <si>
    <t>SANDING SEALER</t>
  </si>
  <si>
    <t xml:space="preserve">40-60" 
DIN4 </t>
  </si>
  <si>
    <t>SPRAY</t>
  </si>
  <si>
    <t>60 min
OVEN 45-50ºC</t>
  </si>
  <si>
    <t>SANDING PAPER #320</t>
  </si>
  <si>
    <t>TOP COAT COLOR</t>
  </si>
  <si>
    <t>40-60" 
DIN4</t>
  </si>
  <si>
    <t>100-120</t>
  </si>
  <si>
    <t>120 min
OVEN 40-45ºC</t>
  </si>
  <si>
    <t>CUSTOMER</t>
  </si>
  <si>
    <t>PD/PM</t>
  </si>
  <si>
    <t>TA</t>
  </si>
  <si>
    <t>PROJECT LEADER</t>
  </si>
  <si>
    <t>Remark</t>
  </si>
  <si>
    <t>ALKANA VIET NAM does not assure the quality of the final product if:</t>
  </si>
  <si>
    <t>1. The production process does not use 100% ALKANA materials.</t>
  </si>
  <si>
    <t>2. The production process does not follow the ALKANA coating schedule.</t>
  </si>
  <si>
    <t>Mixing Ratio</t>
  </si>
  <si>
    <t>Drying Time Recommended</t>
  </si>
  <si>
    <r>
      <t>CA 
(g/m</t>
    </r>
    <r>
      <rPr>
        <b/>
        <vertAlign val="superscript"/>
        <sz val="12"/>
        <rFont val="Arial"/>
        <family val="2"/>
      </rPr>
      <t>2</t>
    </r>
    <r>
      <rPr>
        <b/>
        <sz val="12"/>
        <rFont val="Arial"/>
        <family val="2"/>
        <charset val="1"/>
      </rPr>
      <t>)</t>
    </r>
  </si>
  <si>
    <t>COATING SCHEDULE</t>
  </si>
  <si>
    <t>CHỐNG XÌ DẦU</t>
  </si>
  <si>
    <t xml:space="preserve">STAIN + EQUALIZER/ STAIN + SỬA GỖ </t>
  </si>
  <si>
    <t xml:space="preserve">SEALER/ LÓT TRONG </t>
  </si>
  <si>
    <t>GLAZE</t>
  </si>
  <si>
    <t>COLORING</t>
  </si>
  <si>
    <t>TOP COAT</t>
  </si>
  <si>
    <t>THẬT TẾ HAO HỤT THẬT TẾ KHOẢNG 40%</t>
  </si>
  <si>
    <t>REMARK :</t>
  </si>
  <si>
    <r>
      <t>TOTAL COATING COST (VND/m</t>
    </r>
    <r>
      <rPr>
        <b/>
        <vertAlign val="superscript"/>
        <sz val="10"/>
        <rFont val="Arial"/>
        <family val="2"/>
        <charset val="1"/>
      </rPr>
      <t>2</t>
    </r>
    <r>
      <rPr>
        <b/>
        <sz val="10"/>
        <rFont val="Arial"/>
        <family val="2"/>
        <charset val="1"/>
      </rPr>
      <t>)</t>
    </r>
  </si>
  <si>
    <t>Consumption of each component for 2000m2 (kg)</t>
  </si>
  <si>
    <t>Consumption of total mixture for 2000m2 (kg)</t>
  </si>
  <si>
    <t>Coating Cost (vnd/m2)</t>
  </si>
  <si>
    <r>
      <t>Coverage (m</t>
    </r>
    <r>
      <rPr>
        <b/>
        <vertAlign val="superscript"/>
        <sz val="10"/>
        <rFont val="Arial"/>
        <family val="2"/>
        <charset val="1"/>
      </rPr>
      <t>2</t>
    </r>
    <r>
      <rPr>
        <b/>
        <sz val="10"/>
        <rFont val="Arial"/>
        <family val="2"/>
        <charset val="1"/>
      </rPr>
      <t>/Ltr/kg)</t>
    </r>
  </si>
  <si>
    <r>
      <t>CA + Loss 
(g/m</t>
    </r>
    <r>
      <rPr>
        <b/>
        <vertAlign val="superscript"/>
        <sz val="10"/>
        <rFont val="Arial"/>
        <family val="2"/>
        <charset val="1"/>
      </rPr>
      <t>2</t>
    </r>
    <r>
      <rPr>
        <b/>
        <sz val="10"/>
        <rFont val="Arial"/>
        <family val="2"/>
        <charset val="1"/>
      </rPr>
      <t>)</t>
    </r>
  </si>
  <si>
    <t>Application Efficiency</t>
  </si>
  <si>
    <r>
      <t>Coating Amount (g/m</t>
    </r>
    <r>
      <rPr>
        <b/>
        <vertAlign val="superscript"/>
        <sz val="10"/>
        <rFont val="Arial"/>
        <family val="2"/>
        <charset val="1"/>
      </rPr>
      <t>2</t>
    </r>
    <r>
      <rPr>
        <b/>
        <sz val="10"/>
        <rFont val="Arial"/>
        <family val="2"/>
        <charset val="1"/>
      </rPr>
      <t>)</t>
    </r>
  </si>
  <si>
    <t>Application</t>
  </si>
  <si>
    <t>Mixed Price (VND/Ltr set)</t>
  </si>
  <si>
    <t>Price (VND/Ltr)</t>
  </si>
  <si>
    <t>Product type</t>
  </si>
  <si>
    <t>Item</t>
  </si>
  <si>
    <t>Sheen:</t>
  </si>
  <si>
    <t>Finishing System :</t>
  </si>
  <si>
    <t>Substrate Type:</t>
  </si>
  <si>
    <t>SW 90</t>
  </si>
  <si>
    <t>Color:</t>
  </si>
  <si>
    <t>Product Item :</t>
  </si>
  <si>
    <t>1200001038</t>
  </si>
  <si>
    <t>Customer Name</t>
  </si>
  <si>
    <t>customer code</t>
  </si>
  <si>
    <t>Date  :</t>
  </si>
  <si>
    <t>COATING COST CALCULATION</t>
  </si>
  <si>
    <t>Customer</t>
  </si>
  <si>
    <t>Name</t>
  </si>
  <si>
    <t>1100000006</t>
  </si>
  <si>
    <t>CÔNG TY TNHH</t>
  </si>
  <si>
    <t>1200000001</t>
  </si>
  <si>
    <t>Công Ty Cổ Phần Xây Dựng Kiến Trúc AA</t>
  </si>
  <si>
    <t>1200000002</t>
  </si>
  <si>
    <t>Công Ty TNHH Nội Thất Toàn Thiên Ấn</t>
  </si>
  <si>
    <t>1200000003</t>
  </si>
  <si>
    <t>Công Ty Cổ Phần Chế Biến Gỗ Pisico Đồng An</t>
  </si>
  <si>
    <t>1200000004</t>
  </si>
  <si>
    <t>Công Ty TNHH TM DV XD Đông Nam á</t>
  </si>
  <si>
    <t>1200000005</t>
  </si>
  <si>
    <t>Công Ty TNHH In Nam Ấn</t>
  </si>
  <si>
    <t>1200000006</t>
  </si>
  <si>
    <t>Công Ty TNHH Phát Triển Mộc Nội Thất Quyền Anh</t>
  </si>
  <si>
    <t>1200000007</t>
  </si>
  <si>
    <t>Công Ty TNHH ARDEX Việt Nam</t>
  </si>
  <si>
    <t>1200000008</t>
  </si>
  <si>
    <t>Công Ty Cổ Phần Hà Ân</t>
  </si>
  <si>
    <t>1200000009</t>
  </si>
  <si>
    <t>Công Ty TNHH Nội Thất AAA</t>
  </si>
  <si>
    <t>1200000010</t>
  </si>
  <si>
    <t>Công Ty TNHH Hoàng Kiều Anh</t>
  </si>
  <si>
    <t>1200000011</t>
  </si>
  <si>
    <t>Công Ty TNHH TMDV Trang Trí Nội Thất Việt Anh</t>
  </si>
  <si>
    <t>1200000012</t>
  </si>
  <si>
    <t>Công Ty Cổ Phần Hà Ân Long An</t>
  </si>
  <si>
    <t>1200000013</t>
  </si>
  <si>
    <t>CHI NHÁNH CÔNG TY TNHH B.I.L.Y</t>
  </si>
  <si>
    <t>1200000014</t>
  </si>
  <si>
    <t>CÔNG TY TNHH LY LONG BRUSH</t>
  </si>
  <si>
    <t>1200000015</t>
  </si>
  <si>
    <t>Công Ty Cổ Phần Long Bình</t>
  </si>
  <si>
    <t>1200000016</t>
  </si>
  <si>
    <t>Công Ty CP Đầu Tư Thái Bình</t>
  </si>
  <si>
    <t>1200000017</t>
  </si>
  <si>
    <t>Công Ty TNHH Một Thành Viên Thiên Bảo</t>
  </si>
  <si>
    <t>1200000018</t>
  </si>
  <si>
    <t>Công Ty TNHH Lực Bang</t>
  </si>
  <si>
    <t>1200000019</t>
  </si>
  <si>
    <t>Công Ty Cổ Phần An Phát Cường</t>
  </si>
  <si>
    <t>1200000020</t>
  </si>
  <si>
    <t>Công Ty TNHH Canpac Việt Nam</t>
  </si>
  <si>
    <t>1200000021</t>
  </si>
  <si>
    <t>Công Ty TNHH Xây Dựng Tuấn Cao</t>
  </si>
  <si>
    <t>1200000022</t>
  </si>
  <si>
    <t>Công Ty TNHH Một Thành Viên Toàn Cầu</t>
  </si>
  <si>
    <t>1200000023</t>
  </si>
  <si>
    <t>CÔNG TY TNHH SX TM CA NA</t>
  </si>
  <si>
    <t>1200000024</t>
  </si>
  <si>
    <t>Công Ty TNHH Trang Trí Nội Thất Nhà Cổ</t>
  </si>
  <si>
    <t>1200000025</t>
  </si>
  <si>
    <t>Công ty TNHH Đồ Gỗ Đỉnh Chung</t>
  </si>
  <si>
    <t>1200000026</t>
  </si>
  <si>
    <t>Công Ty TNHH Một Thành Viên Sản Xuất Thương Mại Tô Châu</t>
  </si>
  <si>
    <t>1200000027</t>
  </si>
  <si>
    <t>Công Ty TNHH C-C</t>
  </si>
  <si>
    <t>1200000028</t>
  </si>
  <si>
    <t>Công Ty TNHH Một Thành Viên Trần Đức I</t>
  </si>
  <si>
    <t>1200000029</t>
  </si>
  <si>
    <t>Công Ty Cổ Phần Trần Đức</t>
  </si>
  <si>
    <t>1200000030</t>
  </si>
  <si>
    <t>Công Ty TNHH Kim Đô</t>
  </si>
  <si>
    <t>1200000031</t>
  </si>
  <si>
    <t>Công Ty CP ĐTXD và TTNT Sài Gòn Viễn Đông</t>
  </si>
  <si>
    <t>1200000032</t>
  </si>
  <si>
    <t>Công Ty Cổ Phần Gỗ Tứ Danh</t>
  </si>
  <si>
    <t>1200000033</t>
  </si>
  <si>
    <t>CÔNG TY CỔ PHẦN TRANG TRÍ NỘI THẤT AND</t>
  </si>
  <si>
    <t>1200000034</t>
  </si>
  <si>
    <t>Công Ty TNHH Hưng Duyên</t>
  </si>
  <si>
    <t>1200000035</t>
  </si>
  <si>
    <t>Công Ty TNHH Sản Xuất Hàng Thủ Công Xích Đạo</t>
  </si>
  <si>
    <t>1200000036</t>
  </si>
  <si>
    <t>Công Ty TNHH DEWBERRY (Việt Nam)</t>
  </si>
  <si>
    <t>1200000037</t>
  </si>
  <si>
    <t>Công Ty Cổ Phần Tư Vấn Thiết Kế Xây Dựng Và Y Tế Nam Hồ Việt</t>
  </si>
  <si>
    <t>1200000038</t>
  </si>
  <si>
    <t>Công Ty TNHH Mỹ Nghệ Đại Dũng</t>
  </si>
  <si>
    <t>1200000039</t>
  </si>
  <si>
    <t>CÔNG TY TNHH THÉP VIỆT BÌNH DƯƠNG</t>
  </si>
  <si>
    <t>1200000040</t>
  </si>
  <si>
    <t>CTY TNHH SƠN GIA CÔNG THÀNH ĐẠT</t>
  </si>
  <si>
    <t>1200000041</t>
  </si>
  <si>
    <t>Công Ty Cổ Phần Sáng Tạo Bình Dương</t>
  </si>
  <si>
    <t>1200000042</t>
  </si>
  <si>
    <t>CÔNG TY TNHH CHẾ BIẾN LÂM SẢN VÀ THƯƠNG MẠI HIỂU ĐỨC</t>
  </si>
  <si>
    <t>1200000043</t>
  </si>
  <si>
    <t>CÔNG TY CỔ PHẦN THÀNH ĐẠT FURNITURE</t>
  </si>
  <si>
    <t>1200000044</t>
  </si>
  <si>
    <t>Công Ty TNHH Một Thành Viên Cao Đông</t>
  </si>
  <si>
    <t>1200000045</t>
  </si>
  <si>
    <t>Công Ty TNHH Dorothy Indoor Furniture</t>
  </si>
  <si>
    <t>1200000046</t>
  </si>
  <si>
    <t>Công Ty TNHH ESTEC Việt Nam</t>
  </si>
  <si>
    <t>1200000047</t>
  </si>
  <si>
    <t>Công Ty Cổ Phần Lâm Nghiệp Sài Gòn</t>
  </si>
  <si>
    <t>1200000048</t>
  </si>
  <si>
    <t>Công Ty TNHH FUJI SEAL Việt Nam</t>
  </si>
  <si>
    <t>1200000049</t>
  </si>
  <si>
    <t>Công Ty TNHH Fuji Denso Việt Nam</t>
  </si>
  <si>
    <t>1200000050</t>
  </si>
  <si>
    <t>Công Ty TNHH Công Nghiệp Cơ Khí Sài Gòn</t>
  </si>
  <si>
    <t>1200000051</t>
  </si>
  <si>
    <t>Công Ty TNHH Gritti Việt Nam</t>
  </si>
  <si>
    <t>1200000052</t>
  </si>
  <si>
    <t>Công Ty TNHH Một Thành Viên GER Việt Nam</t>
  </si>
  <si>
    <t>1200000053</t>
  </si>
  <si>
    <t>Công Ty Cổ Phần Phát Triển Sài Gòn</t>
  </si>
  <si>
    <t>1200000054</t>
  </si>
  <si>
    <t>Công Ty TNHH Xây Dựng Ngô Gia</t>
  </si>
  <si>
    <t>1200000055</t>
  </si>
  <si>
    <t>Công Ty Cổ Phần Trang Trí Nội Thất Dương Gia</t>
  </si>
  <si>
    <t>1200000056</t>
  </si>
  <si>
    <t>Công Ty TNHH MTV Bao Bì và Thương Mại Quang Huy</t>
  </si>
  <si>
    <t>1200000057</t>
  </si>
  <si>
    <t>Chi Nhánh Công Ty TNHH SX - TM - DV Thịnh Hoàng</t>
  </si>
  <si>
    <t>1200000058</t>
  </si>
  <si>
    <t>Công Ty TNHH Thủ Công Mỹ Nghệ Và Nội Thất Ngọc Sơn</t>
  </si>
  <si>
    <t>1200000059</t>
  </si>
  <si>
    <t>Công Ty TNHH Lâm Huy Hoàng</t>
  </si>
  <si>
    <t>1200000060</t>
  </si>
  <si>
    <t>Công Ty CP An Ánh Hùng</t>
  </si>
  <si>
    <t>1200000061</t>
  </si>
  <si>
    <t>Công Ty TNHH Sản Xuất Thương Mại Nguyễn Hoàng</t>
  </si>
  <si>
    <t>1200000062</t>
  </si>
  <si>
    <t>CÔNG TY TNHH MỘT THÀNH VIÊN HEARTICANS</t>
  </si>
  <si>
    <t>1200000063</t>
  </si>
  <si>
    <t>Công Ty TNHH Một Thành Viên Hoàng Nhật Huyền</t>
  </si>
  <si>
    <t>1200000064</t>
  </si>
  <si>
    <t>Chi Nhánh Công Ty TNHH Thương Mại Sản Xuất Nhơn Hà</t>
  </si>
  <si>
    <t>1200000065</t>
  </si>
  <si>
    <t>Công Ty TNHH Một Thành Viên Thương Mại - Dịch Vụ Kim Ngọc Hiền</t>
  </si>
  <si>
    <t>1200000066</t>
  </si>
  <si>
    <t>Doanh Nghiệp Tư Nhân Thương Mại Dịch Vụ Bất Động Sản Nhị Hà</t>
  </si>
  <si>
    <t>1200000067</t>
  </si>
  <si>
    <t>Công Ty Cổ Phần Forimex Thịnh Hoàng</t>
  </si>
  <si>
    <t>1200000068</t>
  </si>
  <si>
    <t>Công Ty Cổ Phần Lâm Đạt Hưng</t>
  </si>
  <si>
    <t>1200000069</t>
  </si>
  <si>
    <t>Công Ty TNHH Một Thành Viên Tanabe Long Hậu</t>
  </si>
  <si>
    <t>1200000070</t>
  </si>
  <si>
    <t>Công Ty TNHH Xuất Nhập Khẩu Thịnh Hòa</t>
  </si>
  <si>
    <t>1200000071</t>
  </si>
  <si>
    <t>Công Ty TNHH Y&amp;J International</t>
  </si>
  <si>
    <t>1200000072</t>
  </si>
  <si>
    <t>CÔNG TY TNHH IFFC</t>
  </si>
  <si>
    <t>1200000073</t>
  </si>
  <si>
    <t>CÔNG TY CỔ PHẦN TRANG TRÍ NỘI THẤT IPC</t>
  </si>
  <si>
    <t>1200000074</t>
  </si>
  <si>
    <t>Công Ty TNHH ISSEIKI FURNITURE (Việt Nam)</t>
  </si>
  <si>
    <t>1200000075</t>
  </si>
  <si>
    <t>Công Ty TNHH KODA SAIGON</t>
  </si>
  <si>
    <t>1200000076</t>
  </si>
  <si>
    <t>Doanh Nghiệp Tư Nhân Linh Ký</t>
  </si>
  <si>
    <t>1200000077</t>
  </si>
  <si>
    <t>Công Ty TNHH SX - TM - XNK Hưng Khang</t>
  </si>
  <si>
    <t>1200000078</t>
  </si>
  <si>
    <t>Công Ty TNHH Xây Dựng Kiến Trúc K&amp;C</t>
  </si>
  <si>
    <t>1200000079</t>
  </si>
  <si>
    <t>Công Ty Cổ Phần Nhà Kính</t>
  </si>
  <si>
    <t>1200000080</t>
  </si>
  <si>
    <t>Công Ty Cổ Phần Dụng Cụ Cơ Khí Xuất Khẩu</t>
  </si>
  <si>
    <t>1200000081</t>
  </si>
  <si>
    <t>Công Ty TNHH MTV TM Sơn Đông Kinh</t>
  </si>
  <si>
    <t>1200000082</t>
  </si>
  <si>
    <t>Công Ty TNHH Một Thành Viên TM SX Mỹ Khang</t>
  </si>
  <si>
    <t>1200000083</t>
  </si>
  <si>
    <t>Công Ty TNHH Nội Thất Thanh Khôi</t>
  </si>
  <si>
    <t>1200000084</t>
  </si>
  <si>
    <t>Công Ty CP SX KD XNK VĩNH LONG</t>
  </si>
  <si>
    <t>1200000085</t>
  </si>
  <si>
    <t>CTY TNHH MTV Sài Gòn Sống Đất</t>
  </si>
  <si>
    <t>1200000086</t>
  </si>
  <si>
    <t>Công Ty TNHH Vĩnh Lộc</t>
  </si>
  <si>
    <t>1200000087</t>
  </si>
  <si>
    <t>Công Ty TNHH Vạn Lộc Hà Nội</t>
  </si>
  <si>
    <t>1200000088</t>
  </si>
  <si>
    <t>Công Ty Cổ Phần VINAFOR Quy Nhơn</t>
  </si>
  <si>
    <t>1200000089</t>
  </si>
  <si>
    <t>Công Ty Cổ Phần Mỹ Thuật Gia Long</t>
  </si>
  <si>
    <t>1200000090</t>
  </si>
  <si>
    <t>Doanh Nghiệp Tư Nhân Hoàng Long</t>
  </si>
  <si>
    <t>1200000091</t>
  </si>
  <si>
    <t>Công Ty TNHH SX-TM-DV Đại Lộc</t>
  </si>
  <si>
    <t>1200000092</t>
  </si>
  <si>
    <t>Công Ty TNHH Mỹ Nghệ Sinh Lợi</t>
  </si>
  <si>
    <t>1200000094</t>
  </si>
  <si>
    <t>Công Ty TNHH LLC Việt Nam</t>
  </si>
  <si>
    <t>1200000095</t>
  </si>
  <si>
    <t>Công Ty TNHH Mộc Lục</t>
  </si>
  <si>
    <t>1200000096</t>
  </si>
  <si>
    <t>Công Ty TNHH Sản Xuất Phan Lê</t>
  </si>
  <si>
    <t>1200000097</t>
  </si>
  <si>
    <t>Công Ty TNHH Sản Xuất Thương Mại Thanh Thanh Liêm</t>
  </si>
  <si>
    <t>1200000098</t>
  </si>
  <si>
    <t>Công Ty TNHH Hiệp Long</t>
  </si>
  <si>
    <t>1200000099</t>
  </si>
  <si>
    <t>Công Ty TNHH Sản Xuất Bao Bì Kim Loại Và In Trên Kim Loại</t>
  </si>
  <si>
    <t>1200000100</t>
  </si>
  <si>
    <t>Hợp Tác Xã Mây Tre Lá Kim Lan</t>
  </si>
  <si>
    <t>1200000101</t>
  </si>
  <si>
    <t>Công Ty TNHH TM DV SX XD TTNT LECADE</t>
  </si>
  <si>
    <t>1200000102</t>
  </si>
  <si>
    <t>Công Ty Cổ Phần Thương Mại Trang Trí Nội Thất LEO</t>
  </si>
  <si>
    <t>1200000103</t>
  </si>
  <si>
    <t>Công Ty Cổ Phần Thành Thắng Thăng Long- Chi Nhánh Bình Dương 2</t>
  </si>
  <si>
    <t>1200000104</t>
  </si>
  <si>
    <t>CÔNG TY TNHH SXTM LINH LINH</t>
  </si>
  <si>
    <t>1200000105</t>
  </si>
  <si>
    <t>Công Ty TNHH VN Chen Lain Metal</t>
  </si>
  <si>
    <t>1200000106</t>
  </si>
  <si>
    <t>Công Ty TNHH Nội Thất Vinh Mỹ</t>
  </si>
  <si>
    <t>1200000107</t>
  </si>
  <si>
    <t>Công Ty TNHH La Mã</t>
  </si>
  <si>
    <t>1200000108</t>
  </si>
  <si>
    <t>Công ty TNHH Sản Xuất Thương Mại Và Đầu Tư Tam Minh</t>
  </si>
  <si>
    <t>1200000109</t>
  </si>
  <si>
    <t>Công Ty TNHH GOMO Việt Nam</t>
  </si>
  <si>
    <t>1200000110</t>
  </si>
  <si>
    <t>Công Ty TNHH Trang Trí Nội Thất Nét Mộc</t>
  </si>
  <si>
    <t>1200000111</t>
  </si>
  <si>
    <t>Công Ty TNHH MTV Mỹ Nghệ Đông Phương Mộc</t>
  </si>
  <si>
    <t>1200000112</t>
  </si>
  <si>
    <t>Hợp Tác Xã Mỹ Nghệ Sơn Mài Đức Minh</t>
  </si>
  <si>
    <t>1200000113</t>
  </si>
  <si>
    <t>Công Ty Cổ Phần Xây Dựng Thương Mại Tiến Quang Minh</t>
  </si>
  <si>
    <t>1200000114</t>
  </si>
  <si>
    <t>CHI NHÁNH CÔNG TY TNHH GỖ VÀ TRANG TRÍ NỘI THẤT ĐĂNG MINH</t>
  </si>
  <si>
    <t>1200000115</t>
  </si>
  <si>
    <t>Công Ty TNHH Nội Thất Hảo Mộc</t>
  </si>
  <si>
    <t>1200000116</t>
  </si>
  <si>
    <t>Công Ty TNHH MEC</t>
  </si>
  <si>
    <t>1200000117</t>
  </si>
  <si>
    <t>HTX Mây Tre Lá Ba Nhất</t>
  </si>
  <si>
    <t>1200000118</t>
  </si>
  <si>
    <t>CÔNG TY CỔ PHẦN ĐỒ DÙNG GIA ĐÌNH VIỆT NAM</t>
  </si>
  <si>
    <t>1200000119</t>
  </si>
  <si>
    <t>Công Ty TNHH Sản Phẩm Gỗ Bùi Văn Ngọ</t>
  </si>
  <si>
    <t>1200000120</t>
  </si>
  <si>
    <t>Xí Nghiệp Chế Biến Lâm Sản XK Mỹ Nguyên</t>
  </si>
  <si>
    <t>1200000121</t>
  </si>
  <si>
    <t>Công Ty TNHH SX-TM Thế Nguyên</t>
  </si>
  <si>
    <t>1200000122</t>
  </si>
  <si>
    <t>Công Ty TNHH Như Ý</t>
  </si>
  <si>
    <t>1200000123</t>
  </si>
  <si>
    <t>Công Ty Cổ Phần Đầu Tư &amp; Xây Dựng Nhà Trường Đà Nẵng</t>
  </si>
  <si>
    <t>1200000124</t>
  </si>
  <si>
    <t>Công Ty TNHH Thiên Nam</t>
  </si>
  <si>
    <t>1200000125</t>
  </si>
  <si>
    <t>Công Ty TNHH Đồ Gỗ Nguyễn Ngọc</t>
  </si>
  <si>
    <t>1200000126</t>
  </si>
  <si>
    <t>Công Ty TNHH Khiết Nguyên</t>
  </si>
  <si>
    <t>1200000127</t>
  </si>
  <si>
    <t>Công Ty TNHH Kỹ Nghệ Gỗ Hoa Nét</t>
  </si>
  <si>
    <t>1200000128</t>
  </si>
  <si>
    <t>Công Ty TNHH SX - TM - DV Đức Nhân</t>
  </si>
  <si>
    <t>1200000129</t>
  </si>
  <si>
    <t>Công Ty TNHH TM-DV-XNK Thiết Bị Công Nghiệp Vạn Nghĩa</t>
  </si>
  <si>
    <t>1200000130</t>
  </si>
  <si>
    <t>Công Ty TNHH Một Thành Viên Sản Xuất Phi Nam</t>
  </si>
  <si>
    <t>1200000131</t>
  </si>
  <si>
    <t>Công Ty TNHH Gỗ Khánh Nguyên</t>
  </si>
  <si>
    <t>1200000132</t>
  </si>
  <si>
    <t>Công Ty TNHH Đồ Gỗ Và Trang Trí Nội Thất Đông Ngô</t>
  </si>
  <si>
    <t>1200000133</t>
  </si>
  <si>
    <t>Công Ty TNHH Như Ngọc</t>
  </si>
  <si>
    <t>1200000134</t>
  </si>
  <si>
    <t>Công Ty Cổ Phần Đầu Tư Xây Dựng Uy Nam</t>
  </si>
  <si>
    <t>1200000135</t>
  </si>
  <si>
    <t>Công Ty TNHH Phú Phú Nghĩa</t>
  </si>
  <si>
    <t>1200000136</t>
  </si>
  <si>
    <t>Công Ty TNHH ONP Việt Nam</t>
  </si>
  <si>
    <t>1200000137</t>
  </si>
  <si>
    <t>Công Ty TNHH Chế Biến Mây Tre Gỗ Nam Phước</t>
  </si>
  <si>
    <t>1200000138</t>
  </si>
  <si>
    <t>HTX TCMN XK Vĩnh Phước</t>
  </si>
  <si>
    <t>1200000139</t>
  </si>
  <si>
    <t>Công Ty TNHH TM &amp; CN Sơn Tây Phy</t>
  </si>
  <si>
    <t>1200000140</t>
  </si>
  <si>
    <t>CÔNG TY CP CHẾ BIẾN GỖ NỘI THẤT THÀNH TÂM</t>
  </si>
  <si>
    <t>1200000141</t>
  </si>
  <si>
    <t>Công Ty TNHH Du Lịch Hiệp Phát</t>
  </si>
  <si>
    <t>1200000142</t>
  </si>
  <si>
    <t>CTY TNHH MỘT THÀNH VIÊN HAPPYLAND FURNITURE</t>
  </si>
  <si>
    <t>1200000143</t>
  </si>
  <si>
    <t>Công Ty TNHH Tân Phước</t>
  </si>
  <si>
    <t>1200000144</t>
  </si>
  <si>
    <t>Công Ty TNHH Trúc Phố</t>
  </si>
  <si>
    <t>1200000145</t>
  </si>
  <si>
    <t>Công Ty TNHH Sản Xuất -Thương Mại- Dịch Vụ Đại Mạnh Phát</t>
  </si>
  <si>
    <t>1200000146</t>
  </si>
  <si>
    <t>Công Ty TNHH Kim An Phú</t>
  </si>
  <si>
    <t>1200000147</t>
  </si>
  <si>
    <t>Công Ty TNHH PMA Industrier Việt Nam</t>
  </si>
  <si>
    <t>1200000149</t>
  </si>
  <si>
    <t>Công Ty Cổ Phần Pacific Wood</t>
  </si>
  <si>
    <t>1200000150</t>
  </si>
  <si>
    <t>Công Ty TNHH MTV Sơn Nguyên Phát</t>
  </si>
  <si>
    <t>1200000151</t>
  </si>
  <si>
    <t>Công Ty TNHH Gỗ Chấn Phong</t>
  </si>
  <si>
    <t>1200000152</t>
  </si>
  <si>
    <t>Công Ty TNHH Phô Mai Hạnh Phúc</t>
  </si>
  <si>
    <t>1200000153</t>
  </si>
  <si>
    <t>Công Ty TNHH Gỗ PNT</t>
  </si>
  <si>
    <t>1200000154</t>
  </si>
  <si>
    <t>CN Tại Tp Hồ Chí Minh-Công Ty Cổ Phần Kế Hoạch Và Đầu Tư Phát Triển Xây Dựng Thành Phố</t>
  </si>
  <si>
    <t>1200000155</t>
  </si>
  <si>
    <t>Công Ty Cổ Phần Gỗ Xuất Khẩu Tân Thành DQ</t>
  </si>
  <si>
    <t>1200000156</t>
  </si>
  <si>
    <t>Công Ty TNHH Trang Trí Nội Thất Kim Hàn Quốc</t>
  </si>
  <si>
    <t>1200000157</t>
  </si>
  <si>
    <t>Công Ty TNHH Một Thành Viên Hồng Minh Quý</t>
  </si>
  <si>
    <t>1200000158</t>
  </si>
  <si>
    <t>CÔNG TY TNHH MỘT THÀNH VIÊN RAPEXCO - ĐẠI NAM</t>
  </si>
  <si>
    <t>1200000159</t>
  </si>
  <si>
    <t>Công Ty TNHH RIVERBANK VIỆT NAM</t>
  </si>
  <si>
    <t>1200000160</t>
  </si>
  <si>
    <t>Công Ty Cổ Phần HTKT Và XNK Savimex</t>
  </si>
  <si>
    <t>1200000161</t>
  </si>
  <si>
    <t>Công Ty TNHH ScanCom Việt Nam</t>
  </si>
  <si>
    <t>1200000162</t>
  </si>
  <si>
    <t>Công Ty TNHH Sản Xuất -Thương Mại Hoàng Sơn</t>
  </si>
  <si>
    <t>1200000163</t>
  </si>
  <si>
    <t>Công Ty TNHH Phước Sơn</t>
  </si>
  <si>
    <t>1200000164</t>
  </si>
  <si>
    <t>CN Công Ty TNHH MTV TM Scancom Á Châu Tại Quy Nhơn</t>
  </si>
  <si>
    <t>1200000165</t>
  </si>
  <si>
    <t>Doanh Nghiệp Tư Nhân Đặng Ngọc Sơn</t>
  </si>
  <si>
    <t>1200000166</t>
  </si>
  <si>
    <t>Công Ty TNHH Tư Vấn Thiết Kế Kiến Trúc Và Trang Trí Nội Thất S.U.N</t>
  </si>
  <si>
    <t>1200000167</t>
  </si>
  <si>
    <t>Công Ty TNHH Kỹ Nghệ Gỗ SAVA</t>
  </si>
  <si>
    <t>1200000168</t>
  </si>
  <si>
    <t>Công Ty TNHH Nội Thất Gỗ Ngôi Sao</t>
  </si>
  <si>
    <t>1200000169</t>
  </si>
  <si>
    <t>Công Ty TNHH MTV Nội Thất SESAN</t>
  </si>
  <si>
    <t>1200000170</t>
  </si>
  <si>
    <t>Công Ty Cổ Phần SORRENTO Việt Nam</t>
  </si>
  <si>
    <t>1200000171</t>
  </si>
  <si>
    <t>Công ty TNHH MTV Nội Thất và Nhiếp Ảnh Quốc Tế Hoa Sen</t>
  </si>
  <si>
    <t>1200000172</t>
  </si>
  <si>
    <t>Doanh Nghiệp Tư Nhân Đồ Gỗ Mộc Sơn</t>
  </si>
  <si>
    <t>1200000173</t>
  </si>
  <si>
    <t>Công Ty TNHH Nội Thất Hoàng Sa</t>
  </si>
  <si>
    <t>1200000174</t>
  </si>
  <si>
    <t>Công Ty TNHH Một Thành Viên Nội Thất Đức Sinh</t>
  </si>
  <si>
    <t>1200000175</t>
  </si>
  <si>
    <t>Công Ty Cổ Phần Đồ Gỗ Phúc Thắng</t>
  </si>
  <si>
    <t>1200000176</t>
  </si>
  <si>
    <t>Công Ty Cổ Phần Gỗ Tân Thành</t>
  </si>
  <si>
    <t>1200000177</t>
  </si>
  <si>
    <t>Công Ty Cổ Phần Tập Đoàn Kỹ Nghệ Gỗ Trường Thành</t>
  </si>
  <si>
    <t>1200000178</t>
  </si>
  <si>
    <t>Công Ty TNHH Sài Gòn Đồ Gỗ Quốc Tế</t>
  </si>
  <si>
    <t>1200000179</t>
  </si>
  <si>
    <t>Công Ty Cổ Phần Gỗ Toàn Thành</t>
  </si>
  <si>
    <t>1200000180</t>
  </si>
  <si>
    <t>Công Ty TNHH Phát Đạt Tiến</t>
  </si>
  <si>
    <t>1200000181</t>
  </si>
  <si>
    <t>Chi Nhánh Công Ty Cổ Phần Xây Dựng Và Nội Thất TCT</t>
  </si>
  <si>
    <t>1200000182</t>
  </si>
  <si>
    <t>Công ty TNHH Hoàng Trang</t>
  </si>
  <si>
    <t>1200000183</t>
  </si>
  <si>
    <t>Công ty Chế Biến Lâm Sản Việt Tiến</t>
  </si>
  <si>
    <t>1200000184</t>
  </si>
  <si>
    <t>TrungTâm Đầu Tư Và Xây Dựng TNXP</t>
  </si>
  <si>
    <t>1200000185</t>
  </si>
  <si>
    <t>Công Ty TNHH Nội Thất Mỹ Trân</t>
  </si>
  <si>
    <t>1200000186</t>
  </si>
  <si>
    <t>Doanh Nghiệp Tư Nhân Minh Thành</t>
  </si>
  <si>
    <t>1200000187</t>
  </si>
  <si>
    <t>Công Ty Cổ Phần Sản Xuất Kinh Doanh Xuất Nhập Khẩu Minh Tiến</t>
  </si>
  <si>
    <t>1200000188</t>
  </si>
  <si>
    <t>Công Ty TNHH Xây Dựng Trang Trí Nội Thất Hoàng Thảo</t>
  </si>
  <si>
    <t>1200000189</t>
  </si>
  <si>
    <t>Công Ty TNHH Trường Thắng</t>
  </si>
  <si>
    <t>1200000190</t>
  </si>
  <si>
    <t>Công Ty TNHH X9 Sơn Thịnh</t>
  </si>
  <si>
    <t>1200000191</t>
  </si>
  <si>
    <t>Công Ty TNHH TM-DV-Du Lịch Mỹ Gia Cát Tường</t>
  </si>
  <si>
    <t>1200000192</t>
  </si>
  <si>
    <t>Công Ty Cổ Phần Xây Dựng Gia Thy-Chi Nhánh Tại Quận 12</t>
  </si>
  <si>
    <t>1200000193</t>
  </si>
  <si>
    <t>Công Ty TNHH Tân Việt Tiến</t>
  </si>
  <si>
    <t>1200000194</t>
  </si>
  <si>
    <t>CÔNG TY TNHH HOÀNG MỘC THIÊN</t>
  </si>
  <si>
    <t>1200000195</t>
  </si>
  <si>
    <t>Công Ty Cổ Phần Xây Dựng Và Thương Mại TTT</t>
  </si>
  <si>
    <t>1200000196</t>
  </si>
  <si>
    <t>Công Ty TNHH Một Thành Viên SX Thương Mại Dịch Vụ Đồ Gỗ Tân Nhất Trung</t>
  </si>
  <si>
    <t>1200000197</t>
  </si>
  <si>
    <t>Công Ty TNHH Trang Trí Gỗ Nguyễn Thành</t>
  </si>
  <si>
    <t>1200000198</t>
  </si>
  <si>
    <t>Công Ty TNHH Sĩ Tấn</t>
  </si>
  <si>
    <t>1200000199</t>
  </si>
  <si>
    <t>Công Ty Cổ Phần Trang Trí Nội Thất Tín Trung</t>
  </si>
  <si>
    <t>1200000200</t>
  </si>
  <si>
    <t>Công Ty TNHH Một Thành Viên Sản Xuất - Thương Mại - Dịch Vụ Danh Tùng</t>
  </si>
  <si>
    <t>1200000201</t>
  </si>
  <si>
    <t>Công Ty TNHH Tanabe Việt Nam</t>
  </si>
  <si>
    <t>1200000202</t>
  </si>
  <si>
    <t>Công Ty Trách Nhiệm Hữu Hạn Gỗ Việt Tú</t>
  </si>
  <si>
    <t>1200000203</t>
  </si>
  <si>
    <t>Công Ty TNHH Thương Mại Xây Lắp Điện Cao Trần</t>
  </si>
  <si>
    <t>1200000204</t>
  </si>
  <si>
    <t>Công Ty TNHH Chế Biến Mây Tre Gỗ Nhật Tân</t>
  </si>
  <si>
    <t>1200000205</t>
  </si>
  <si>
    <t>Công Ty Cổ Phần Phát Triển Khu Công Nghiệp Sóng Thần</t>
  </si>
  <si>
    <t>1200000206</t>
  </si>
  <si>
    <t>Công Ty TNHH Sản Xuất Vũ Uy</t>
  </si>
  <si>
    <t>1200000207</t>
  </si>
  <si>
    <t>Công Ty Cổ Phần Nam Việt ( Navifico )</t>
  </si>
  <si>
    <t>1200000208</t>
  </si>
  <si>
    <t>Công Ty Cổ Phần XD Trang Trí Nội Thất Trí Việt</t>
  </si>
  <si>
    <t>1200000209</t>
  </si>
  <si>
    <t>Công Ty TNHH MTV SX Và KD Thiết Bị Xây Dựng Gia Võ</t>
  </si>
  <si>
    <t>1200000210</t>
  </si>
  <si>
    <t>Công Ty Cổ Phần Công Nghiệp Nhất Việt</t>
  </si>
  <si>
    <t>1200000211</t>
  </si>
  <si>
    <t>Công Ty TNHH Thương Mại Dịch Vụ Sản Xuất Tân Mỹ Vinh</t>
  </si>
  <si>
    <t>1200000212</t>
  </si>
  <si>
    <t>CN Công Ty CP Vinafor Đà Nẵng - Xí Nghiệp Chế Biến Gỗ Vinafor Đà Nẵng</t>
  </si>
  <si>
    <t>1200000213</t>
  </si>
  <si>
    <t>Công Ty TNHH Gia Võ Furniture</t>
  </si>
  <si>
    <t>1200000214</t>
  </si>
  <si>
    <t>Công Ty TNHH Sản Xuất Và Thương Mại VIETPAINT</t>
  </si>
  <si>
    <t>1200000215</t>
  </si>
  <si>
    <t>Công Ty TNHH TK XD &amp; TM Việt Khôi</t>
  </si>
  <si>
    <t>1200000216</t>
  </si>
  <si>
    <t>Công Ty TNHH Sản Xuất Bao Bì Nam Việt</t>
  </si>
  <si>
    <t>1200000217</t>
  </si>
  <si>
    <t>Công Ty Cổ Phần Lâm Việt</t>
  </si>
  <si>
    <t>1200000218</t>
  </si>
  <si>
    <t>Chi Nhánh Công Ty TNHH Sản Xuất Bao Bì Nam Việt Tại Đồng Nai</t>
  </si>
  <si>
    <t>1200000219</t>
  </si>
  <si>
    <t>Công Ty Cổ Phần Nguyên Vũ</t>
  </si>
  <si>
    <t>1200000220</t>
  </si>
  <si>
    <t>CÔNG TY TNHH SUNWOOD VINA</t>
  </si>
  <si>
    <t>1200000221</t>
  </si>
  <si>
    <t>DNTN Nội Thất Văn Phòng TAV</t>
  </si>
  <si>
    <t>1200000222</t>
  </si>
  <si>
    <t>Công Ty TNHH Cơ Khí Và Xây Dựng Hàn Việt</t>
  </si>
  <si>
    <t>1200000223</t>
  </si>
  <si>
    <t>Công Ty TNHH Hoàn Vũ</t>
  </si>
  <si>
    <t>1200000224</t>
  </si>
  <si>
    <t>Công Ty TNHH SX-TM Đúc Việt</t>
  </si>
  <si>
    <t>1200000225</t>
  </si>
  <si>
    <t>Công Ty TNHH Thiên Lộc Việt</t>
  </si>
  <si>
    <t>1200000226</t>
  </si>
  <si>
    <t>Công Ty TNHH Phố Vip</t>
  </si>
  <si>
    <t>1200000227</t>
  </si>
  <si>
    <t>CÔNG TY CP ĐỒ GỖ VÀ NỘI THẤT NHẬT VIỆT</t>
  </si>
  <si>
    <t>1200000228</t>
  </si>
  <si>
    <t>Công Ty CP Kỹ Nghệ Gỗ Việt</t>
  </si>
  <si>
    <t>1200000229</t>
  </si>
  <si>
    <t>Cơ Sở Thanh Xuân</t>
  </si>
  <si>
    <t>1200000230</t>
  </si>
  <si>
    <t>Công Ty TNHH Đá Xanh</t>
  </si>
  <si>
    <t>1200000231</t>
  </si>
  <si>
    <t>CÔNG TY TRÁCH NHIỆM HỮU HẠN XT</t>
  </si>
  <si>
    <t>1200000232</t>
  </si>
  <si>
    <t>Công Ty TNHH Đồi Thông Xanh</t>
  </si>
  <si>
    <t>1200000233</t>
  </si>
  <si>
    <t>Công Ty TNHH Mây Tre Xuất Khẩu Phú Minh Hưng Yên</t>
  </si>
  <si>
    <t>1200000234</t>
  </si>
  <si>
    <t>Doanh Nghiệp Tư Nhân Tân Trường Yên</t>
  </si>
  <si>
    <t>1200000405</t>
  </si>
  <si>
    <t>Công Ty TNHH Thương Mại - Sản Xuất Đại Thắng Lợi</t>
  </si>
  <si>
    <t>1200000406</t>
  </si>
  <si>
    <t>Công Ty TNHH Quốc Tế Đức An</t>
  </si>
  <si>
    <t>1200000407</t>
  </si>
  <si>
    <t>Công Ty TNHH Một Thành Viên Phú Gia Lộc</t>
  </si>
  <si>
    <t>1200000408</t>
  </si>
  <si>
    <t>Công Ty TNHH Cung Ứng Nguyên Vật Liệu Thái Bình Dương</t>
  </si>
  <si>
    <t>1200000409</t>
  </si>
  <si>
    <t>Công Ty TNHH Gia Công Xuất Khẩu An Bình</t>
  </si>
  <si>
    <t>1200000410</t>
  </si>
  <si>
    <t>Công Ty TNHH Gia Công Cơ Khí T &amp; L</t>
  </si>
  <si>
    <t>1200000411</t>
  </si>
  <si>
    <t>Công Ty TNHH Chuẩn Tinh - Khanh</t>
  </si>
  <si>
    <t>1200000412</t>
  </si>
  <si>
    <t>Công Ty TNHH K.P.Q</t>
  </si>
  <si>
    <t>1200000413</t>
  </si>
  <si>
    <t>Công Ty TNHH Tư Vấn Thiết Kế Xây Dựng Thái Hy</t>
  </si>
  <si>
    <t>1200000414</t>
  </si>
  <si>
    <t>Công Ty TNHH SKS Furniture</t>
  </si>
  <si>
    <t>1200000415</t>
  </si>
  <si>
    <t>DNTN Sản Xuất Thương Mại Dịch Vụ Quốc Trưởng</t>
  </si>
  <si>
    <t>1200000416</t>
  </si>
  <si>
    <t>Công Ty Cổ Phần Sản Xuất Và Thương Mại THE FURNITURE</t>
  </si>
  <si>
    <t>1200000417</t>
  </si>
  <si>
    <t>Công Ty TNHH Dịch Vụ Kỹ Thuật An Tâm Phát</t>
  </si>
  <si>
    <t>1200000418</t>
  </si>
  <si>
    <t>Công Ty Cổ Phần Công Nghệ ELITE</t>
  </si>
  <si>
    <t>1200000419</t>
  </si>
  <si>
    <t>Chi Nhánh Công Ty Cổ Phần EUROWINDOW</t>
  </si>
  <si>
    <t>1200000420</t>
  </si>
  <si>
    <t>Công Ty TNHH DP Systems Electronic Mechanical Technology Việt Nam</t>
  </si>
  <si>
    <t>1200000421</t>
  </si>
  <si>
    <t>Công Ty TNHH Nội Thất Nem</t>
  </si>
  <si>
    <t>1200000422</t>
  </si>
  <si>
    <t>Công Ty TNHH DL Mắt Mekong</t>
  </si>
  <si>
    <t>1200000462</t>
  </si>
  <si>
    <t>Công Ty TNHH SX TM XNK Bảo Minh</t>
  </si>
  <si>
    <t>1200000463</t>
  </si>
  <si>
    <t>CÔNG TY TNHH MỘT THÀNH VIÊN LỢI QUANG SƠN</t>
  </si>
  <si>
    <t>1200000464</t>
  </si>
  <si>
    <t>CÔNG TY TNHH SMART TOP</t>
  </si>
  <si>
    <t>1200000481</t>
  </si>
  <si>
    <t>CÔNG TY CỔ PHẦN THƯƠNG MẠI XNK NỘI THẤT HOMELINE VIỆT NAM</t>
  </si>
  <si>
    <t>1200000492</t>
  </si>
  <si>
    <t>CÔNG TY TNHH SẢN XUẤT- THƯƠNG MẠI - DỊCH VỤ LONG THẠNH PHÁT</t>
  </si>
  <si>
    <t>1200000498</t>
  </si>
  <si>
    <t>CÔNG TY TNHH NANTEN</t>
  </si>
  <si>
    <t>1200000511</t>
  </si>
  <si>
    <t>CÔNG TY TNHH LANOVA</t>
  </si>
  <si>
    <t>1200000518</t>
  </si>
  <si>
    <t>CÔNG TY TNHH TRANG TRÍ NỘI THẤT NHÀ VUI</t>
  </si>
  <si>
    <t>1200000519</t>
  </si>
  <si>
    <t>CÔNG TY TNHH MTV TANABE LONG HẬU</t>
  </si>
  <si>
    <t>1200000520</t>
  </si>
  <si>
    <t>CÔNG TY TNHH MINIGOLD VIỆT NAM</t>
  </si>
  <si>
    <t>1200000522</t>
  </si>
  <si>
    <t>1200000523</t>
  </si>
  <si>
    <t>CÔNG TY TNHH TRUNG TÂM ĐỒ GỖ THẾ GIỚI</t>
  </si>
  <si>
    <t>1200000524</t>
  </si>
  <si>
    <t>CÔNG TY TNHH SX XNK THƯƠNG MẠI SÁNG</t>
  </si>
  <si>
    <t>1200000526</t>
  </si>
  <si>
    <t>CÔNG TY TNHH THƯƠNG MẠI DỊCH VỤ GIAO NHẬN TRẦN GIA PHÁT</t>
  </si>
  <si>
    <t>1200000532</t>
  </si>
  <si>
    <t>CÔNG TY TNHH SẢN XUẤT VÀ THƯƠNG MẠI N.B.A</t>
  </si>
  <si>
    <t>1200000536</t>
  </si>
  <si>
    <t>CÔNG TY TNHH GIA QUÂN PHÁT</t>
  </si>
  <si>
    <t>1200000537</t>
  </si>
  <si>
    <t>CÔNG TY CP ĐT TM DV &amp; SX HỢP NHẤT</t>
  </si>
  <si>
    <t>1200000539</t>
  </si>
  <si>
    <t>CÔNG TY TNHH MAX STEEL</t>
  </si>
  <si>
    <t>1200000540</t>
  </si>
  <si>
    <t>CÔNG TY TNHH THƯƠNG MẠI ĐỒ GỖ XNK 3H</t>
  </si>
  <si>
    <t>1200000541</t>
  </si>
  <si>
    <t>CÔNG TY TNHH SX ĐỒ GỖ XUẤT KHẨU VIỆT SƠN</t>
  </si>
  <si>
    <t>1200000542</t>
  </si>
  <si>
    <t>CÔNG TY TNHH SẢN XUẤT - THƯƠNG MẠI B.H</t>
  </si>
  <si>
    <t>1200000547</t>
  </si>
  <si>
    <t>CÔNG TY CỔ PHẦN WILSONS HILL VIỆT NAM</t>
  </si>
  <si>
    <t>1200000548</t>
  </si>
  <si>
    <t>CÔNG TY TNHH DAIGAKU (VIỆT NAM)</t>
  </si>
  <si>
    <t>1200000549</t>
  </si>
  <si>
    <t>CÔNG TY TNHH SẢN XUẤT VÀ THƯƠNG MẠI VIỆT FIN</t>
  </si>
  <si>
    <t>1200000556</t>
  </si>
  <si>
    <t>CÔNG TY TNHH SẢN XUẤT VÀ THƯƠNG MẠI KHÔI ĐĂNG</t>
  </si>
  <si>
    <t>1200000558</t>
  </si>
  <si>
    <t>CÔNG TY TNHH KANAMORI INDUSTRIES VIỆT NAM</t>
  </si>
  <si>
    <t>1200000559</t>
  </si>
  <si>
    <t>CÔNG TY TNHH THỦ CÔNG MỸ NGHỆ MINH QUANG</t>
  </si>
  <si>
    <t>1200000560</t>
  </si>
  <si>
    <t>CÔNG TY TNHH SX TM DV VĨNH TIẾN NGUYÊN</t>
  </si>
  <si>
    <t>1200000561</t>
  </si>
  <si>
    <t>CÔNG TY TNHH SX KD XNK NỘI THẤT BOY TẤN</t>
  </si>
  <si>
    <t>1200000567</t>
  </si>
  <si>
    <t>CÔNG TY TNHH CƠ KHÍ SẢN XUẤT THƯƠNG MẠI AN LỘC</t>
  </si>
  <si>
    <t>1200000570</t>
  </si>
  <si>
    <t>CÔNG TY TNHH CÔNG NGHIỆP SEMCO PHÚ YÊN -CHI NHÁNH ĐỒNG NAI</t>
  </si>
  <si>
    <t>1200000573</t>
  </si>
  <si>
    <t>CÔNG TY TNHH TƯ VẤN THIẾT KẾ XÂY DỰNG THT</t>
  </si>
  <si>
    <t>1200000575</t>
  </si>
  <si>
    <t>CÔNG TY TNHH XDTM NAM THIÊN ẤN</t>
  </si>
  <si>
    <t>1200000586</t>
  </si>
  <si>
    <t>CÔNG TY TNHH CÔNG NGHIỆP SEMCO PHÚ YÊN</t>
  </si>
  <si>
    <t>1200000592</t>
  </si>
  <si>
    <t>CÔNG TY CỔ PHẦN THIẾT KẾ VÀ THI CÔNG NỘI THẤT ĐÔNG DƯƠNG</t>
  </si>
  <si>
    <t>1200000594</t>
  </si>
  <si>
    <t>CÔNG TY TNHH SẢN XUẤT VÀ XÂY DỰNG THIÊN AN</t>
  </si>
  <si>
    <t>1200000599</t>
  </si>
  <si>
    <t>CÔNG TY CỔ PHẦN NỘI THẤT LÂM PHÁT</t>
  </si>
  <si>
    <t>1200000603</t>
  </si>
  <si>
    <t>CÔNG TY TNHH THƯƠNG MẠI VÀ SẢN XUẤT TRANH GHÉP GỖ NHẬT TIẾN</t>
  </si>
  <si>
    <t>1200000604</t>
  </si>
  <si>
    <t>CÔNG TY CỔ PHẦN TẬP ĐOÀN KHẢI VY</t>
  </si>
  <si>
    <t>1200000606</t>
  </si>
  <si>
    <t>CÔNG TY TNHH XÂY DỰNG PHỐ ĐẠI VIỆT</t>
  </si>
  <si>
    <t>1200000607</t>
  </si>
  <si>
    <t>MAI THỊ MAI</t>
  </si>
  <si>
    <t>1200000608</t>
  </si>
  <si>
    <t>CÔNG TY TNHH SẢN XUẤT MỘC KHANG</t>
  </si>
  <si>
    <t>1200000613</t>
  </si>
  <si>
    <t>CÔNG TY TNHH SẢN XUẤT THƯƠNG MẠI VẠN CHÍNH</t>
  </si>
  <si>
    <t>1200000614</t>
  </si>
  <si>
    <t>CÔNG TY TNHH MTV 751</t>
  </si>
  <si>
    <t>1200000618</t>
  </si>
  <si>
    <t>CÔNG TY CỔ PHẦN ĐỒ GỖ VÀ TRANG TRÍ NỘI THẤT ĐÔNG NGÔ</t>
  </si>
  <si>
    <t>1200000619</t>
  </si>
  <si>
    <t>CÔNG TY TNHH VI NA CÔNG DUY</t>
  </si>
  <si>
    <t>1200000620</t>
  </si>
  <si>
    <t>Công Ty TNHH Thiên Ân - Gia Lai</t>
  </si>
  <si>
    <t>1200000621</t>
  </si>
  <si>
    <t>CƠ SỞ GIA CÔNG KIM LOẠI TRƯỜNG PHÚC</t>
  </si>
  <si>
    <t>1200000626</t>
  </si>
  <si>
    <t>CÔNG TY TNHH PHÁT THỊNH VINA</t>
  </si>
  <si>
    <t>1200000627</t>
  </si>
  <si>
    <t>CÔNG TY TNHH SX TM NỘI THẤT NAM THÀNH PHÁT</t>
  </si>
  <si>
    <t>1200000630</t>
  </si>
  <si>
    <t>CÔNG TY TNHH MTV TM DV XNK HỒNG PHÁT</t>
  </si>
  <si>
    <t>1200000632</t>
  </si>
  <si>
    <t>CÔNG TY TNHH VŨ CHẤN</t>
  </si>
  <si>
    <t>1200000633</t>
  </si>
  <si>
    <t>CÔNG TY TNHH POLYCHEMIE VIET NAM</t>
  </si>
  <si>
    <t>1200000636</t>
  </si>
  <si>
    <t>XÍ NGHIỆP CHẾ BIẾN LÂM SẢN QUY NHƠN – CN CTY CỔ PHẦN KON HÀ NỪNG</t>
  </si>
  <si>
    <t>1200000641</t>
  </si>
  <si>
    <t>CÔNG TY TNHH SẢN XUẤT KINH DOANH NGUYÊN PHÁT</t>
  </si>
  <si>
    <t>1200000642</t>
  </si>
  <si>
    <t>CÔNG TY TNHH THƯƠNG MẠI DỊCH VỤ ĐẠI TUẤN VIỆT</t>
  </si>
  <si>
    <t>1200000647</t>
  </si>
  <si>
    <t>CÔNG TY TNHH MỘT THÀNH VIÊN CHẾ BIẾN GỖ TƯỜNG VĂN</t>
  </si>
  <si>
    <t>1200000648</t>
  </si>
  <si>
    <t>CTY TNHH SX TM ĐỒ GỖ NGUYỄN HỮU</t>
  </si>
  <si>
    <t>1200000649</t>
  </si>
  <si>
    <t>CÔNG TY CP XÂY DỰNG KIẾN TRÚC AA TÂY NINH</t>
  </si>
  <si>
    <t>1200000651</t>
  </si>
  <si>
    <t>CÔNG TY TNHH SX TM DV VƯỢNG PHÁT LỘC</t>
  </si>
  <si>
    <t>1200000656</t>
  </si>
  <si>
    <t>CÔNG TY CỔ PHẦN XÂY DỰNG VÀ NỘI THẤT VIỆT</t>
  </si>
  <si>
    <t>1200000666</t>
  </si>
  <si>
    <t>CÔNG TY TNHH NGÔI NHÀ GỖ</t>
  </si>
  <si>
    <t>1200000676</t>
  </si>
  <si>
    <t>CÔNG TY CỔ PHẦN ĐẦU TƯ DỊCH VỤ VÀ PHÁT TRIỂN THƯƠNG MẠI NHẬT MINH – CN TẠI HỒ CHÍ MINH</t>
  </si>
  <si>
    <t>1200000677</t>
  </si>
  <si>
    <t>CÔNG TY TNHH THƯƠNG MẠI DỊCH VỤ VẬN TẢI THÀNH MỸ</t>
  </si>
  <si>
    <t>1200000690</t>
  </si>
  <si>
    <t>CÔNG TY CỔ PHẦN ĐỒ GỖ VIỆT</t>
  </si>
  <si>
    <t>1200000696</t>
  </si>
  <si>
    <t>CÔNG TY TNHH MAICO</t>
  </si>
  <si>
    <t>1200000698</t>
  </si>
  <si>
    <t>THE SHAKER KITCHEN</t>
  </si>
  <si>
    <t>1200000700</t>
  </si>
  <si>
    <t>CÔNG TY CỔ PHẦN THƯƠNG MẠI DỊCH VỤ ĐẤT MỚI</t>
  </si>
  <si>
    <t>1200000701</t>
  </si>
  <si>
    <t>DOANH NGHIỆP TƯ NHÂN HOÀNG MINH H.M.C</t>
  </si>
  <si>
    <t>1200000702</t>
  </si>
  <si>
    <t>CÔNG TY TNHH SINTAI FURNITURE (VIỆT NAM)</t>
  </si>
  <si>
    <t>1200000704</t>
  </si>
  <si>
    <t>CÔNG TY TNHH NỘI THẤT BẢO THIÊN PHÁT</t>
  </si>
  <si>
    <t>1200000705</t>
  </si>
  <si>
    <t>CÔNG TY TNHH GỖ HẠNH PHÚC</t>
  </si>
  <si>
    <t>1200000709</t>
  </si>
  <si>
    <t>CÔNG TY TNHH DỰ ÁN HỒ TRÀM</t>
  </si>
  <si>
    <t>1200000712</t>
  </si>
  <si>
    <t>CÔNG TY TNHH THIÊN BẮC</t>
  </si>
  <si>
    <t>1200000715</t>
  </si>
  <si>
    <t>CÔNG TY CỔ PHẦN THƯƠNG MẠI DỊCH VỤ XÂY DỰNG NHÂN THIÊN PHÁT</t>
  </si>
  <si>
    <t>1200000716</t>
  </si>
  <si>
    <t>CÔNG TY CỔ PHẦN NỘI THẤT GOLDEN BRIDGE</t>
  </si>
  <si>
    <t>1200000717</t>
  </si>
  <si>
    <t>CÔNG TY CỔ PHẦN XÂY DỰNG KIẾN TRÚC AA ĐỨC HÒA</t>
  </si>
  <si>
    <t>1200000722</t>
  </si>
  <si>
    <t>CÔNG TY TNHH J&amp;B VIỆT NAM</t>
  </si>
  <si>
    <t>1200000725</t>
  </si>
  <si>
    <t>CÔNG TY CỔ PHẦN PORTLAND FURNITURE BÌNH DƯƠNG</t>
  </si>
  <si>
    <t>1200000730</t>
  </si>
  <si>
    <t>CÔNG TY CỔ PHẦN SẮT THÉP MỸ THUẬT TRẦN KIM</t>
  </si>
  <si>
    <t>1200000731</t>
  </si>
  <si>
    <t>CÔNG TY TNHH NEW GOLDEN BRIDGE INTERIOR</t>
  </si>
  <si>
    <t>1200000732</t>
  </si>
  <si>
    <t>CÔNG TY TNHH MỘT THÀNH VIÊN QUANG KIM PHÁT</t>
  </si>
  <si>
    <t>1200000739</t>
  </si>
  <si>
    <t>CÔNG TY TNHH TƯ VẤN VÀ ĐẦU TƯ I.F.D GROUP</t>
  </si>
  <si>
    <t>1200000740</t>
  </si>
  <si>
    <t>CÔNG TY TNHH MTV MV INVESTMENT</t>
  </si>
  <si>
    <t>1200000741</t>
  </si>
  <si>
    <t>CÔNG TY TNHH VIỆT CHEM</t>
  </si>
  <si>
    <t>1200000742</t>
  </si>
  <si>
    <t>CÔNG TY TNHH SẢN XUẤT THƯƠNG MẠI CƠ KHÍ HC</t>
  </si>
  <si>
    <t>1200000743</t>
  </si>
  <si>
    <t>CÔNG TY TNHH NỘI THẤT MINH HƯNG</t>
  </si>
  <si>
    <t>1200000745</t>
  </si>
  <si>
    <t>CÔNG TY CỔ PHẦN KIẾN TRÚC VÀ NỘI THẤT NANO - CHI NHÁNH ĐỒNG NAI</t>
  </si>
  <si>
    <t>1200000747</t>
  </si>
  <si>
    <t>CÔNG TY TNHH JOJE</t>
  </si>
  <si>
    <t>1200000749</t>
  </si>
  <si>
    <t>CÔNG TY TNHH SẢN XUẤT THƯƠNG MẠI THANH MINH</t>
  </si>
  <si>
    <t>1200000757</t>
  </si>
  <si>
    <t>HỢP TÁC XÃ TÂN HÒA BÌNH</t>
  </si>
  <si>
    <t>1200000765</t>
  </si>
  <si>
    <t>CÔNG TY CỔ PHẦN XÂY DỰNG VÀ TRANG TRÍ NỘI THẤT VIỆT NHẬT</t>
  </si>
  <si>
    <t>1200000766</t>
  </si>
  <si>
    <t>CÔNG TY TNHH SANH PHÁT</t>
  </si>
  <si>
    <t>1200000768</t>
  </si>
  <si>
    <t>CÔNG TY CỔ PHẦN NHÀ MÁY AA LONG AN</t>
  </si>
  <si>
    <t>1200000769</t>
  </si>
  <si>
    <t>CÔNG TY CỔ PHẦN KIM MỘC</t>
  </si>
  <si>
    <t>1200000771</t>
  </si>
  <si>
    <t>CÔNG TY TNHH TM DV XD SX TRIỆU PHÚ LỘC</t>
  </si>
  <si>
    <t>1200000772</t>
  </si>
  <si>
    <t>CÔNG TY TNHH DIỆP MỘC HOME</t>
  </si>
  <si>
    <t>1200000776</t>
  </si>
  <si>
    <t>CÔNG TY TNHH GỖ HUY PHÁT</t>
  </si>
  <si>
    <t>1200000778</t>
  </si>
  <si>
    <t>CTY TNHH TM-DV-SX CƠ KHÍ QUANG SƠN</t>
  </si>
  <si>
    <t>1200000781</t>
  </si>
  <si>
    <t>CÔNG TY TNHH ĐẠI HOÀNG MỸ</t>
  </si>
  <si>
    <t>1200000783</t>
  </si>
  <si>
    <t>DOANH NGHIỆP TƯ NHÂN ĐỈNH KIM NGỌC</t>
  </si>
  <si>
    <t>1200000786</t>
  </si>
  <si>
    <t>CÔNG TY TNHH TIMBER PHOENIX</t>
  </si>
  <si>
    <t>1200000788</t>
  </si>
  <si>
    <t>CÔNG TY CỔ PHẦN LÂM SẢN NAM ĐỊNH</t>
  </si>
  <si>
    <t>1200000789</t>
  </si>
  <si>
    <t>CÔNG TY TNHH THƯƠNG MẠI GID</t>
  </si>
  <si>
    <t>1200000790</t>
  </si>
  <si>
    <t>CÔNG TY TNHH TM - SX NGỌC TUẤN</t>
  </si>
  <si>
    <t>1200000795</t>
  </si>
  <si>
    <t>CÔNG TY TNHH MILLENNIUM FURNITURE</t>
  </si>
  <si>
    <t>1200000799</t>
  </si>
  <si>
    <t>VPDD TRADEMANGO SOLUTIONS INC. TẠI TP. HCM</t>
  </si>
  <si>
    <t>1200000802</t>
  </si>
  <si>
    <t>CÔNG TY TNHH SẢN XUẤT &amp; THƯƠNG MẠI HẢI KIM MINH</t>
  </si>
  <si>
    <t>1200000804</t>
  </si>
  <si>
    <t>CÔNG TY CỔ PHẦN THƯƠNG MẠI VẬT TƯ XÂY DỰNG LÊ THANH</t>
  </si>
  <si>
    <t>1200000807</t>
  </si>
  <si>
    <t>CÔNG TY TNHH SẢN XUẤT VÀ THƯƠNG MẠI GỖ MỘC CỔ</t>
  </si>
  <si>
    <t>1200000808</t>
  </si>
  <si>
    <t>CÔNG TY TNHH B&amp;M FURNITURE</t>
  </si>
  <si>
    <t>1200000811</t>
  </si>
  <si>
    <t>CÔNG TY TNHH XÂY DỰNG VÀ THƯƠNG MẠI LIÊN MINH PHÁT</t>
  </si>
  <si>
    <t>1200000812</t>
  </si>
  <si>
    <t>CÔNG TY TRÁCH NHIỆM HỮU HẠN NIEMEN TEHTAAT VIỆT NAM</t>
  </si>
  <si>
    <t>1200000814</t>
  </si>
  <si>
    <t>CÔNG TY TNHH CHẾ BIẾN NÔNG LÂM SẢN XK ANH QUÂN</t>
  </si>
  <si>
    <t>1200000815</t>
  </si>
  <si>
    <t>CÔNG TY TNHH XÂY DỰNG VÀ NỘI THẤT TRIPLE F</t>
  </si>
  <si>
    <t>1200000816</t>
  </si>
  <si>
    <t>CÔNG TY TNHH KIẾN TRÚC VÀ NỘI THẤT VVM</t>
  </si>
  <si>
    <t>1200000817</t>
  </si>
  <si>
    <t>CÔNG TY TNHH THƯƠNG MẠI VÀ DỊCH VỤ VAM</t>
  </si>
  <si>
    <t>1200000818</t>
  </si>
  <si>
    <t>CÔNG TY CỔ PHẦN SẢN XUẤT THƯƠNG MẠI ĐỒ MỘC VIỆT NAM</t>
  </si>
  <si>
    <t>1200000819</t>
  </si>
  <si>
    <t>CÔNG TY TNHH MỸ LINH</t>
  </si>
  <si>
    <t>1200000820</t>
  </si>
  <si>
    <t>CÔNG TY TNHH SẢN XUẤT NỘI THẤT TRẦN TIẾN</t>
  </si>
  <si>
    <t>1200000832</t>
  </si>
  <si>
    <t>CÔNG TY TNHH TRANG TRÍ NỘI THẤT FRESH</t>
  </si>
  <si>
    <t>1200000871</t>
  </si>
  <si>
    <t>CÔNG TY TNHH FINE SCANDINAVIA</t>
  </si>
  <si>
    <t>1200000878</t>
  </si>
  <si>
    <t>CÔNG TY CỔ PHẦN CHẾ BIẾN XUẤT NHẬP KHẨU GỖ TÂY NINH</t>
  </si>
  <si>
    <t>1200000880</t>
  </si>
  <si>
    <t>CÔNG TY TNHH BẢO NGỌC HÂN</t>
  </si>
  <si>
    <t>1200000883</t>
  </si>
  <si>
    <t>CÔNG TY CỔ PHẦN THIẾT KẾ NỘI THẤT ICON</t>
  </si>
  <si>
    <t>1200000884</t>
  </si>
  <si>
    <t>CÔNG TY TNHH PHÚ HƯNG PHÁT FURNITURE</t>
  </si>
  <si>
    <t>1200000888</t>
  </si>
  <si>
    <t>CÔNG TY TNHH ZOE FURNITURE</t>
  </si>
  <si>
    <t>1200000889</t>
  </si>
  <si>
    <t>CÔNG TY CỔ PHẨN NỘI THẤT SÀI GÒN DECOR</t>
  </si>
  <si>
    <t>1200000891</t>
  </si>
  <si>
    <t>CÔNG TY CỔ PHẦN SẢN XUẤT NỘI THẤT ICON</t>
  </si>
  <si>
    <t>1200000892</t>
  </si>
  <si>
    <t>CÔNG TY TNHH ĐIÊU KHẮC MINH TIẾN</t>
  </si>
  <si>
    <t>1200000893</t>
  </si>
  <si>
    <t>CÔNG TY CỔ PHẦN VILACASA VIỆT NAM</t>
  </si>
  <si>
    <t>1200000897</t>
  </si>
  <si>
    <t>CÔNG TY TNHH TẬP ĐOÀN NTP</t>
  </si>
  <si>
    <t>1200000900</t>
  </si>
  <si>
    <t>CÔNG TY TNHH XÂY DỰNG VÀ XỬ LÝ NỀN MÓNG TRÚC XÂY</t>
  </si>
  <si>
    <t>1200000901</t>
  </si>
  <si>
    <t>CÔNG TY TNHH TỨ TẤN TÀI Đ&amp;S</t>
  </si>
  <si>
    <t>1200000903</t>
  </si>
  <si>
    <t>CÔNG TY TNHH CÔNG NGHIỆP NHÀ XANH</t>
  </si>
  <si>
    <t>1200000905</t>
  </si>
  <si>
    <t>CÔNG TY TNHH XÂY DỰNG SẢN XUẤT THƯƠNG MẠI LÊ LÊ GIA</t>
  </si>
  <si>
    <t>1200000907</t>
  </si>
  <si>
    <t>CÔNG TY CỔ PHẦN SƠN HÀ</t>
  </si>
  <si>
    <t>1200000909</t>
  </si>
  <si>
    <t>CÔNG TY TNHH LOUIS HOME</t>
  </si>
  <si>
    <t>1200000910</t>
  </si>
  <si>
    <t>CÔNG TY TNHH D-HARDWARE</t>
  </si>
  <si>
    <t>1200000911</t>
  </si>
  <si>
    <t>CÔNG TY TNHH NỘI THẤT HOÀNG VINH PHÁT</t>
  </si>
  <si>
    <t>1200000920</t>
  </si>
  <si>
    <t>1200000922</t>
  </si>
  <si>
    <t>CÔNG TY TNHH THƯƠNG MẠI XÂY DỰNG TRANG TRÍ NỘI THẤT THỊNH HƯNG</t>
  </si>
  <si>
    <t>1200000926</t>
  </si>
  <si>
    <t>CÔNG TY TNHH XUẤT KHẨU NỘI THẤT MAO</t>
  </si>
  <si>
    <t>1200000940</t>
  </si>
  <si>
    <t>CÔNG TY TNHH GEUTHER VIỆT NAM</t>
  </si>
  <si>
    <t>1200000944</t>
  </si>
  <si>
    <t>CÔNG TY TNHH SẢN SUẤT MCS</t>
  </si>
  <si>
    <t>1200000946</t>
  </si>
  <si>
    <t>CHI NHÁNH CÔNG TY TNHH THƯƠNG MẠI XUẤT NHẬP KHẨU C.R.M.G</t>
  </si>
  <si>
    <t>1200000948</t>
  </si>
  <si>
    <t>CÔNG TY TRÁCH NHIỆM HỮU HẠN SẢN XUẤT THƯƠNG MẠI DỊCH VỤ MỘC GIA PHÁT</t>
  </si>
  <si>
    <t>1200000949</t>
  </si>
  <si>
    <t>CÔNG TY CỔ PHẦN BAO BÌ IN KIM LOẠI THẾ KỶ</t>
  </si>
  <si>
    <t>1200000950</t>
  </si>
  <si>
    <t>CÔNG TY TNHH GỖ KHANG VY</t>
  </si>
  <si>
    <t>1200000951</t>
  </si>
  <si>
    <t>CÔNG TY TNHH SX TM DV PHÚ QUÝ</t>
  </si>
  <si>
    <t>1200000953</t>
  </si>
  <si>
    <t>CÔNG TY TNHH TƯ VẤN THIẾT KẾ XÂY DỰNG TRÍ QUÂN</t>
  </si>
  <si>
    <t>1200000955</t>
  </si>
  <si>
    <t>CÔNG TY TNHH SẢN XUẤT IPC</t>
  </si>
  <si>
    <t>1200000956</t>
  </si>
  <si>
    <t>CÔNG TY TNHH CÔNG NGHIỆP CƠ KHÍ SÀI GÒN</t>
  </si>
  <si>
    <t>1200000957</t>
  </si>
  <si>
    <t>NGƯỜI MUA KHÔNG LẤY HÓA ĐƠN</t>
  </si>
  <si>
    <t>1200000958</t>
  </si>
  <si>
    <t>CÔNG TY TNHH SẢN XUẤT ĐỒ GỖ HOÀNG PHÁT</t>
  </si>
  <si>
    <t>1200000959</t>
  </si>
  <si>
    <t>CÔNG TY TNHH SẢN XUẤT THƯƠNG MẠI DỊCH VỤ GỖ HOÀNG PHÁT</t>
  </si>
  <si>
    <t>1200000960</t>
  </si>
  <si>
    <t>1200000961</t>
  </si>
  <si>
    <t>CÔNG TY TNHH SẢN XUẤT THƯƠNG MẠI DỊCH VỤ GALAXY FURNITURE</t>
  </si>
  <si>
    <t>1200000963</t>
  </si>
  <si>
    <t>CÔNG TY TNHH CƠ KHÍ XÂY DỰNG VIỆT THẮNG</t>
  </si>
  <si>
    <t>1200000964</t>
  </si>
  <si>
    <t>CÔNG TY CỔ PHẦN ĐẦU TƯ - XÂY DỰNG - THƯƠNG MẠI HÀ NAM</t>
  </si>
  <si>
    <t>1200000965</t>
  </si>
  <si>
    <t>CÔNG TY TNHH XÂY DỰNG &amp; THIẾT KẾ KIẾN TRÚC KHẢI NGUYÊN PHÁT</t>
  </si>
  <si>
    <t>1200000966</t>
  </si>
  <si>
    <t>CÔNG TY CỔ PHẦN MOLAGO</t>
  </si>
  <si>
    <t>1200000970</t>
  </si>
  <si>
    <t>CHI NHÁNH CÔNG TY CỔ PHẦN THƯƠNG MẠI VẬT TƯ XÂY DỰNG LÊ THANH</t>
  </si>
  <si>
    <t>1200000972</t>
  </si>
  <si>
    <t>CÔNG TY TNHH XÂY DỰNG VÀ NỘI THẤT CAO CẤP ALLIANCE</t>
  </si>
  <si>
    <t>1200000973</t>
  </si>
  <si>
    <t>CÔNG TY TNHH AN THỊNH FURNITURE</t>
  </si>
  <si>
    <t>1200000975</t>
  </si>
  <si>
    <t>CÔNG TY TNHH XUẤT NHẬP KHẨU PHƯỚC LỘC PHÁT</t>
  </si>
  <si>
    <t>1200000976</t>
  </si>
  <si>
    <t>CÔNG TY TNHH TÚ LÂM VIÊN</t>
  </si>
  <si>
    <t>1200000978</t>
  </si>
  <si>
    <t>XÍ NGHIỆP CHẾ BIẾN SONG MÂY XUẤT KHẨU HÒA HIỆP</t>
  </si>
  <si>
    <t>1200000981</t>
  </si>
  <si>
    <t>CÔNG TY TNHH MỸ NGHỆ ĐẠI XUYÊN</t>
  </si>
  <si>
    <t>1200000982</t>
  </si>
  <si>
    <t>CÔNG TY CỔ PHẦN BAO BÌ PHÚ KHƯƠNG</t>
  </si>
  <si>
    <t>1200000985</t>
  </si>
  <si>
    <t>CÔNG TY TNHH KỸ THƯƠNG THUẬN HIỀN</t>
  </si>
  <si>
    <t>1200000988</t>
  </si>
  <si>
    <t>CÔNG TY TNHH MỘT THÀNH VIÊN MỘC VŨ GIA</t>
  </si>
  <si>
    <t>1200000989</t>
  </si>
  <si>
    <t>CÔNG TY TNHH KODAWOOD</t>
  </si>
  <si>
    <t>1200000990</t>
  </si>
  <si>
    <t>CÔNG TY CỔ PHẦN MỸ PHẨM SÀI GÒN</t>
  </si>
  <si>
    <t>1200000991</t>
  </si>
  <si>
    <t>CÔNG TY TNHH GỖ NHẬT MINH</t>
  </si>
  <si>
    <t>1200000993</t>
  </si>
  <si>
    <t>CÔNG TY TNHH BAO BÌ SAHA DHARAWAT</t>
  </si>
  <si>
    <t>1200000996</t>
  </si>
  <si>
    <t>CÔNG TY TNHH MỸ THUẬT MINH KHÁNH</t>
  </si>
  <si>
    <t>1200000998</t>
  </si>
  <si>
    <t>CÔNG TY TNHH SẢN XUẤT THƯƠNG MẠI THẾ GIỚI NỘI THẤT</t>
  </si>
  <si>
    <t>1200001001</t>
  </si>
  <si>
    <t>CÔNG TY TNHH MAVI CIE</t>
  </si>
  <si>
    <t>1200001002</t>
  </si>
  <si>
    <t>CÔNG TY TNHH MTV HUỲNH MAI HUY</t>
  </si>
  <si>
    <t>1200001005</t>
  </si>
  <si>
    <t>CÔNG TY TNHH ANH SƠN PHÁT</t>
  </si>
  <si>
    <t>1200001006</t>
  </si>
  <si>
    <t>CÔNG TY CỔ PHẦN HAAN</t>
  </si>
  <si>
    <t>1200001007</t>
  </si>
  <si>
    <t>CÔNG TY TNHH SẢN XUẤT ĐỒ GỖ THẾ HIỂN</t>
  </si>
  <si>
    <t>1200001008</t>
  </si>
  <si>
    <t>CÔNG TY TNHH NỘI THẤT MÊ KÔNG</t>
  </si>
  <si>
    <t>1200001009</t>
  </si>
  <si>
    <t>CÔNG TY TNHH TM DV SX TRẦN LÊ</t>
  </si>
  <si>
    <t>1200001010</t>
  </si>
  <si>
    <t>CÔNG TY TNHH WOOD FURNITURE</t>
  </si>
  <si>
    <t>1200001011</t>
  </si>
  <si>
    <t>CÔNG TY CỔ PHẦN ĐÔNG NGÔ MANUFACTURER</t>
  </si>
  <si>
    <t>1200001012</t>
  </si>
  <si>
    <t>CÔNG TY TNHH THƯƠNG MẠI DỊCH VỤ SẢN XUẤT GIA CÔNG GỖ TUẤN PHÁT</t>
  </si>
  <si>
    <t>1200001013</t>
  </si>
  <si>
    <t>CÔNG TY CỔ PHẦN B.U.I FURNITURE</t>
  </si>
  <si>
    <t>1200001014</t>
  </si>
  <si>
    <t>CÔNG TY TNHH TIẾN HƯNG</t>
  </si>
  <si>
    <t>1200001015</t>
  </si>
  <si>
    <t>CÔNG TY CỔ PHẦN XÂY DỰNG THƯƠNG MẠI VÀ TRANG TRÍ NỘI THẤT THÀNH PHÁT</t>
  </si>
  <si>
    <t>1200001018</t>
  </si>
  <si>
    <t>CÔNG TY CỔ PHẦN QUỐC TẾ MERCURIUS</t>
  </si>
  <si>
    <t>1200001019</t>
  </si>
  <si>
    <t>CÔNG TY TNHH MỘT THÀNH VIÊN THUẬN HIỀN</t>
  </si>
  <si>
    <t>1200001020</t>
  </si>
  <si>
    <t>CÔNG TY CỔ PHẦN TƯ VẤN ĐẦU TƯ NỘI THẤT MỘC VIỆT</t>
  </si>
  <si>
    <t>1200001022</t>
  </si>
  <si>
    <t>CÔNG TY TNHH THIẾT KẾ THI CÔNG NỘI THẤT QUỐC SÁNG</t>
  </si>
  <si>
    <t>1200001024</t>
  </si>
  <si>
    <t>CÔNG TY CỔ PHẦN AMAVI DOOR</t>
  </si>
  <si>
    <t>1200001026</t>
  </si>
  <si>
    <t>CÔNG TY CỔ PHẦN SẢN XUẤT THƯƠNG MẠI THIẾT KẾ BÌNH MINH</t>
  </si>
  <si>
    <t>1200001027</t>
  </si>
  <si>
    <t>CÔNG TY TNHH TTK FURNITURE</t>
  </si>
  <si>
    <t>1200001031</t>
  </si>
  <si>
    <t>CÔNG TY CỔ PHẦN XÂY DỰNG VÀ NỘI THẤT AMAVI</t>
  </si>
  <si>
    <t>1200001032</t>
  </si>
  <si>
    <t>CÔNG TY TNHH CTA CORP</t>
  </si>
  <si>
    <t>1200001033</t>
  </si>
  <si>
    <t>CÔNG TY CỔ PHẦN XFACTORY</t>
  </si>
  <si>
    <t>1200001034</t>
  </si>
  <si>
    <t>CÔNG TY CỔ PHẦN SẢN XUẤT THƯƠNG MẠI XÂY DỰNG TRANG TRÍ NỘI THẤT G.S VIỆT NAM</t>
  </si>
  <si>
    <t>1200001035</t>
  </si>
  <si>
    <t>DOANH NGHIỆP TƯ NHÂN TÂN XUÂN ĐA</t>
  </si>
  <si>
    <t>1200001037</t>
  </si>
  <si>
    <t>CÔNG TY TNHH SX &amp; DV KIM MỘC GIA</t>
  </si>
  <si>
    <t>CÔNG TY TNHH PHÚ MỸ THĂNG</t>
  </si>
  <si>
    <t>1200001039</t>
  </si>
  <si>
    <t>CÔNG TY TNHH GỖ TIẾN THUẬN</t>
  </si>
  <si>
    <t>1200001042</t>
  </si>
  <si>
    <t>CÔNG TY TNHH KIẾN TRÚC GỖ BỌC ĐÔ</t>
  </si>
  <si>
    <t>1200001044</t>
  </si>
  <si>
    <t>1200001046</t>
  </si>
  <si>
    <t>CÔNG TY TNHH DOROTHY INDOOR FURNITURE</t>
  </si>
  <si>
    <t>1200001047</t>
  </si>
  <si>
    <t>CÔNG TY TNHH TM DV &amp; SX NỘI THẤT GỖ TÂM VIỆT</t>
  </si>
  <si>
    <t>DOANH NGHIỆP CHẾ XUẤT NITORI VIỆT NAM</t>
  </si>
  <si>
    <t>1200001049</t>
  </si>
  <si>
    <t>CÔNG TY TNHH ĐÔNG DECOR</t>
  </si>
  <si>
    <t>1200001050</t>
  </si>
  <si>
    <t>CÔNG TY TNHH NỘI THẤT THÁI BẢO</t>
  </si>
  <si>
    <t>1200001051</t>
  </si>
  <si>
    <t>CÔNG TY TRÁCH NHIỆM HỮU HẠN VINAWOOD</t>
  </si>
  <si>
    <t>1200001052</t>
  </si>
  <si>
    <t>CÔNG TY TNHH SẢN XUẤT VÀ THƯƠNG MẠI AZ HOSPITALITY</t>
  </si>
  <si>
    <t>1200001053</t>
  </si>
  <si>
    <t>CÔNG TY TNHH DỊCH VỤ THƯƠNG MẠI BỘI NGÂN.BN</t>
  </si>
  <si>
    <t>1200001056</t>
  </si>
  <si>
    <t>CÔNG TY TNHH SẢN XUẤT THƯƠNG MẠI THANH THANH LIÊM</t>
  </si>
  <si>
    <t>1200001057</t>
  </si>
  <si>
    <t>PHAN MINH TUẤN</t>
  </si>
  <si>
    <t>1200001058</t>
  </si>
  <si>
    <t>CÔNG TY TNHH MTV THƯƠNG MẠI SẢN XUẤT MINH THẮNG</t>
  </si>
  <si>
    <t>1200001059</t>
  </si>
  <si>
    <t>CÔNG TY CỔ PHẦN XÂY DỰNG - THƯƠNG MẠI - NỘI THẤT HH</t>
  </si>
  <si>
    <t>1200001060</t>
  </si>
  <si>
    <t>CÔNG TY TNHH XÂY DỰNG - NỘI THẤT TRUNG ĐÔ</t>
  </si>
  <si>
    <t>1200001062</t>
  </si>
  <si>
    <t>CÔNG TY CỔ PHẦN BOHO CORPORATION</t>
  </si>
  <si>
    <t>1200001064</t>
  </si>
  <si>
    <t>CÔNG TY TNHH PHỤ KIỆN NỘI THẤT FURA</t>
  </si>
  <si>
    <t>1200001073</t>
  </si>
  <si>
    <t>CÔNG TY TRÁCH NHIỆM HỮU HẠN HÓA CHẤT WASHIN VIỆT NAM</t>
  </si>
  <si>
    <t>1200001074</t>
  </si>
  <si>
    <t>CÔNG TY TNHH MÔI TRƯỜNG ĐẠI DƯƠNG</t>
  </si>
  <si>
    <t>1200001075</t>
  </si>
  <si>
    <t>CÔNG TY TNHH YADA LE FURNITURE</t>
  </si>
  <si>
    <t>1200001077</t>
  </si>
  <si>
    <t>CÔNG TY TNHH SX TM QUANG TRUNG NGUYÊN</t>
  </si>
  <si>
    <t>1200001080</t>
  </si>
  <si>
    <t>CÔNG TY CỔ PHẦN GỖ TÀI LỘC PHÁT</t>
  </si>
  <si>
    <t>1200001081</t>
  </si>
  <si>
    <t>CÔNG TY TNHH THỦ CÔNG MỸ NGHỆ DIỄM TRANG</t>
  </si>
  <si>
    <t>1200001082</t>
  </si>
  <si>
    <t>CÔNG TY TNHH SẢN XUẤT VÀ THƯƠNG MẠI HKM</t>
  </si>
  <si>
    <t>1200001087</t>
  </si>
  <si>
    <t>CÔNG TY TNHH SX-TM SÀI GÒN RIVER VIỆT NAM</t>
  </si>
  <si>
    <t>1200001088</t>
  </si>
  <si>
    <t>CÔNG TY TNHH LEGNOLUCE VIỆT NAM</t>
  </si>
  <si>
    <t>1200001090</t>
  </si>
  <si>
    <t>CÔNG TY CỔ PHẦN TRANG TRÍ NỘI THẤT SEN</t>
  </si>
  <si>
    <t>1200001093</t>
  </si>
  <si>
    <t>CÔNG TY TNHH THIẾT KẾ VÀ SẢN XUẤT NỘI THẤT HẢI ĐĂNG</t>
  </si>
  <si>
    <t>1200001094</t>
  </si>
  <si>
    <t>CÔNG TY TNHH TM SẢN XUẤT XNK NỘI THẤT MCS</t>
  </si>
  <si>
    <t>1200001096</t>
  </si>
  <si>
    <t>CÔNG TY TNHH TRANG TRÍ NỘI THẤT HTC</t>
  </si>
  <si>
    <t>1200001100</t>
  </si>
  <si>
    <t>CÔNG TY TNHH D-FURNITURE</t>
  </si>
  <si>
    <t>1200001101</t>
  </si>
  <si>
    <t>CÔNG TY TNHH SX TM DV TRƯỜNG GIANG</t>
  </si>
  <si>
    <t>1200001102</t>
  </si>
  <si>
    <t>NGUYỄN TRƯỜNG GIANG</t>
  </si>
  <si>
    <t>1200001104</t>
  </si>
  <si>
    <t>CÔNG TY CỔ PHẦN ARTEX ĐỒNG THÁP</t>
  </si>
  <si>
    <t>1200001106</t>
  </si>
  <si>
    <t>CÔNG TY TNHH THƯƠNG MẠI HƯNG LỢI PHÁT</t>
  </si>
  <si>
    <t>1200001107</t>
  </si>
  <si>
    <t>CÔNG TY TNHH SX TM DV KIM HƯƠNG</t>
  </si>
  <si>
    <t>1200001110</t>
  </si>
  <si>
    <t>CÔNG TY TNHH SẢN XUẤT THƯƠNG MẠI VÀ XÂY DỰNG THIÊN PHÁT</t>
  </si>
  <si>
    <t>1200001114</t>
  </si>
  <si>
    <t>CÔNG TY TNHH SẢN XUẤT THƯƠNG MẠI TUÝP NHÔM THUẬN QUÂN</t>
  </si>
  <si>
    <t>1200001115</t>
  </si>
  <si>
    <t>CÔNG TY TNHH TRẦN GIA CƯỜNG</t>
  </si>
  <si>
    <t>1200001116</t>
  </si>
  <si>
    <t>CÔNG TY TNHH NỘI THẤT MINH ÂN</t>
  </si>
  <si>
    <t>1200001120</t>
  </si>
  <si>
    <t>CÔNG TY TNHH TRANSFORMER ROBOTICS PTE</t>
  </si>
  <si>
    <t>1200001121</t>
  </si>
  <si>
    <t>CÔNG TY TNHH OHAHA VIỆT NAM</t>
  </si>
  <si>
    <t>1200001124</t>
  </si>
  <si>
    <t>CÔNG TY TNHH MTV HOÀNG MINH TUẤN</t>
  </si>
  <si>
    <t>1200001128</t>
  </si>
  <si>
    <t>CÔNG TY TRÁCH NHIỆM HỮU HẠN MỘT THÀNH VIÊN SẢN XUẤT THƯƠNG MẠI NỘI THẤT TIẾN DŨNG PHÁT</t>
  </si>
  <si>
    <t>1200001129</t>
  </si>
  <si>
    <t>CÔNG TY CỔ PHẦN XÂY DỰNG CƠ ĐIỆN BTH GROUP</t>
  </si>
  <si>
    <t>1200001131</t>
  </si>
  <si>
    <t>CÔNG TY CỔ PHẦN THIỆT BỊ CÔNG NGHỆ TRỌNG TÍN</t>
  </si>
  <si>
    <t>1200001133</t>
  </si>
  <si>
    <t>CÔNG TY TNHH KIM THƯ FURNITURE</t>
  </si>
  <si>
    <t>1200001134</t>
  </si>
  <si>
    <t>CÔNG TY TNHH CHẾ BIẾN GỖ WOODHOME</t>
  </si>
  <si>
    <t>1200001135</t>
  </si>
  <si>
    <t>CÔNG TY TNHH SẢN XUẤT VÀ THƯƠNG MẠI VIỆT PHÁT MỘC</t>
  </si>
  <si>
    <t>1200001136</t>
  </si>
  <si>
    <t>CÔNG TY TNHH NỘI THẤT TÂM CASA</t>
  </si>
  <si>
    <t>1200001137</t>
  </si>
  <si>
    <t>CÔNG TY TNHH SẢN XUẤT &amp; DỊCH VỤ BEST GOODS</t>
  </si>
  <si>
    <t>1200001138</t>
  </si>
  <si>
    <t>CÔNG TY CỔ PHẦN I-STAR ANIMATRONIC</t>
  </si>
  <si>
    <t>1200001140</t>
  </si>
  <si>
    <t>CÔNG TY TNHH SX – TM NHÂN TUẤN NHÂN – CHI NHÁNH BÌNH DƯƠNG</t>
  </si>
  <si>
    <t>1200001148</t>
  </si>
  <si>
    <t>CÔNG TY TNHH THƯƠNG MẠI DỊCH VỤ THIẾT KẾ AN PHÚ THỊNH</t>
  </si>
  <si>
    <t>1200001149</t>
  </si>
  <si>
    <t>CÔNG TY TNHH MINH PHÁT 2</t>
  </si>
  <si>
    <t>1200001152</t>
  </si>
  <si>
    <t>ÂU DƯƠNG THIÊN NGA</t>
  </si>
  <si>
    <t>1200001154</t>
  </si>
  <si>
    <t>CÔNG TY CỔ PHẦN SKS FURNISHINGS VIỆT NAM</t>
  </si>
  <si>
    <t>1200001160</t>
  </si>
  <si>
    <t>CÔNG TY TNHH XÂY DỰNG CƠ KHÍ KIẾN ĐẠT</t>
  </si>
  <si>
    <t>1200001162</t>
  </si>
  <si>
    <t>CÔNG TY TNHH SẢN XUẤT &amp; THƯƠNG MẠI DỊCH VỤ ASIANFURNI VIỆT NAM</t>
  </si>
  <si>
    <t>1200001163</t>
  </si>
  <si>
    <t>CÔNG TY TNHH SẢN XUẤT THƯƠNG MẠI NỘI THẤT STAR</t>
  </si>
  <si>
    <t>1200001168</t>
  </si>
  <si>
    <t>NGUYỄN VĂN XUYÊN</t>
  </si>
  <si>
    <t>1200001169</t>
  </si>
  <si>
    <t>1200001170</t>
  </si>
  <si>
    <t>CÔNG TY TNHH MTV NHƯ ANH PHÁT</t>
  </si>
  <si>
    <t>1200001173</t>
  </si>
  <si>
    <t>CÔNG TY TNHH MỘT THÀNH VIÊN SẢN XUẤT THƯƠNG MẠI DỊCH VỤ K.C.S</t>
  </si>
  <si>
    <t>1200001174</t>
  </si>
  <si>
    <t>CÔNG TY CỔ PHẦN THƯƠNG MẠI PT PHÚC THỊNH</t>
  </si>
  <si>
    <t>1200001175</t>
  </si>
  <si>
    <t>CÔNG TY TNHH SẢN XUẤT THƯƠNG MẠI DIHAFO – CHI NHÁNH BÌNH DƯƠNG</t>
  </si>
  <si>
    <t>1200001177</t>
  </si>
  <si>
    <t>CÔNG TY TNHH NỘI THẤT KIM PHÁT</t>
  </si>
  <si>
    <t>1200001178</t>
  </si>
  <si>
    <t>CÔNG TY TNHH NỘI THẤT HƯNG THỊNH PHÁT</t>
  </si>
  <si>
    <t>1200001180</t>
  </si>
  <si>
    <t>CÔNG TY TNHH MỘT THÀNH VIÊN VITANA</t>
  </si>
  <si>
    <t>1200001181</t>
  </si>
  <si>
    <t>CÔNG TY TNHH MINH THÀNH</t>
  </si>
  <si>
    <t>1200001184</t>
  </si>
  <si>
    <t>CÔNG TY CỔ PHẦN DNG FURNITURE</t>
  </si>
  <si>
    <t>1200001186</t>
  </si>
  <si>
    <t>CÔNG TY TNHH ĐỒ GỖ NỘI THẤT THÁI DƯƠNG</t>
  </si>
  <si>
    <t>1200001187</t>
  </si>
  <si>
    <t>CÔNG TY TNHH MỘT THÀNH VIÊN TMDV SX NAM PHÁT</t>
  </si>
  <si>
    <t>1200001188</t>
  </si>
  <si>
    <t>CÔNG TY TNHH HƯNG GIA THỊNH FURNITURE</t>
  </si>
  <si>
    <t>1200001190</t>
  </si>
  <si>
    <t>CÔNG TY TNHH GỖ ĐIỀN TUẤN PHÁT</t>
  </si>
  <si>
    <t>1200001194</t>
  </si>
  <si>
    <t>CHI NHÁNH 2 – CÔNG TY TNHH IMITI</t>
  </si>
  <si>
    <t>1200001198</t>
  </si>
  <si>
    <t>CÔNG TY TNHH NHÀ BẾP OMAN VIỆT NAM</t>
  </si>
  <si>
    <t>1200001200</t>
  </si>
  <si>
    <t>CÔNG TY CỔ PHẦN THIẾT KẾ VÀ SẢN XUẤT NỘI THẤT DE LINE</t>
  </si>
  <si>
    <t>1200001202</t>
  </si>
  <si>
    <t>CÔNG TY TNHH BAO BÌ KIM LOẠI HÀO DƯƠNG</t>
  </si>
  <si>
    <t>1200001203</t>
  </si>
  <si>
    <t>CÔNG TY TNHH SẢN XUẤT NỘI THẤT ĐỒNG TÂM</t>
  </si>
  <si>
    <t>1200001204</t>
  </si>
  <si>
    <t>CÔNG TY TNHH HOÀN CẦU FURNITURE</t>
  </si>
  <si>
    <t>1200001205</t>
  </si>
  <si>
    <t>CÔNG TY CỔ PHẦN KINH DOANH VIỆT STAR</t>
  </si>
  <si>
    <t>1200001206</t>
  </si>
  <si>
    <t>CÔNG TY TNHH SX TM &amp; DV CSZ-OCEAN</t>
  </si>
  <si>
    <t>Short Name</t>
  </si>
  <si>
    <t>Sold-to</t>
  </si>
  <si>
    <t>Name of Sold-to</t>
  </si>
  <si>
    <t>Material</t>
  </si>
  <si>
    <t>Description</t>
  </si>
  <si>
    <t>Price</t>
  </si>
  <si>
    <t>100000497</t>
  </si>
  <si>
    <t>PUL-51339 CLEAR 10 VN-20LP</t>
  </si>
  <si>
    <t>100000884</t>
  </si>
  <si>
    <t>THPU-71306 ST VN-20LJ</t>
  </si>
  <si>
    <t>100002436</t>
  </si>
  <si>
    <t>PUH-56135 S VN-20KP</t>
  </si>
  <si>
    <t>100002438</t>
  </si>
  <si>
    <t>PUH-56139 VN-20KP</t>
  </si>
  <si>
    <t>100002527</t>
  </si>
  <si>
    <t>PUSS-51235 VN-20KP</t>
  </si>
  <si>
    <t>100006629</t>
  </si>
  <si>
    <t>PUL-51339 SR CLEAR 10 VN-18KP</t>
  </si>
  <si>
    <t>100000109</t>
  </si>
  <si>
    <t>GZPU-21500 RU BASE VN-18KP</t>
  </si>
  <si>
    <t>100000122</t>
  </si>
  <si>
    <t>MEP-12003 BROWN KI VN-18KP</t>
  </si>
  <si>
    <t>100000123</t>
  </si>
  <si>
    <t>MEP-12003 CLEAR BASE VN-18KP</t>
  </si>
  <si>
    <t>100000124</t>
  </si>
  <si>
    <t>MEP-12003 GREY VN-18KP</t>
  </si>
  <si>
    <t>100000210</t>
  </si>
  <si>
    <t>PCA-31100 BLACK PASTE VN-4K</t>
  </si>
  <si>
    <t>100000273</t>
  </si>
  <si>
    <t>PCA-31100 WHITE PASTE VN-4K</t>
  </si>
  <si>
    <t>100000288</t>
  </si>
  <si>
    <t>PCL-31300 BLACK PASTE-4K</t>
  </si>
  <si>
    <t>100000290</t>
  </si>
  <si>
    <t>PCL-31300 BLUE OG PASTE-4K</t>
  </si>
  <si>
    <t>100000292</t>
  </si>
  <si>
    <t>PCL-31300 BLUE OR 50 PASTE-4K</t>
  </si>
  <si>
    <t>100000295</t>
  </si>
  <si>
    <t>PCL-31300 BROWN PASTE VN-4K</t>
  </si>
  <si>
    <t>100000305</t>
  </si>
  <si>
    <t>PCL-31300 RED OB 35 PASTE-4K</t>
  </si>
  <si>
    <t>100000323</t>
  </si>
  <si>
    <t>PCL-31300 WHITE PASTE-4K</t>
  </si>
  <si>
    <t>100000325</t>
  </si>
  <si>
    <t>PCL-31300 YELLOW OG 16 PASTE-4K</t>
  </si>
  <si>
    <t>100000326</t>
  </si>
  <si>
    <t>PCL-31300 YELLOW OKER PASTE-4K</t>
  </si>
  <si>
    <t>100000355</t>
  </si>
  <si>
    <t>PG-13900 WHITE 01 VN-20KP</t>
  </si>
  <si>
    <t>100000494</t>
  </si>
  <si>
    <t>PUH-56306 LY VN-20LP</t>
  </si>
  <si>
    <t>100000514</t>
  </si>
  <si>
    <t>PUL-53306 AC EX CLEAR 20 VN-20LP</t>
  </si>
  <si>
    <t>100000517</t>
  </si>
  <si>
    <t>PUL-53306 AC EX CLEAR 50 VN-20LP</t>
  </si>
  <si>
    <t>100000519</t>
  </si>
  <si>
    <t>PUL-53306 AC EX CLEAR 90 VN-20LP</t>
  </si>
  <si>
    <t>100000560</t>
  </si>
  <si>
    <t>PUSS-53206 AC EX VN-20KP</t>
  </si>
  <si>
    <t>100000634</t>
  </si>
  <si>
    <t>SST-11100 C10 BLACK-4K</t>
  </si>
  <si>
    <t>100000635</t>
  </si>
  <si>
    <t>SST-11100 C10 BLUE-4K</t>
  </si>
  <si>
    <t>100000636</t>
  </si>
  <si>
    <t>SST-11100 C10 ORANGE-4K</t>
  </si>
  <si>
    <t>100000637</t>
  </si>
  <si>
    <t>SST-11100 C10 RED-4K</t>
  </si>
  <si>
    <t>100000638</t>
  </si>
  <si>
    <t>SST-11100 C10 YELLOW-4K</t>
  </si>
  <si>
    <t>100000843</t>
  </si>
  <si>
    <t>THC-73100 201 VN-200LK</t>
  </si>
  <si>
    <t>100000857</t>
  </si>
  <si>
    <t>THC-73100-201 VN-20LJ</t>
  </si>
  <si>
    <t>100000867</t>
  </si>
  <si>
    <t>THC-73100-552 VN-18KJ</t>
  </si>
  <si>
    <t>100000870</t>
  </si>
  <si>
    <t>THGZ-72200 PU VN-20LJ</t>
  </si>
  <si>
    <t>100000872</t>
  </si>
  <si>
    <t>THGZ-72200 VN-20LJ</t>
  </si>
  <si>
    <t>100000877</t>
  </si>
  <si>
    <t>THNC-71100 SD VN-200LK</t>
  </si>
  <si>
    <t>100000883</t>
  </si>
  <si>
    <t>THPU-71306 ST VN-200LK</t>
  </si>
  <si>
    <t>100000894</t>
  </si>
  <si>
    <t>TOL-76114 W VN-20LJ</t>
  </si>
  <si>
    <t>100001913</t>
  </si>
  <si>
    <t>UVX-03300 VN-5K</t>
  </si>
  <si>
    <t>100002039</t>
  </si>
  <si>
    <t>MEPH-12003 PS VN-2K</t>
  </si>
  <si>
    <t>100002042</t>
  </si>
  <si>
    <t>MPULH-13700 PS VN-4K</t>
  </si>
  <si>
    <t>100002043</t>
  </si>
  <si>
    <t>SPE-9110 CRACKING VN-4L</t>
  </si>
  <si>
    <t>100002127</t>
  </si>
  <si>
    <t>MEP-12003 BLACK VN-18KP</t>
  </si>
  <si>
    <t>100002292</t>
  </si>
  <si>
    <t>DC-12223 LC WHITE 01 05 VN-18KP</t>
  </si>
  <si>
    <t>100002329</t>
  </si>
  <si>
    <t>DP-12123 LC WHITE 01 VN-20KP</t>
  </si>
  <si>
    <t>100002353</t>
  </si>
  <si>
    <t>NCL-11329 LC CLEAR 05 VN-20LP</t>
  </si>
  <si>
    <t>100002354</t>
  </si>
  <si>
    <t>NCL-11329 LC CLEAR 10 VN-20LP</t>
  </si>
  <si>
    <t>100002355</t>
  </si>
  <si>
    <t>NCL-11329 LC CLEAR 20 VN-20LP</t>
  </si>
  <si>
    <t>100002356</t>
  </si>
  <si>
    <t>NCL-11329 LC CLEAR 30 VN-20LP</t>
  </si>
  <si>
    <t>100002357</t>
  </si>
  <si>
    <t>NCL-11329 LC CLEAR 40 VN-20LP</t>
  </si>
  <si>
    <t>100002358</t>
  </si>
  <si>
    <t>NCL-11329 LC CLEAR 50 VN-20LP</t>
  </si>
  <si>
    <t>100002367</t>
  </si>
  <si>
    <t>NCSS-11229 LC VN-20LP</t>
  </si>
  <si>
    <t>100002372</t>
  </si>
  <si>
    <t>PSV-76000 SB HC MY VN-20LJ</t>
  </si>
  <si>
    <t>100002450</t>
  </si>
  <si>
    <t>PUL-51335 CLEAR 10 VN-20KP</t>
  </si>
  <si>
    <t>100002451</t>
  </si>
  <si>
    <t>PUL-51335 CLEAR 20 VN-20KP</t>
  </si>
  <si>
    <t>100002452</t>
  </si>
  <si>
    <t>PUL-51335 CLEAR 30 VN-20KP</t>
  </si>
  <si>
    <t>100002453</t>
  </si>
  <si>
    <t>PUL-51335 CLEAR 40 VN-18KP</t>
  </si>
  <si>
    <t>100002454</t>
  </si>
  <si>
    <t>PUL-51335 CLEAR 50 VN-20KP</t>
  </si>
  <si>
    <t>100002455</t>
  </si>
  <si>
    <t>PUL-51335 CLEAR 90 AA VN-20LP</t>
  </si>
  <si>
    <t>100002486</t>
  </si>
  <si>
    <t>PUP-52135 BLACK VN-20KP</t>
  </si>
  <si>
    <t>100002498</t>
  </si>
  <si>
    <t>PUP-52135 WHITE VN-200KB</t>
  </si>
  <si>
    <t>100002499</t>
  </si>
  <si>
    <t>PUP-52135 WHITE VN-20KP</t>
  </si>
  <si>
    <t>100002526</t>
  </si>
  <si>
    <t>PUSS-51235 VN-200KB</t>
  </si>
  <si>
    <t>100002533</t>
  </si>
  <si>
    <t>RD-74106 VN-20LJ</t>
  </si>
  <si>
    <t>100002619</t>
  </si>
  <si>
    <t>PUP-52122 PUTTY VN-4K</t>
  </si>
  <si>
    <t>100002620</t>
  </si>
  <si>
    <t>GZPU-21500 BLACK VN-4K</t>
  </si>
  <si>
    <t>100002621</t>
  </si>
  <si>
    <t>GZPU-21500 BROWN VN-4K</t>
  </si>
  <si>
    <t>100002622</t>
  </si>
  <si>
    <t>GZ-12700 N BLACK VN-4K</t>
  </si>
  <si>
    <t>100002623</t>
  </si>
  <si>
    <t>GZ-12700 N RED VN-4K</t>
  </si>
  <si>
    <t>100002624</t>
  </si>
  <si>
    <t>GZ-12700 N YELLOW-4K</t>
  </si>
  <si>
    <t>100002626</t>
  </si>
  <si>
    <t>GZPU-21500 RED VN-4K</t>
  </si>
  <si>
    <t>100002627</t>
  </si>
  <si>
    <t>GZPU-21500 YELLOW VN-4K</t>
  </si>
  <si>
    <t>100002955</t>
  </si>
  <si>
    <t>PCL-31300 RED 31701 PASTE-4K</t>
  </si>
  <si>
    <t>100003334</t>
  </si>
  <si>
    <t>PCL-31300 YELLOW 170 HR PASTE-4K</t>
  </si>
  <si>
    <t>100003494</t>
  </si>
  <si>
    <t>GZPU-21500 WHITE VN-4K</t>
  </si>
  <si>
    <t>100003552</t>
  </si>
  <si>
    <t>THC-73100 102 VN-20LJ</t>
  </si>
  <si>
    <t>100004093</t>
  </si>
  <si>
    <t>MPUL-13700 90 VN-16KP</t>
  </si>
  <si>
    <t>100004589</t>
  </si>
  <si>
    <t>DP-12129 LC BLACK VN-20KP</t>
  </si>
  <si>
    <t>100004650</t>
  </si>
  <si>
    <t>PUL-53306 AC EX CLEAR 10 AA VN-20LP</t>
  </si>
  <si>
    <t>100004669</t>
  </si>
  <si>
    <t>NCL-11329 LC CLEAR 80 VN-20LP</t>
  </si>
  <si>
    <t>100004908</t>
  </si>
  <si>
    <t>SST-11100 BROWN AA VN-4K</t>
  </si>
  <si>
    <t>100005192</t>
  </si>
  <si>
    <t>WFPU-51000 VN-20KP</t>
  </si>
  <si>
    <t>100005566</t>
  </si>
  <si>
    <t>MEP-12003 HC VN-18KP</t>
  </si>
  <si>
    <t>100005610</t>
  </si>
  <si>
    <t>NCL-11329 LC CLEAR 03 VN-18KP</t>
  </si>
  <si>
    <t>100000564</t>
  </si>
  <si>
    <t>RD-74103 VN-20LJ</t>
  </si>
  <si>
    <t>100005132</t>
  </si>
  <si>
    <t>PRCC-20401 EECV-200KK</t>
  </si>
  <si>
    <t>100005133</t>
  </si>
  <si>
    <t>PRCC-10356 WBC NEW 54-250KK</t>
  </si>
  <si>
    <t>100005292</t>
  </si>
  <si>
    <t>PRCC-20324 POLYESTER VARNISH-200KK</t>
  </si>
  <si>
    <t>100005378</t>
  </si>
  <si>
    <t>PRCC-20616 EPOXY SIZE CHEN LAIN-180KK</t>
  </si>
  <si>
    <t>100005379</t>
  </si>
  <si>
    <t>PRCC-10358 WBC POLYESTER PWC 3823-250KK</t>
  </si>
  <si>
    <t>100005488</t>
  </si>
  <si>
    <t>PRCC-40114 GL 1398 VN-180KK</t>
  </si>
  <si>
    <t>100005683</t>
  </si>
  <si>
    <t>PRCC-40233 GOLD LACQUER SDW VN-180KK</t>
  </si>
  <si>
    <t>100005746</t>
  </si>
  <si>
    <t>PRCC-20310 POLYESTER VARNISH II VN-200KK</t>
  </si>
  <si>
    <t>100005756</t>
  </si>
  <si>
    <t>PRCC-20324 POLYESTER CN VARNISH VN-200KK</t>
  </si>
  <si>
    <t>100005806</t>
  </si>
  <si>
    <t>PRCC-40102 HV CLEAR LACQUER CL VN-200KK</t>
  </si>
  <si>
    <t>100005940</t>
  </si>
  <si>
    <t>MPUL-13700 CL VN-16KP</t>
  </si>
  <si>
    <t>100006306</t>
  </si>
  <si>
    <t>PRCC-40102 HV GOLD YANKEE CT VN-20KP</t>
  </si>
  <si>
    <t>100006307</t>
  </si>
  <si>
    <t>PRCC-40102 HV GOLD YANKEE CT VN-200KK</t>
  </si>
  <si>
    <t>100006572</t>
  </si>
  <si>
    <t>PRCC-40102 HV GOLD T350 CT VN-200KK</t>
  </si>
  <si>
    <t>100006605</t>
  </si>
  <si>
    <t>PRCC-20401 EECV MOULTRIE CT VN-200KK</t>
  </si>
  <si>
    <t>100000211</t>
  </si>
  <si>
    <t>PCA-31100 BLUE OG PASTE VN-4K</t>
  </si>
  <si>
    <t>100000235</t>
  </si>
  <si>
    <t>PCA-31100 OXIDE RED PASTE VN-4K</t>
  </si>
  <si>
    <t>100000236</t>
  </si>
  <si>
    <t>PCA-31100 RED OB 35 PASTE VN-4K</t>
  </si>
  <si>
    <t>100000275</t>
  </si>
  <si>
    <t>PCA-31100 YELLOW HR PASTE VN-4K</t>
  </si>
  <si>
    <t>100000277</t>
  </si>
  <si>
    <t>PCA-31100 YELLOW OKER PASTE VN-4K</t>
  </si>
  <si>
    <t>100000303</t>
  </si>
  <si>
    <t>PCL-31300 OXIDE RED PASTE-4K</t>
  </si>
  <si>
    <t>100000308</t>
  </si>
  <si>
    <t>PCL-31300 RED PINK PASTE-4K</t>
  </si>
  <si>
    <t>100000322</t>
  </si>
  <si>
    <t>PCL-31300 VIOLET PASTE-4K</t>
  </si>
  <si>
    <t>100000376</t>
  </si>
  <si>
    <t>PUC-54205 AC WHITE 90 VN-20KP</t>
  </si>
  <si>
    <t>100000443</t>
  </si>
  <si>
    <t>PUC-54205 AC WHITE 10 VN-20KP</t>
  </si>
  <si>
    <t>100000444</t>
  </si>
  <si>
    <t>PUC-54205 AC WHITE 20 VN-20KP</t>
  </si>
  <si>
    <t>100000447</t>
  </si>
  <si>
    <t>PUC-54205 AC WHITE 30 VN-20KP</t>
  </si>
  <si>
    <t>100000464</t>
  </si>
  <si>
    <t>PUC-54206 AC EX BLACK 90 VN-18KP</t>
  </si>
  <si>
    <t>100000512</t>
  </si>
  <si>
    <t>PUL-53306 AC EX CLEAR 10 VN-20LP</t>
  </si>
  <si>
    <t>100000845</t>
  </si>
  <si>
    <t>THC-73100 402 VN-200LK</t>
  </si>
  <si>
    <t>100000848</t>
  </si>
  <si>
    <t>THC-73100-007 VN-200LK</t>
  </si>
  <si>
    <t>100000849</t>
  </si>
  <si>
    <t>THC-73100-007 VN-20LJ</t>
  </si>
  <si>
    <t>100001936</t>
  </si>
  <si>
    <t>PP-98100 PEARL 111 VN-1K</t>
  </si>
  <si>
    <t>100002434</t>
  </si>
  <si>
    <t>PUH-56133 S VN-20KP</t>
  </si>
  <si>
    <t>100002446</t>
  </si>
  <si>
    <t>PUL-51333 CLEAR 10 VN-20KP</t>
  </si>
  <si>
    <t>100002456</t>
  </si>
  <si>
    <t>PUL-51335 CLEAR 90 VN-20KP</t>
  </si>
  <si>
    <t>100002524</t>
  </si>
  <si>
    <t>PUSS-51233 VN-20KP</t>
  </si>
  <si>
    <t>100003165</t>
  </si>
  <si>
    <t>AP-98200 1201 VN-1K</t>
  </si>
  <si>
    <t>100003546</t>
  </si>
  <si>
    <t>THC-73100 102 VN-200LK</t>
  </si>
  <si>
    <t>100003668</t>
  </si>
  <si>
    <t>WBL-61204 CLEAR 20 VN-20KP</t>
  </si>
  <si>
    <t>100003728</t>
  </si>
  <si>
    <t>WBSS-61104 VN-20KP</t>
  </si>
  <si>
    <t>100005189</t>
  </si>
  <si>
    <t>THPU-71306 WP LC VN-20LJ</t>
  </si>
  <si>
    <t>100005230</t>
  </si>
  <si>
    <t>PS-15100 BASE VN-20LJ</t>
  </si>
  <si>
    <t>100005680</t>
  </si>
  <si>
    <t>WBST-13100 C10 BLUE-4K</t>
  </si>
  <si>
    <t>100005888</t>
  </si>
  <si>
    <t>PCWB-31600 WHITE 02196 PASTE VN-4K</t>
  </si>
  <si>
    <t>100005949</t>
  </si>
  <si>
    <t>WBST-13100 BLACK VN-4K</t>
  </si>
  <si>
    <t>100005950</t>
  </si>
  <si>
    <t>WBST-13100 RED VN-4K</t>
  </si>
  <si>
    <t>100005951</t>
  </si>
  <si>
    <t>WBST-13100 YELLOW VN-4K</t>
  </si>
  <si>
    <t>100006094</t>
  </si>
  <si>
    <t>WBST-13100 BLUE VN-4K</t>
  </si>
  <si>
    <t>100006189</t>
  </si>
  <si>
    <t>PUC-54205 AC WHITE 14 10 BOH VN-20KP</t>
  </si>
  <si>
    <t>100006295</t>
  </si>
  <si>
    <t>PUC-54205 AC GREY 26 08 BOH VN-20KP</t>
  </si>
  <si>
    <t>100006463</t>
  </si>
  <si>
    <t>PUP-52135 RED 52 BOH VN-20KP</t>
  </si>
  <si>
    <t>100006464</t>
  </si>
  <si>
    <t>PUC-54206 AC EX RED 52 30 BOH VN-18KP</t>
  </si>
  <si>
    <t>100006535</t>
  </si>
  <si>
    <t>PUC-54205 AC CREAM 66 70 BOH VN-20KP</t>
  </si>
  <si>
    <t>100006536</t>
  </si>
  <si>
    <t>PUC-54206 AC EX BROWN67 10 BOH VN-18KP</t>
  </si>
  <si>
    <t>100006566</t>
  </si>
  <si>
    <t>PCL-31300 BLUE OR 50 PASTE VN-4K</t>
  </si>
  <si>
    <t>100006606</t>
  </si>
  <si>
    <t>PUC-54205 AC WHITE 43 10 BOH VN-20KP</t>
  </si>
  <si>
    <t>100005386</t>
  </si>
  <si>
    <t>WBL-61202 CLEAR 20 VN-20KP</t>
  </si>
  <si>
    <t>100006667</t>
  </si>
  <si>
    <t>PS-15100 BASE VN-16KJ</t>
  </si>
  <si>
    <t>100000158</t>
  </si>
  <si>
    <t>NBC-34500 CREAM 01 PT VN-20KP</t>
  </si>
  <si>
    <t>100000001</t>
  </si>
  <si>
    <t>11-26 WIPPING THINNER LC VN-20LJ</t>
  </si>
  <si>
    <t>100000067</t>
  </si>
  <si>
    <t>64-56 MICRO FILLER VN-20KP</t>
  </si>
  <si>
    <t>100000100</t>
  </si>
  <si>
    <t>GZPU-21500 BLACK VN-18KP</t>
  </si>
  <si>
    <t>100000212</t>
  </si>
  <si>
    <t>PCA-31100 BLUE OR 50 PASTE VN-4K</t>
  </si>
  <si>
    <t>100000276</t>
  </si>
  <si>
    <t>PCA-31100 YELLOW OG 16 PASTE VN-4K</t>
  </si>
  <si>
    <t>100000448</t>
  </si>
  <si>
    <t>PUC-54205 AC WHITE 50 VN-20KP</t>
  </si>
  <si>
    <t>100000449</t>
  </si>
  <si>
    <t>PUC-54205 AC WHITE 70 VN-20KP</t>
  </si>
  <si>
    <t>100000515</t>
  </si>
  <si>
    <t>PUL-53306 AC EX CLEAR 30 VN-20LP</t>
  </si>
  <si>
    <t>100000532</t>
  </si>
  <si>
    <t>PUP-52141 WHITE 01 VN-20KP</t>
  </si>
  <si>
    <t>100000557</t>
  </si>
  <si>
    <t>PUSS-51241 VN-20KP</t>
  </si>
  <si>
    <t>100000561</t>
  </si>
  <si>
    <t>PUSS-53206 AC EX VN-200KB</t>
  </si>
  <si>
    <t>100000878</t>
  </si>
  <si>
    <t>THNC-71100 SD VN-20LJ</t>
  </si>
  <si>
    <t>100001933</t>
  </si>
  <si>
    <t>AP-98200 NLT 01 VN-1K</t>
  </si>
  <si>
    <t>100001939</t>
  </si>
  <si>
    <t>AP-98200 SILVER 2107 VN-1K</t>
  </si>
  <si>
    <t>100002629</t>
  </si>
  <si>
    <t>SST-11100 C10 RED-16KJ</t>
  </si>
  <si>
    <t>100002630</t>
  </si>
  <si>
    <t>SST-11100 C10 BLACK-16KJ</t>
  </si>
  <si>
    <t>100002631</t>
  </si>
  <si>
    <t>SST-11100 C10 BLUE-16KJ</t>
  </si>
  <si>
    <t>100004363</t>
  </si>
  <si>
    <t>NCL-11301 AC CLEAR 10 VN-20LP</t>
  </si>
  <si>
    <t>100004513</t>
  </si>
  <si>
    <t>PUH-56141 VN-20KP</t>
  </si>
  <si>
    <t>100004640</t>
  </si>
  <si>
    <t>GP-98000 GREENISH-1K</t>
  </si>
  <si>
    <t>100004775</t>
  </si>
  <si>
    <t>PP-98100 PEARL 13 VN-1K</t>
  </si>
  <si>
    <t>100005278</t>
  </si>
  <si>
    <t>NCSS-11230 NG VN-18KP</t>
  </si>
  <si>
    <t>100005285</t>
  </si>
  <si>
    <t>AP-98200 PEARL 01 PHALE VN-1K</t>
  </si>
  <si>
    <t>100005286</t>
  </si>
  <si>
    <t>AP-98200 PEARL 01 PHALE VN-4K</t>
  </si>
  <si>
    <t>100005293</t>
  </si>
  <si>
    <t>PUL-53306 AC EX CLEAR 20 DN VN-20LP</t>
  </si>
  <si>
    <t>100005309</t>
  </si>
  <si>
    <t>DP-12130 WHITE VN-18KP</t>
  </si>
  <si>
    <t>100005785</t>
  </si>
  <si>
    <t>PCL-31300 VIOLET PASTE AF VN-4K</t>
  </si>
  <si>
    <t>100005941</t>
  </si>
  <si>
    <t>PUP-52141 WHITE BL VN-20KP</t>
  </si>
  <si>
    <t>100006388</t>
  </si>
  <si>
    <t>PUL-53306 AC EX SUPER MATT VN-18KP</t>
  </si>
  <si>
    <t>100000014</t>
  </si>
  <si>
    <t>64-56 MICRO FILLER 28 F1 VN-20KP</t>
  </si>
  <si>
    <t>100000223</t>
  </si>
  <si>
    <t>PCA-31100 GREEN OB PASTE VN-4K</t>
  </si>
  <si>
    <t>100000279</t>
  </si>
  <si>
    <t>PCA-31102 BLACK OB PASTE-4K</t>
  </si>
  <si>
    <t>100000280</t>
  </si>
  <si>
    <t>PCA-31102 OXIDE RED 45 PASTE-4K</t>
  </si>
  <si>
    <t>100000282</t>
  </si>
  <si>
    <t>PCA-31102 YELLOW OKER 13 PASTE-4K</t>
  </si>
  <si>
    <t>100000283</t>
  </si>
  <si>
    <t>PCA-31102 YELLOW OR 10 PASTE-4K</t>
  </si>
  <si>
    <t>100000327</t>
  </si>
  <si>
    <t>PCU-31400 WHITE PASTE-4K</t>
  </si>
  <si>
    <t>100000370</t>
  </si>
  <si>
    <t>PST-12100 C10 RED-4K</t>
  </si>
  <si>
    <t>100000371</t>
  </si>
  <si>
    <t>PST-12100 C10 YELLOW-4K</t>
  </si>
  <si>
    <t>100000372</t>
  </si>
  <si>
    <t>PST-12100 C15 BLACK-4K</t>
  </si>
  <si>
    <t>100000373</t>
  </si>
  <si>
    <t>PST-12100 C20 WHITE-4K</t>
  </si>
  <si>
    <t>100000375</t>
  </si>
  <si>
    <t>PUC-54205 AC WHITE 15 VN-20KP</t>
  </si>
  <si>
    <t>100000511</t>
  </si>
  <si>
    <t>PUL-53306 AC EX CLEAR 05 VN-20LP</t>
  </si>
  <si>
    <t>100000578</t>
  </si>
  <si>
    <t>SST-11100 28 F1 VN-20LJ</t>
  </si>
  <si>
    <t>100000903</t>
  </si>
  <si>
    <t>TOL-76301 N CLEAR BASE VN-20LJ</t>
  </si>
  <si>
    <t>100000906</t>
  </si>
  <si>
    <t>TOL-76301 N MTT-01 VN-20LJ</t>
  </si>
  <si>
    <t>100000907</t>
  </si>
  <si>
    <t>TOL-76301 N RUDO F1 VN-20LJ</t>
  </si>
  <si>
    <t>100000918</t>
  </si>
  <si>
    <t>TOL-76301 N LEVICO F1 VN-20LJ</t>
  </si>
  <si>
    <t>100002038</t>
  </si>
  <si>
    <t>EQ-10200 MTT 01 TM VN-20LJ</t>
  </si>
  <si>
    <t>100002366</t>
  </si>
  <si>
    <t>NCSS-11229 LC VN-200LB</t>
  </si>
  <si>
    <t>100002522</t>
  </si>
  <si>
    <t>PUP-54111 AC WHITE VN-20KP</t>
  </si>
  <si>
    <t>100004108</t>
  </si>
  <si>
    <t>TOL-76301 N ML10 F1 VN-20LJ</t>
  </si>
  <si>
    <t>100004358</t>
  </si>
  <si>
    <t>PUP-54106 AC EX BLACK VN-20KP</t>
  </si>
  <si>
    <t>100004659</t>
  </si>
  <si>
    <t>SST-11100 CACNAC 02 F1 VN-20LJ</t>
  </si>
  <si>
    <t>100004687</t>
  </si>
  <si>
    <t>TOL-76301 N GNH F1 VN-20LJ</t>
  </si>
  <si>
    <t>100004855</t>
  </si>
  <si>
    <t>TOL-76301 N RUDO I F1 VN-16KP</t>
  </si>
  <si>
    <t>100004857</t>
  </si>
  <si>
    <t>TOL-76301 N ML12  F1 VN-16KP</t>
  </si>
  <si>
    <t>100004859</t>
  </si>
  <si>
    <t>TOL-76301 N 2C01 F1 VN-16KP</t>
  </si>
  <si>
    <t>100004871</t>
  </si>
  <si>
    <t>TOL-76301 N 2C02 F1 VN-16KP</t>
  </si>
  <si>
    <t>100004975</t>
  </si>
  <si>
    <t>TOL-76301 N FR01 F1 VN-16KJ</t>
  </si>
  <si>
    <t>100005148</t>
  </si>
  <si>
    <t>PST-12200 1K GREY F1 VN-18KJ</t>
  </si>
  <si>
    <t>100005149</t>
  </si>
  <si>
    <t>TOL-76301 N GREY F1 VN-16KJ</t>
  </si>
  <si>
    <t>100005390</t>
  </si>
  <si>
    <t>TOL-76301 N 2C-03  F1 VN-16KJ</t>
  </si>
  <si>
    <t>100005567</t>
  </si>
  <si>
    <t>THPU-71306 01 KD VN-20LJ</t>
  </si>
  <si>
    <t>100005569</t>
  </si>
  <si>
    <t>THPU-71306 01 KD VN-200LK</t>
  </si>
  <si>
    <t>100005570</t>
  </si>
  <si>
    <t>SST-11100 YEL CANAC 05 F1 VN-16KJ</t>
  </si>
  <si>
    <t>100005614</t>
  </si>
  <si>
    <t>TOL-76301 N 2C-04 F1 VN-16KJ</t>
  </si>
  <si>
    <t>100005814</t>
  </si>
  <si>
    <t>PST-12100 C10 YELLOW VN-4K</t>
  </si>
  <si>
    <t>100005819</t>
  </si>
  <si>
    <t>TOL-76301 N LEVICO AQ F1 VN-16KJ</t>
  </si>
  <si>
    <t>100005854</t>
  </si>
  <si>
    <t>PG-13900 WHITE SA F1 VN-20KP</t>
  </si>
  <si>
    <t>100005884</t>
  </si>
  <si>
    <t>SST-11100 YEL SA 01 F1 VN-16KJ</t>
  </si>
  <si>
    <t>100005886</t>
  </si>
  <si>
    <t>SST-11100 RED SA F1 VN-16KJ</t>
  </si>
  <si>
    <t>100005935</t>
  </si>
  <si>
    <t>WBL-63220 BROWN 2C01 N F1 VN-18KP</t>
  </si>
  <si>
    <t>100005939</t>
  </si>
  <si>
    <t>WBL-63220 BLACK 2C01 F1 VN-18KP</t>
  </si>
  <si>
    <t>100006013</t>
  </si>
  <si>
    <t>PCWB-31600 BLACK 90400 R PASTE VN-4K</t>
  </si>
  <si>
    <t>100006016</t>
  </si>
  <si>
    <t>PCWB-31600 RED 34597 PASTE VN-4K</t>
  </si>
  <si>
    <t>100006017</t>
  </si>
  <si>
    <t>PCWB-31600 YELLOW 10313 PASTE VN-4K</t>
  </si>
  <si>
    <t>100006018</t>
  </si>
  <si>
    <t>PCWB-31600 BROWN 645 PASTE VN-4K</t>
  </si>
  <si>
    <t>100006048</t>
  </si>
  <si>
    <t>DP-12129 LC YEL DIVA F1 VN-18KP</t>
  </si>
  <si>
    <t>100006049</t>
  </si>
  <si>
    <t>PG-13900 WHITE DIVA F1 VN-20KP</t>
  </si>
  <si>
    <t>100006050</t>
  </si>
  <si>
    <t>SST-11100 YEL DIVA F1 VN-16KJ</t>
  </si>
  <si>
    <t>100006052</t>
  </si>
  <si>
    <t>EQ-10200 YEL 2C05 F1 VN-16KJ</t>
  </si>
  <si>
    <t>100006053</t>
  </si>
  <si>
    <t>TOL-76301 N WHITE 2C05  F1 VN-16KJ</t>
  </si>
  <si>
    <t>100006072</t>
  </si>
  <si>
    <t>DC-12229 LC BLACK 10 VN-18KP</t>
  </si>
  <si>
    <t>100006217</t>
  </si>
  <si>
    <t>SST-11100 BL AQ03 01 F1 VN-16KJ</t>
  </si>
  <si>
    <t>100006218</t>
  </si>
  <si>
    <t>SST-11100 BL AQ03 02 F1 VN-16KJ</t>
  </si>
  <si>
    <t>100006219</t>
  </si>
  <si>
    <t>PST-12100 RED AQ03 F1 VN-16KJ</t>
  </si>
  <si>
    <t>100006220</t>
  </si>
  <si>
    <t>PST-12100 YEL AQ23 01 F1 VN-16KJ</t>
  </si>
  <si>
    <t>100006221</t>
  </si>
  <si>
    <t>PST-12100 YEL AQ23 02 F1 VN-16KJ</t>
  </si>
  <si>
    <t>100006222</t>
  </si>
  <si>
    <t>PST-12100 YEL AQ25 01 F1 VN-16KJ</t>
  </si>
  <si>
    <t>100006223</t>
  </si>
  <si>
    <t>PST-12100 YEL AQ25 02 F1 VN-16KJ</t>
  </si>
  <si>
    <t>100006224</t>
  </si>
  <si>
    <t>TOL-76301 N YEL AQ 02 F1 VN-16KJ</t>
  </si>
  <si>
    <t>100006225</t>
  </si>
  <si>
    <t>SST-11100 BRO AQ04 F1 VN-16KJ</t>
  </si>
  <si>
    <t>100006226</t>
  </si>
  <si>
    <t>SST-11100 BL AQ04 F1 VN-16KJ</t>
  </si>
  <si>
    <t>100006227</t>
  </si>
  <si>
    <t>PST-12100 BRO AQ01 F1 VN-16KJ</t>
  </si>
  <si>
    <t>100006228</t>
  </si>
  <si>
    <t>PST-12100 RED AQ01 F1 VN-16KJ</t>
  </si>
  <si>
    <t>100006279</t>
  </si>
  <si>
    <t>PCL-31300 YEL DISCO 18 F1 VN-16KJ</t>
  </si>
  <si>
    <t>100006280</t>
  </si>
  <si>
    <t>PCL-31300 RED DISCO 18 F1 VN-16KJ</t>
  </si>
  <si>
    <t>100006455</t>
  </si>
  <si>
    <t>PCL-31300 XAM VSHW11 LAU F1 VN-16KJ</t>
  </si>
  <si>
    <t>100006456</t>
  </si>
  <si>
    <t>PCL-31300 WHITE VSHW11 DAM F1 VN-16KJ</t>
  </si>
  <si>
    <t>100006457</t>
  </si>
  <si>
    <t>PST-12100 YEL W03 LAU F1 VN-16KJ</t>
  </si>
  <si>
    <t>100006458</t>
  </si>
  <si>
    <t>PST-12100 BRO W03 DAM F1 VN-16KJ</t>
  </si>
  <si>
    <t>100006459</t>
  </si>
  <si>
    <t>PG-13900 WHITE W03 F1 VN-20KP</t>
  </si>
  <si>
    <t>100006546</t>
  </si>
  <si>
    <t>PUC-54206 AC EX BLACK 15 VN-18KP</t>
  </si>
  <si>
    <t>100006547</t>
  </si>
  <si>
    <t>PUP-52142 ACR BLACK SP VN-20KP</t>
  </si>
  <si>
    <t>100006548</t>
  </si>
  <si>
    <t>PUP-52142 ACR WHITE SP VN-20KP</t>
  </si>
  <si>
    <t>100006549</t>
  </si>
  <si>
    <t>PUH-56142 SP VN-20KP</t>
  </si>
  <si>
    <t>100006574</t>
  </si>
  <si>
    <t>PST-12100 C10 RED VN-4K</t>
  </si>
  <si>
    <t>100006591</t>
  </si>
  <si>
    <t>PCL-31300 LIGHTTEAK L LAU F1 VN-16KJ</t>
  </si>
  <si>
    <t>100006592</t>
  </si>
  <si>
    <t>PCL-31300 LIGHTTEAK L DAM F1 VN-16KJ</t>
  </si>
  <si>
    <t>100006689</t>
  </si>
  <si>
    <t>PUP-54106 AC EX YEL W07 F1 VN-20KP</t>
  </si>
  <si>
    <t>100006690</t>
  </si>
  <si>
    <t>PST-12100 YEL W07 DAM F1 VN-16KJ</t>
  </si>
  <si>
    <t>100000846</t>
  </si>
  <si>
    <t>THC-73100 402 VN-20LJ</t>
  </si>
  <si>
    <t>100006575</t>
  </si>
  <si>
    <t>DW-500 NT 740 DELICIOUS -18LP</t>
  </si>
  <si>
    <t>100000076</t>
  </si>
  <si>
    <t>FLX-66300 WB VN-20KP</t>
  </si>
  <si>
    <t>100000500</t>
  </si>
  <si>
    <t>PUL-51339 CLEAR 05 VN-20LP</t>
  </si>
  <si>
    <t>100000871</t>
  </si>
  <si>
    <t>THGZ-72200 VN-200LK</t>
  </si>
  <si>
    <t>100002044</t>
  </si>
  <si>
    <t>WPWB-81201 WHITE VN-20KP</t>
  </si>
  <si>
    <t>100002293</t>
  </si>
  <si>
    <t>DC-12223 LC WHITE 01 10 VN-20KP</t>
  </si>
  <si>
    <t>100002625</t>
  </si>
  <si>
    <t>GZ-9127-WS-AK-4K</t>
  </si>
  <si>
    <t>100003493</t>
  </si>
  <si>
    <t>WPWB-81201 W MQ VN-20KP</t>
  </si>
  <si>
    <t>100003778</t>
  </si>
  <si>
    <t>MPUL-13700 50 VN-16KP</t>
  </si>
  <si>
    <t>100004656</t>
  </si>
  <si>
    <t>WBMG-97100-1 VN-4K</t>
  </si>
  <si>
    <t>100004837</t>
  </si>
  <si>
    <t>NCSS-11229 VT VN-18KP</t>
  </si>
  <si>
    <t>100004921</t>
  </si>
  <si>
    <t>DC-12229 LC KM02 05 K1 VN-20KP</t>
  </si>
  <si>
    <t>100005222</t>
  </si>
  <si>
    <t>GZ-12700 N SOI A2 K1 VN-16KP</t>
  </si>
  <si>
    <t>100005816</t>
  </si>
  <si>
    <t>DC-12207 WHITE DOVE 30 K1 VN-18KP</t>
  </si>
  <si>
    <t>100006298</t>
  </si>
  <si>
    <t>DC-12207 GREY TRF 10 K1 VN-18KP</t>
  </si>
  <si>
    <t>100000442</t>
  </si>
  <si>
    <t>PUC-54205 AC WHITE 08 AA VN-20KP</t>
  </si>
  <si>
    <t>100000493</t>
  </si>
  <si>
    <t>PUH-56306 LY VN-4L</t>
  </si>
  <si>
    <t>100000504</t>
  </si>
  <si>
    <t>PUL-51341 CLEAR 10 VN-18KP</t>
  </si>
  <si>
    <t>100000528</t>
  </si>
  <si>
    <t>PUP-52141 BLACK 01 VN-20KP</t>
  </si>
  <si>
    <t>100000002</t>
  </si>
  <si>
    <t>11-260 AF PU THINNER-200LK</t>
  </si>
  <si>
    <t>100000005</t>
  </si>
  <si>
    <t>16-1015 URT FLAT A ST 01-16KP</t>
  </si>
  <si>
    <t>100000214</t>
  </si>
  <si>
    <t>PCA-31100 BROWN 645 PASTE VN-4K</t>
  </si>
  <si>
    <t>100000289</t>
  </si>
  <si>
    <t>PCL-31300 BLACK PASTE VN-4K</t>
  </si>
  <si>
    <t>100000844</t>
  </si>
  <si>
    <t>THC-73100 202 VN-20LJ</t>
  </si>
  <si>
    <t>100000861</t>
  </si>
  <si>
    <t>THC-73100-252 VN-200LK</t>
  </si>
  <si>
    <t>100000862</t>
  </si>
  <si>
    <t>THC-73100-252 VN-20LJ</t>
  </si>
  <si>
    <t>100000865</t>
  </si>
  <si>
    <t>THC-73100-452 VN-200LK</t>
  </si>
  <si>
    <t>100000866</t>
  </si>
  <si>
    <t>THC-73100-452 VN-20LJ</t>
  </si>
  <si>
    <t>100001955</t>
  </si>
  <si>
    <t>THPU-71300 SB VN-200LK</t>
  </si>
  <si>
    <t>100001957</t>
  </si>
  <si>
    <t>82-4025 UE AF URT WHITE A VN-16KP</t>
  </si>
  <si>
    <t>100002030</t>
  </si>
  <si>
    <t>26-4020 URT WHITE A-16KP</t>
  </si>
  <si>
    <t>100002259</t>
  </si>
  <si>
    <t>16-2005 URT SANDING A VN-200KB</t>
  </si>
  <si>
    <t>100002261</t>
  </si>
  <si>
    <t>26-1005 URT FLAT A VN-16KP</t>
  </si>
  <si>
    <t>100002262</t>
  </si>
  <si>
    <t>26-4029 URT WHITE A VN-16KP</t>
  </si>
  <si>
    <t>100002264</t>
  </si>
  <si>
    <t>82-1189 UE AF URT FLAT A 5% VN-16KP</t>
  </si>
  <si>
    <t>100002267</t>
  </si>
  <si>
    <t>AL-088 VN-4L</t>
  </si>
  <si>
    <t>100002268</t>
  </si>
  <si>
    <t>AL-089 VN-20KP</t>
  </si>
  <si>
    <t>100002269</t>
  </si>
  <si>
    <t>AL-089 VN-4K</t>
  </si>
  <si>
    <t>100002444</t>
  </si>
  <si>
    <t>PUH-56312 NY VN-4K</t>
  </si>
  <si>
    <t>100002721</t>
  </si>
  <si>
    <t>PUH-56312 NY VN-16KP</t>
  </si>
  <si>
    <t>100003112</t>
  </si>
  <si>
    <t>82-1099 UE AF URT FLAT A-16KP</t>
  </si>
  <si>
    <t>100003197</t>
  </si>
  <si>
    <t>82-1047 UE AF URT FLAT A-16KP</t>
  </si>
  <si>
    <t>100003237</t>
  </si>
  <si>
    <t>PUC-54206 AC GLASS BLK 10 VN-16KP</t>
  </si>
  <si>
    <t>100003496</t>
  </si>
  <si>
    <t>THPU-71300 SB VN-20LJ</t>
  </si>
  <si>
    <t>100004560</t>
  </si>
  <si>
    <t>11-260 AF PU THINNER-30LJ</t>
  </si>
  <si>
    <t>100004677</t>
  </si>
  <si>
    <t>11-256 AF PU THINNER-30LJ</t>
  </si>
  <si>
    <t>100004678</t>
  </si>
  <si>
    <t>11-256 AF PU THINNER-200LK</t>
  </si>
  <si>
    <t>100004806</t>
  </si>
  <si>
    <t>PUL-53306 AC GLASS CLEAR 10 VN-16KP</t>
  </si>
  <si>
    <t>100005052</t>
  </si>
  <si>
    <t>MEP-12003 GLASS VN-18KP</t>
  </si>
  <si>
    <t>100006369</t>
  </si>
  <si>
    <t>THC-73100 202 VN-200LK</t>
  </si>
  <si>
    <t>100006385</t>
  </si>
  <si>
    <t>THC-73100 552 VN-180KK</t>
  </si>
  <si>
    <t>100006386</t>
  </si>
  <si>
    <t>AL-088 VN-16KP</t>
  </si>
  <si>
    <t>100006387</t>
  </si>
  <si>
    <t>AL-089 VN-16KP</t>
  </si>
  <si>
    <t>100000189</t>
  </si>
  <si>
    <t>NCL-40800 LC MOD CLEAR 20 VN-18KP</t>
  </si>
  <si>
    <t>100000190</t>
  </si>
  <si>
    <t>NCL-40800 LC MOD CLEAR 30 VN-18KP</t>
  </si>
  <si>
    <t>100000200</t>
  </si>
  <si>
    <t>NCSS-30800 LC MOD VN-20LP</t>
  </si>
  <si>
    <t>100002420</t>
  </si>
  <si>
    <t>PUC-52239 WHITE 20 VN-20KP</t>
  </si>
  <si>
    <t>100002634</t>
  </si>
  <si>
    <t>GZ-12700 N VAN DYKE BROWN VN-4K</t>
  </si>
  <si>
    <t>100003852</t>
  </si>
  <si>
    <t>LOL-1762-AK-18KJ</t>
  </si>
  <si>
    <t>100004094</t>
  </si>
  <si>
    <t>DC-12207 WHITE 20 VN-20KP</t>
  </si>
  <si>
    <t>100004779</t>
  </si>
  <si>
    <t>THC-73100 102 VN-160KK</t>
  </si>
  <si>
    <t>100005078</t>
  </si>
  <si>
    <t>UVSS-40104 VN-20KP</t>
  </si>
  <si>
    <t>100005306</t>
  </si>
  <si>
    <t>THNC-51-200LK</t>
  </si>
  <si>
    <t>100006141</t>
  </si>
  <si>
    <t>PUP-52135 BLUE 14 SKS VN-20KP</t>
  </si>
  <si>
    <t>100006142</t>
  </si>
  <si>
    <t>PUP-54106 AC EX BLUE 15 SKS VN-20KP</t>
  </si>
  <si>
    <t>100006143</t>
  </si>
  <si>
    <t>PUP-52135 BLUE 15 SKS VN-20KP</t>
  </si>
  <si>
    <t>100006144</t>
  </si>
  <si>
    <t>PUP-54106 AC EX BLUE 14 SKS VN-20KP</t>
  </si>
  <si>
    <t>100006202</t>
  </si>
  <si>
    <t>DP-12132 LY WHITE VN-18KP</t>
  </si>
  <si>
    <t>100006203</t>
  </si>
  <si>
    <t>NCSS-11232 LY VN-18KP</t>
  </si>
  <si>
    <t>100006204</t>
  </si>
  <si>
    <t>NCL-11332 LY CLEAR 10 VN-18KP</t>
  </si>
  <si>
    <t>100006216</t>
  </si>
  <si>
    <t>UVP-60301 WHITE VN-20KP</t>
  </si>
  <si>
    <t>100006246</t>
  </si>
  <si>
    <t>NCL-11332 LY CLEAR 20 VN-18KP</t>
  </si>
  <si>
    <t>100006432</t>
  </si>
  <si>
    <t>UVF-10301 BLACK VN-20KP</t>
  </si>
  <si>
    <t>100006433</t>
  </si>
  <si>
    <t>UVP-60301 BLACK VN-20KP</t>
  </si>
  <si>
    <t>100006460</t>
  </si>
  <si>
    <t>NCL-11332 LY CLEAR 40 VN-18KP</t>
  </si>
  <si>
    <t>100006653</t>
  </si>
  <si>
    <t>PUP-52135 BLACK 124 SK VN-20KP</t>
  </si>
  <si>
    <t>100006654</t>
  </si>
  <si>
    <t>DP-12132 LY KEM 129 SK VN-18KP</t>
  </si>
  <si>
    <t>100006657</t>
  </si>
  <si>
    <t>NCL-11332 LY CLEAR 30 VN-18KP</t>
  </si>
  <si>
    <t>100006683</t>
  </si>
  <si>
    <t>THGZ-72200 D40 VN-16KJ</t>
  </si>
  <si>
    <t>100006686</t>
  </si>
  <si>
    <t>PUP-52135 WHITE 134 SK VN-20KP</t>
  </si>
  <si>
    <t>100006716</t>
  </si>
  <si>
    <t>PUP-52135 BLUE 137 SK VN-20KP</t>
  </si>
  <si>
    <t>100006732</t>
  </si>
  <si>
    <t>THC-73100 201 VN-16KJ</t>
  </si>
  <si>
    <t>100006745</t>
  </si>
  <si>
    <t>PUP-52135 BLACK 148 SK VN-20KP</t>
  </si>
  <si>
    <t>170001308</t>
  </si>
  <si>
    <t>UVB-30400-20KP</t>
  </si>
  <si>
    <t>100000213</t>
  </si>
  <si>
    <t>PCA-31100 BLUE OR PASTE VN-4K</t>
  </si>
  <si>
    <t>100000233</t>
  </si>
  <si>
    <t>PCA-31100 ORANGE PASTE VN-4K</t>
  </si>
  <si>
    <t>100000271</t>
  </si>
  <si>
    <t>PCA-31100 VIOLET OB PASTE VN-4K</t>
  </si>
  <si>
    <t>100000302</t>
  </si>
  <si>
    <t>PCL-31300 ORANGE PASTE-4K</t>
  </si>
  <si>
    <t>100000328</t>
  </si>
  <si>
    <t>PCWB-31600 BLACK AY PASTE-4K</t>
  </si>
  <si>
    <t>100000332</t>
  </si>
  <si>
    <t>PCWB-31600 RED AB PASTE-4K</t>
  </si>
  <si>
    <t>100000333</t>
  </si>
  <si>
    <t>PCWB-31600 RED OB 35 PASTE-4K</t>
  </si>
  <si>
    <t>100000335</t>
  </si>
  <si>
    <t>PCWB-31600 WHITE PASTE-4K</t>
  </si>
  <si>
    <t>100000337</t>
  </si>
  <si>
    <t>PCWB-31600 YELLOW AR PASTE-4K</t>
  </si>
  <si>
    <t>100000338</t>
  </si>
  <si>
    <t>PCWB-31601 BLACK OB PASTE-4K</t>
  </si>
  <si>
    <t>100000341</t>
  </si>
  <si>
    <t>PCWB-31601 YELLOW 100 OR PASTE-4K</t>
  </si>
  <si>
    <t>100000505</t>
  </si>
  <si>
    <t>PUL-51341 CLEAR 20 VN-18KP</t>
  </si>
  <si>
    <t>100000508</t>
  </si>
  <si>
    <t>PUL-51341 CLEAR 40 VN-18KP</t>
  </si>
  <si>
    <t>100000516</t>
  </si>
  <si>
    <t>PUL-53306 AC EX CLEAR 40 VN-20LP</t>
  </si>
  <si>
    <t>100000558</t>
  </si>
  <si>
    <t>PUSS-51241 VN-200KB</t>
  </si>
  <si>
    <t>100000964</t>
  </si>
  <si>
    <t>WBL-61201 CLEAR 10 VN-20KP</t>
  </si>
  <si>
    <t>100001929</t>
  </si>
  <si>
    <t>PCWB-31601 BLUE OR PASTE-4K</t>
  </si>
  <si>
    <t>100001995</t>
  </si>
  <si>
    <t>UVL-50101 CLEAR 10 VN-20KP</t>
  </si>
  <si>
    <t>100002040</t>
  </si>
  <si>
    <t>PUH-56303 NY VN-4K</t>
  </si>
  <si>
    <t>100002072</t>
  </si>
  <si>
    <t>PUC-54205 AC WHITE 40 VN-20KP</t>
  </si>
  <si>
    <t>100002418</t>
  </si>
  <si>
    <t>PUC-52239 WHITE 10 VN-20KP</t>
  </si>
  <si>
    <t>100002422</t>
  </si>
  <si>
    <t>PUC-52239 WHITE 30 VN-20KP</t>
  </si>
  <si>
    <t>100002424</t>
  </si>
  <si>
    <t>PUC-52239 WHITE 50 VN-20KP</t>
  </si>
  <si>
    <t>100002426</t>
  </si>
  <si>
    <t>PUC-52239 WHITE 90 VN-20KP</t>
  </si>
  <si>
    <t>100002648</t>
  </si>
  <si>
    <t>PUH-56303 NY VN-20KP</t>
  </si>
  <si>
    <t>100002815</t>
  </si>
  <si>
    <t>UVSS-40103 VN-20KP</t>
  </si>
  <si>
    <t>100003283</t>
  </si>
  <si>
    <t>AP-9982-SY30-AK-1K</t>
  </si>
  <si>
    <t>100003293</t>
  </si>
  <si>
    <t>PUL-53306 AC EX CLEAR 60 VN-20LP</t>
  </si>
  <si>
    <t>100003563</t>
  </si>
  <si>
    <t>AP-98200 SILVER 8130 VN-1K</t>
  </si>
  <si>
    <t>100005158</t>
  </si>
  <si>
    <t>PUC-52239 FIN04 30 TL VN-20KP</t>
  </si>
  <si>
    <t>100005159</t>
  </si>
  <si>
    <t>PUC-52239 FIN07 30 TL VN-20KP</t>
  </si>
  <si>
    <t>100005320</t>
  </si>
  <si>
    <t>PUC-54205 SW 7627 40 TL VN-20KP</t>
  </si>
  <si>
    <t>100005321</t>
  </si>
  <si>
    <t>PUC-54206 AC EX SW 9150 40 TL VN-18KP</t>
  </si>
  <si>
    <t>100005322</t>
  </si>
  <si>
    <t>PUC-54205 SW 7023 40 TL VN-20KP</t>
  </si>
  <si>
    <t>100005323</t>
  </si>
  <si>
    <t>PUC-54206 AC EX SW 7069 40 TL VN-18KP</t>
  </si>
  <si>
    <t>100005407</t>
  </si>
  <si>
    <t>PUC-52239 AF 680 30 TL VN-20KP</t>
  </si>
  <si>
    <t>100005472</t>
  </si>
  <si>
    <t>PUC-54206 AC EX SW 7602 20 TL VN-18KP</t>
  </si>
  <si>
    <t>100005473</t>
  </si>
  <si>
    <t>PUC-52239 CABANA 10 TL VN-20KP</t>
  </si>
  <si>
    <t>100005474</t>
  </si>
  <si>
    <t>PUC-52241 SW 7598 20 TL VN-20KP</t>
  </si>
  <si>
    <t>100005480</t>
  </si>
  <si>
    <t>PUC-52239 FIN 5 20 TL VN-20KP</t>
  </si>
  <si>
    <t>100005481</t>
  </si>
  <si>
    <t>PUC-54205 FIN 6 40 TL VN-20KP</t>
  </si>
  <si>
    <t>100005615</t>
  </si>
  <si>
    <t>PUC-52239 GREY PT04 10 TL VN-20KP</t>
  </si>
  <si>
    <t>100005652</t>
  </si>
  <si>
    <t>AP-98200 170 VN-1K</t>
  </si>
  <si>
    <t>100005715</t>
  </si>
  <si>
    <t>PCL-31300 BLUE OG PASTE AF VN-4K</t>
  </si>
  <si>
    <t>100005743</t>
  </si>
  <si>
    <t>PUC-54206 AC EX GREYFIN3 10 TLVN-18KP</t>
  </si>
  <si>
    <t>100005913</t>
  </si>
  <si>
    <t>PUP-52141 XAM TL VN-20KP</t>
  </si>
  <si>
    <t>100005925</t>
  </si>
  <si>
    <t>WBL-61204 CLEAR 10 VN-20KP</t>
  </si>
  <si>
    <t>100005976</t>
  </si>
  <si>
    <t>UVF-10301 VN-20KP</t>
  </si>
  <si>
    <t>100006230</t>
  </si>
  <si>
    <t>PUC-52239 GREY LSX015 20 TL VN-20KP</t>
  </si>
  <si>
    <t>100006231</t>
  </si>
  <si>
    <t>PUC-52239 BE SW7524 20 TL VN-20KP</t>
  </si>
  <si>
    <t>100006232</t>
  </si>
  <si>
    <t>PUC-54206 AC EX GRN6208 20 TL VN-18KP</t>
  </si>
  <si>
    <t>100006233</t>
  </si>
  <si>
    <t>PUC-54206 AC EX XAM209 20 TL VN-18KP</t>
  </si>
  <si>
    <t>100006234</t>
  </si>
  <si>
    <t>PUP-52141 BLACK RAL7021 TL VN-20KP</t>
  </si>
  <si>
    <t>100006235</t>
  </si>
  <si>
    <t>PUC-54206 AC EX DEN7021 60 TL VN-18KP</t>
  </si>
  <si>
    <t>100006236</t>
  </si>
  <si>
    <t>PUC-54205 AC WHITE1015 60 TL VN-20KP</t>
  </si>
  <si>
    <t>100006237</t>
  </si>
  <si>
    <t>PUC-54205 AC XAM 9170 60 TL VN-20KP</t>
  </si>
  <si>
    <t>100006243</t>
  </si>
  <si>
    <t>UVP-60301 XAM 209 TL VN-20KP</t>
  </si>
  <si>
    <t>100006324</t>
  </si>
  <si>
    <t>PUC-54206 AC EX NAU369 40 TL VN-18KP</t>
  </si>
  <si>
    <t>100006445</t>
  </si>
  <si>
    <t>PUC-54206 AC EX XAM7069 20 TL VN-18KP</t>
  </si>
  <si>
    <t>100006446</t>
  </si>
  <si>
    <t>PUC-52239 TRANG 7012 10 TL VN-20KP</t>
  </si>
  <si>
    <t>100006466</t>
  </si>
  <si>
    <t>PUC-54206 AC EX HONGPT1 20 TL VN-18KP</t>
  </si>
  <si>
    <t>100006703</t>
  </si>
  <si>
    <t>GZWB-21408 CLEAR BASE NEW VN-18KP</t>
  </si>
  <si>
    <t>100006723</t>
  </si>
  <si>
    <t>GZWB-21408 BLACK VN-5K</t>
  </si>
  <si>
    <t>100006730</t>
  </si>
  <si>
    <t>THC-73100 101 VN-16KJ</t>
  </si>
  <si>
    <t>170001541</t>
  </si>
  <si>
    <t>UVP-60103 HF WHITE-30KP</t>
  </si>
  <si>
    <t>100000503</t>
  </si>
  <si>
    <t>PUL-51341 CLEAR 05 VN-18KP</t>
  </si>
  <si>
    <t>100006245</t>
  </si>
  <si>
    <t>PUL-51339 SR CLEAR 05 VN-18KP</t>
  </si>
  <si>
    <t>100006729</t>
  </si>
  <si>
    <t>PUP-52135 BLACK SOFTSOOT TRT VN-20KP</t>
  </si>
  <si>
    <t>100000300</t>
  </si>
  <si>
    <t>PCL-31300 GREEN OB PASTE-4K</t>
  </si>
  <si>
    <t>100002437</t>
  </si>
  <si>
    <t>PUH-56135 S VN-4K</t>
  </si>
  <si>
    <t>100003689</t>
  </si>
  <si>
    <t>PUC-54205 AC MA33 10 PV VN-20KP</t>
  </si>
  <si>
    <t>100003706</t>
  </si>
  <si>
    <t>PUC-54205 AC MA28 10 PV VN-20KP</t>
  </si>
  <si>
    <t>100005351</t>
  </si>
  <si>
    <t>PUC-54205 AC MA 46 08 PV VN-20KP</t>
  </si>
  <si>
    <t>100005352</t>
  </si>
  <si>
    <t>PUC-54205 AC MA 47 08 PV VN-20KP</t>
  </si>
  <si>
    <t>100005353</t>
  </si>
  <si>
    <t>PUC-54205 AC MA 45 08 PV VN-20KP</t>
  </si>
  <si>
    <t>100005354</t>
  </si>
  <si>
    <t>PUC-54205 AC MA 56 08 PV VN-20KP</t>
  </si>
  <si>
    <t>100005355</t>
  </si>
  <si>
    <t>PUC-54205 AC MA 48 08 PV VN-20KP</t>
  </si>
  <si>
    <t>100005356</t>
  </si>
  <si>
    <t>PUC-54205 AC MA 50 08 PV VN-20KP</t>
  </si>
  <si>
    <t>100005357</t>
  </si>
  <si>
    <t>PUC-54205 AC MA 53 08 PV VN-20KP</t>
  </si>
  <si>
    <t>100005358</t>
  </si>
  <si>
    <t>PUC-54205 AC MA 54 08 PV VN-20KP</t>
  </si>
  <si>
    <t>100005359</t>
  </si>
  <si>
    <t>PUC-54205 AC MA 49 08 PV VN-20KP</t>
  </si>
  <si>
    <t>100005365</t>
  </si>
  <si>
    <t>PUC-54205 AC MA 57 08 PV VN-20KP</t>
  </si>
  <si>
    <t>100005669</t>
  </si>
  <si>
    <t>PUC-54205 AC WH MARC101 90 PV VN-20KP</t>
  </si>
  <si>
    <t>100005191</t>
  </si>
  <si>
    <t>THPU-71306 WP LC VN-200LK</t>
  </si>
  <si>
    <t>100001632</t>
  </si>
  <si>
    <t>EDP-551 ZINC PHOSPHATE (XÁM) VN-18KP</t>
  </si>
  <si>
    <t>100001656</t>
  </si>
  <si>
    <t>EDP-551 BLACK (ĐEN) VN-18KP</t>
  </si>
  <si>
    <t>100001715</t>
  </si>
  <si>
    <t>CỨNG EPOXY EDP-551 VN-2K</t>
  </si>
  <si>
    <t>100000956</t>
  </si>
  <si>
    <t>WBC-62201 SL XLC GREY 30 VL VN-200KB</t>
  </si>
  <si>
    <t>100000971</t>
  </si>
  <si>
    <t>WBL-61202 SL CLEAR 70 VN-200KB</t>
  </si>
  <si>
    <t>100001941</t>
  </si>
  <si>
    <t>WBC-62201 SL XLC WHITE 50VLVN-200KB</t>
  </si>
  <si>
    <t>170001681</t>
  </si>
  <si>
    <t>WBL-61207 HV CLEAR 70-20KP</t>
  </si>
  <si>
    <t>100000202</t>
  </si>
  <si>
    <t>NCSS-30800 LY MOD VN-18KP</t>
  </si>
  <si>
    <t>100000853</t>
  </si>
  <si>
    <t>THC-73100-1103 VN-200LK</t>
  </si>
  <si>
    <t>100001791</t>
  </si>
  <si>
    <t>EL-501 CLASSIC TEAK 8305 VN-4L</t>
  </si>
  <si>
    <t>100001938</t>
  </si>
  <si>
    <t>AP-98200 SILVER 210 S VN-1K</t>
  </si>
  <si>
    <t>100002532</t>
  </si>
  <si>
    <t>RD-74106 VN-200LK</t>
  </si>
  <si>
    <t>100005039</t>
  </si>
  <si>
    <t>THC-73100-SBP VN-20KJ</t>
  </si>
  <si>
    <t>100005543</t>
  </si>
  <si>
    <t>PUC-54205 AC BLUE K11948 30 AT VN-20KP</t>
  </si>
  <si>
    <t>100005544</t>
  </si>
  <si>
    <t>PUC-54205 AC WHITE K11415 10 AT VN-20KP</t>
  </si>
  <si>
    <t>100005545</t>
  </si>
  <si>
    <t>PUC-54206 AC EX GRN K11947 30 ATVN-18KP</t>
  </si>
  <si>
    <t>100005574</t>
  </si>
  <si>
    <t>PUC-54205 AC TRANG12284 10 AT VN-20KP</t>
  </si>
  <si>
    <t>100005575</t>
  </si>
  <si>
    <t>PUC-54205 AC WHITE10595 10 AT VN-20KP</t>
  </si>
  <si>
    <t>100005609</t>
  </si>
  <si>
    <t>PUC-54205 AC BEACH DAY 08 AT VN-20KP</t>
  </si>
  <si>
    <t>100005617</t>
  </si>
  <si>
    <t>PUC-54205 AC XAMK11758 10 AT VN-20KP</t>
  </si>
  <si>
    <t>100005667</t>
  </si>
  <si>
    <t>PUC-54205 AC KEMK11392 10 AT VN-20KP</t>
  </si>
  <si>
    <t>100005668</t>
  </si>
  <si>
    <t>PUC-54205 AC XAMK14075 10 AT VN-20KP</t>
  </si>
  <si>
    <t>100005754</t>
  </si>
  <si>
    <t>PUC-54206 AC EX XAM15710 50 ATVN-18KP</t>
  </si>
  <si>
    <t>100005755</t>
  </si>
  <si>
    <t>PUC-54206 AC EX DO15709 50 AT VN-18KP</t>
  </si>
  <si>
    <t>100006427</t>
  </si>
  <si>
    <t>PUC-54205 AC KEM TULIP 10 AT VN-20KP</t>
  </si>
  <si>
    <t>100006444</t>
  </si>
  <si>
    <t>PUC-54205 AC KEMLANGTAY 10 AA VN-20KP</t>
  </si>
  <si>
    <t>100006585</t>
  </si>
  <si>
    <t>PUC-54205 AC GRN 19465 30 AT VN-20KP</t>
  </si>
  <si>
    <t>100005769</t>
  </si>
  <si>
    <t>PRCC-20310 POLYESTER VARNISH MB VN-200KK</t>
  </si>
  <si>
    <t>100005956</t>
  </si>
  <si>
    <t>PRCC-10358 WBC POLY V2600 SDW VN-250KK</t>
  </si>
  <si>
    <t>100006278</t>
  </si>
  <si>
    <t>PRCC-40233 GOLD LACQUER SDW VN-18KP</t>
  </si>
  <si>
    <t>100006461</t>
  </si>
  <si>
    <t>PRCC-40301 A SIDE STRIPE LACQUER-4K</t>
  </si>
  <si>
    <t>100006462</t>
  </si>
  <si>
    <t>PRCC-40301 B SIDE STRIPE LACQUER-2K</t>
  </si>
  <si>
    <t>100005127</t>
  </si>
  <si>
    <t>PRCC-20312 POL VARNISH CANPAC-200KK</t>
  </si>
  <si>
    <t>100005131</t>
  </si>
  <si>
    <t>PRCC-20101 ACRYLIC VARNISH-200KK</t>
  </si>
  <si>
    <t>100005221</t>
  </si>
  <si>
    <t>PRCC-10351 WBC POLYESTER TOA-250KK</t>
  </si>
  <si>
    <t>100005287</t>
  </si>
  <si>
    <t>PRCC-10357 WBC POLYESTER BMC-250KK</t>
  </si>
  <si>
    <t>100005377</t>
  </si>
  <si>
    <t>PRCC-40233 GOLD LACQUER MUDA-180KK</t>
  </si>
  <si>
    <t>100005406</t>
  </si>
  <si>
    <t>PRCC-20616 EPOXY SIZE CL-180KK</t>
  </si>
  <si>
    <t>100005494</t>
  </si>
  <si>
    <t>PRCC-20508 VCV LINH KY-18KP</t>
  </si>
  <si>
    <t>100005495</t>
  </si>
  <si>
    <t>PRCC-20502 VINYL SIZE-18KP</t>
  </si>
  <si>
    <t>100005496</t>
  </si>
  <si>
    <t>PRCC-20102 SSV-3.8K</t>
  </si>
  <si>
    <t>100006443</t>
  </si>
  <si>
    <t>PRCC-20312 POL VARNISH CV VN-200KK</t>
  </si>
  <si>
    <t>100000003</t>
  </si>
  <si>
    <t>11-260 AF PU THINNER-20LJ</t>
  </si>
  <si>
    <t>100000004</t>
  </si>
  <si>
    <t>11-260 AF PU THINNER HD-20LJ</t>
  </si>
  <si>
    <t>100002031</t>
  </si>
  <si>
    <t>82-4020 UE AF URT WHITE A-16KP</t>
  </si>
  <si>
    <t>100003111</t>
  </si>
  <si>
    <t>82-2027 UE AF URT SANDING A-16KP</t>
  </si>
  <si>
    <t>100003121</t>
  </si>
  <si>
    <t>11-260-1 AF PU THINNER-200LK</t>
  </si>
  <si>
    <t>100003123</t>
  </si>
  <si>
    <t>82-5001 UE AF URT SFC WHITE A-16KP</t>
  </si>
  <si>
    <t>100003145</t>
  </si>
  <si>
    <t>82-4029 UE AF URT WHITE A-16KP</t>
  </si>
  <si>
    <t>100003167</t>
  </si>
  <si>
    <t>PCA-31100 BLACK OB PASTE AF VN-4K</t>
  </si>
  <si>
    <t>100003168</t>
  </si>
  <si>
    <t>PCA-31100 BROWN 645 PASTE AF VN-4K</t>
  </si>
  <si>
    <t>100003169</t>
  </si>
  <si>
    <t>PCA-31100 RED OB 35 PASTE AF VN-4K</t>
  </si>
  <si>
    <t>100003171</t>
  </si>
  <si>
    <t>PCA-31100 WHITE PASTE AF VN-4K</t>
  </si>
  <si>
    <t>100003172</t>
  </si>
  <si>
    <t>PCA-31100 YELLOW HR PASTE AF VN-4K</t>
  </si>
  <si>
    <t>100003173</t>
  </si>
  <si>
    <t>PCA-31100 YELLOW OG 16 PASTE AF VN-4K</t>
  </si>
  <si>
    <t>100003174</t>
  </si>
  <si>
    <t>PCA-31100 YELLOW OKER PASTE AF VN-4K</t>
  </si>
  <si>
    <t>100003182</t>
  </si>
  <si>
    <t>PCA-31100 BLACK PASTE AF VN-4K</t>
  </si>
  <si>
    <t>100003245</t>
  </si>
  <si>
    <t>PCL-31300 YELLOW OG 16 AF VN-4K</t>
  </si>
  <si>
    <t>100003246</t>
  </si>
  <si>
    <t>PCL-31300 BLACK AF VN-4K</t>
  </si>
  <si>
    <t>100003247</t>
  </si>
  <si>
    <t>PCL-31300 RED OB 35 AF VN-4K</t>
  </si>
  <si>
    <t>100003281</t>
  </si>
  <si>
    <t>AL-090 VN-4K</t>
  </si>
  <si>
    <t>100003432</t>
  </si>
  <si>
    <t>11-261 AF PU THINNER-20LJ</t>
  </si>
  <si>
    <t>100003433</t>
  </si>
  <si>
    <t>11-261 AF PU THINNER-200LK</t>
  </si>
  <si>
    <t>100003490</t>
  </si>
  <si>
    <t>82-1039 UE AF URT FLAT A 5% VN-16KP</t>
  </si>
  <si>
    <t>100003491</t>
  </si>
  <si>
    <t>82-4169 UE AF URT WHITE A VN-16KP</t>
  </si>
  <si>
    <t>100003492</t>
  </si>
  <si>
    <t>AL-091 VN-4K</t>
  </si>
  <si>
    <t>100003652</t>
  </si>
  <si>
    <t>PST-12100 WHITE IS VN-4K</t>
  </si>
  <si>
    <t>100003758</t>
  </si>
  <si>
    <t>82-1045 UE AF URT FLAT A-16KP</t>
  </si>
  <si>
    <t>100003821</t>
  </si>
  <si>
    <t>AL-092 VN-20KP</t>
  </si>
  <si>
    <t>100003822</t>
  </si>
  <si>
    <t>82-1199 UE AF URT FLAT A VN-16KP</t>
  </si>
  <si>
    <t>100003851</t>
  </si>
  <si>
    <t>11-260 AF PU THINNER HD-200LK</t>
  </si>
  <si>
    <t>100004018</t>
  </si>
  <si>
    <t>PCA-31100 ORANGE PASTE AF VN-4K</t>
  </si>
  <si>
    <t>100004020</t>
  </si>
  <si>
    <t>PCA-31100 VIOLET OB PASTE AF VN-4K</t>
  </si>
  <si>
    <t>100004025</t>
  </si>
  <si>
    <t>PCA-31100 BLUE OG PASTE AF VN-4K</t>
  </si>
  <si>
    <t>100004026</t>
  </si>
  <si>
    <t>PCA-31100 GREEN OB PASTE AF VN-4K</t>
  </si>
  <si>
    <t>100004264</t>
  </si>
  <si>
    <t>82-2028 UE AF URT SANDING A VN-16KP</t>
  </si>
  <si>
    <t>100004882</t>
  </si>
  <si>
    <t>PCL-31300 BROWN 645 PASTE AF VN-4K</t>
  </si>
  <si>
    <t>100004998</t>
  </si>
  <si>
    <t>11-260-2 AF PU THINNER-30LJ</t>
  </si>
  <si>
    <t>100005040</t>
  </si>
  <si>
    <t>PG-13900 WHITE 02 VN-20KP</t>
  </si>
  <si>
    <t>100005702</t>
  </si>
  <si>
    <t>64-013 PU ANTI ABRASIVE-5K</t>
  </si>
  <si>
    <t>100000126</t>
  </si>
  <si>
    <t>MEP-12003 WHITE VN-18KP</t>
  </si>
  <si>
    <t>100005542</t>
  </si>
  <si>
    <t>MEP-12003 BROWN KM VN-18KP</t>
  </si>
  <si>
    <t>100000851</t>
  </si>
  <si>
    <t>THC-73100-1103 KD VN-200LK</t>
  </si>
  <si>
    <t>100000331</t>
  </si>
  <si>
    <t>PCWB-31600 OXIDE YELLOW PASTE-4K</t>
  </si>
  <si>
    <t>170001648</t>
  </si>
  <si>
    <t>PROPAN HWO-558-1L</t>
  </si>
  <si>
    <t>100000194</t>
  </si>
  <si>
    <t>NCL-40800 LY CLEAR 10 VN-18LP</t>
  </si>
  <si>
    <t>100000293</t>
  </si>
  <si>
    <t>PCL-31300 BLUE OR PASTE-4K</t>
  </si>
  <si>
    <t>100000507</t>
  </si>
  <si>
    <t>PUL-51341 CLEAR 30 VN-18KP</t>
  </si>
  <si>
    <t>100000837</t>
  </si>
  <si>
    <t>TEWB-84305 M WHITE VN-20KP</t>
  </si>
  <si>
    <t>100000885</t>
  </si>
  <si>
    <t>THPU-71306 VN-200LK</t>
  </si>
  <si>
    <t>100001993</t>
  </si>
  <si>
    <t>PUL-51341 CLEAR 50 VN-18KP</t>
  </si>
  <si>
    <t>100002100</t>
  </si>
  <si>
    <t>GZ-12700 N 64 HM VN-18KP</t>
  </si>
  <si>
    <t>100002360</t>
  </si>
  <si>
    <t>NCSS-1112-29 LC AK-20LP</t>
  </si>
  <si>
    <t>100003727</t>
  </si>
  <si>
    <t>WBSS-61104 HS VN-20KP</t>
  </si>
  <si>
    <t>100004922</t>
  </si>
  <si>
    <t>WBP-62135 WHITE VN-20KP</t>
  </si>
  <si>
    <t>100005138</t>
  </si>
  <si>
    <t>DP-12123 LC MT62 HM VN-20KP</t>
  </si>
  <si>
    <t>100005139</t>
  </si>
  <si>
    <t>DP-12123 LC MT65 HM VN-20KP</t>
  </si>
  <si>
    <t>100005225</t>
  </si>
  <si>
    <t>PUC-54205 AC MT207 30 HM VN-20KP</t>
  </si>
  <si>
    <t>100005229</t>
  </si>
  <si>
    <t>PUC-54205 AC MT211 10 HM VN-20KP</t>
  </si>
  <si>
    <t>100005563</t>
  </si>
  <si>
    <t>GZ-12700 N 64 HM VN-4K</t>
  </si>
  <si>
    <t>100006721</t>
  </si>
  <si>
    <t>THGZ-72200 D40 VN-20LJ</t>
  </si>
  <si>
    <t>100005304</t>
  </si>
  <si>
    <t>THNC-51-20LJ</t>
  </si>
  <si>
    <t>100005616</t>
  </si>
  <si>
    <t>GZPU-21500 BLACK 02 THH VN-18KP</t>
  </si>
  <si>
    <t>100005631</t>
  </si>
  <si>
    <t>WFPU-51000 BLACK 04 THH VN-20KP</t>
  </si>
  <si>
    <t>100005634</t>
  </si>
  <si>
    <t>SST-11100 BROWN 05 THH VN-16KJ</t>
  </si>
  <si>
    <t>100005636</t>
  </si>
  <si>
    <t>GZ-12700 N GREY 05 THH VN-16KP</t>
  </si>
  <si>
    <t>100005689</t>
  </si>
  <si>
    <t>SST-11100 BROWN 06 THH VN-16KJ</t>
  </si>
  <si>
    <t>100006500</t>
  </si>
  <si>
    <t>PUC-52239 BLUE 10 THH VN-20KP</t>
  </si>
  <si>
    <t>1200000867</t>
  </si>
  <si>
    <t>CÔNG TY TNHH KINH DOANH NAM PHÁT</t>
  </si>
  <si>
    <t>100006137</t>
  </si>
  <si>
    <t>UFM-930 LIGHT GREY VN-20KP</t>
  </si>
  <si>
    <t>100000246</t>
  </si>
  <si>
    <t>PCA-31100 RX C50 BLACK VN-18KP</t>
  </si>
  <si>
    <t>100000533</t>
  </si>
  <si>
    <t>PUP-52141 WHITE 01 VN-200KB</t>
  </si>
  <si>
    <t>100000887</t>
  </si>
  <si>
    <t>THPU-71306-200LK</t>
  </si>
  <si>
    <t>100001915</t>
  </si>
  <si>
    <t>GZ-12700 N BLACK VN-18KP</t>
  </si>
  <si>
    <t>100001950</t>
  </si>
  <si>
    <t>NCSS-11201 AC VN-20LP</t>
  </si>
  <si>
    <t>100001951</t>
  </si>
  <si>
    <t>NCL-11301 AC CLEAR 05 VN-20LP</t>
  </si>
  <si>
    <t>100002328</t>
  </si>
  <si>
    <t>DP-12123 LC WHITE 01 VN-200KB</t>
  </si>
  <si>
    <t>100002336</t>
  </si>
  <si>
    <t>NCL-1113-29 LC 10 AK-20LP</t>
  </si>
  <si>
    <t>100002337</t>
  </si>
  <si>
    <t>NCL-1113-29 LC 15 AK-20LP</t>
  </si>
  <si>
    <t>100002339</t>
  </si>
  <si>
    <t>NCL-1113-29 LC 25 AK-20LP</t>
  </si>
  <si>
    <t>100002341</t>
  </si>
  <si>
    <t>NCL-1113-29 LC 35 AK-20LP</t>
  </si>
  <si>
    <t>100002342</t>
  </si>
  <si>
    <t>NCL-1113-29 LC 5 AK-20LP</t>
  </si>
  <si>
    <t>100002359</t>
  </si>
  <si>
    <t>NCSS-1112-29 LC AK-200LB</t>
  </si>
  <si>
    <t>100004109</t>
  </si>
  <si>
    <t>NCSS-1112-AC-AK-20LP</t>
  </si>
  <si>
    <t>100004164</t>
  </si>
  <si>
    <t>PUL-53306 AC EX CLEAR 05 STB VN-20LP</t>
  </si>
  <si>
    <t>100004165</t>
  </si>
  <si>
    <t>PUSS-53206 AC EX STB VN-20KP</t>
  </si>
  <si>
    <t>100004353</t>
  </si>
  <si>
    <t>THGZ-72200 VN-160KK</t>
  </si>
  <si>
    <t>100004483</t>
  </si>
  <si>
    <t>THPU-71324-1 EST YJ VN-200LK</t>
  </si>
  <si>
    <t>100004658</t>
  </si>
  <si>
    <t>SST-11100 YELLOW KD VN-16KJ</t>
  </si>
  <si>
    <t>100004674</t>
  </si>
  <si>
    <t>PUL-53306 AC EX CLEAR 10 STB VN-20LP</t>
  </si>
  <si>
    <t>100005400</t>
  </si>
  <si>
    <t>PUP-54111 AC DUNE KD VN-20KP</t>
  </si>
  <si>
    <t>100005625</t>
  </si>
  <si>
    <t>DP-12123 LC BLONDE KD VN-18KP</t>
  </si>
  <si>
    <t>100005661</t>
  </si>
  <si>
    <t>PUP-52141 XAM SILVERY KD VN-20KP</t>
  </si>
  <si>
    <t>100005705</t>
  </si>
  <si>
    <t>DP-12123 LC BLONDE NEW KD VN-18KP</t>
  </si>
  <si>
    <t>100005922</t>
  </si>
  <si>
    <t>PUP-52141 DW 18 KD VN-20KP</t>
  </si>
  <si>
    <t>100005923</t>
  </si>
  <si>
    <t>PUP-52141 S009 KD VN-20KP</t>
  </si>
  <si>
    <t>100005943</t>
  </si>
  <si>
    <t>PUP-52135 WA19 KD VN-20KP</t>
  </si>
  <si>
    <t>100005944</t>
  </si>
  <si>
    <t>PUP-52135 DW 18 KD VN-20KP</t>
  </si>
  <si>
    <t>100005945</t>
  </si>
  <si>
    <t>PUP-52135 SO 09 KD VN-20KP</t>
  </si>
  <si>
    <t>100006309</t>
  </si>
  <si>
    <t>DP-12129 LC BROWN 458B KD VN-18KP</t>
  </si>
  <si>
    <t>100006315</t>
  </si>
  <si>
    <t>PCA-31100 YELLOW OKER PASTE AK VN-4K</t>
  </si>
  <si>
    <t>100006352</t>
  </si>
  <si>
    <t>GZ-12700 N STRATON KD VN-18KP</t>
  </si>
  <si>
    <t>100006356</t>
  </si>
  <si>
    <t>DP-12123 LC BLONDE NEW-1 KD VN-18KP</t>
  </si>
  <si>
    <t>100006357</t>
  </si>
  <si>
    <t>PCA-31100 YELLOW PASTE AK VN-4K</t>
  </si>
  <si>
    <t>100006365</t>
  </si>
  <si>
    <t>NCL-1113-SR10AK-18KP</t>
  </si>
  <si>
    <t>100006436</t>
  </si>
  <si>
    <t>NCL-1113-SR05AK-18KP</t>
  </si>
  <si>
    <t>100006567</t>
  </si>
  <si>
    <t>THPU-71324-1 EST YJ VN-20LJ</t>
  </si>
  <si>
    <t>100006658</t>
  </si>
  <si>
    <t>NCL-1113-29 LC 10 AK-18KP</t>
  </si>
  <si>
    <t>100006659</t>
  </si>
  <si>
    <t>NCL-1113-29 LC 15 AK-18KP</t>
  </si>
  <si>
    <t>100006660</t>
  </si>
  <si>
    <t>NCL-1113-29 LC 25 AK-18KP</t>
  </si>
  <si>
    <t>100006661</t>
  </si>
  <si>
    <t>NCL-1113-29 LC 35 AK-18KP</t>
  </si>
  <si>
    <t>100006662</t>
  </si>
  <si>
    <t>NCL-1113-29 LC 5 AK-18KP</t>
  </si>
  <si>
    <t>100006663</t>
  </si>
  <si>
    <t>NCL-11301 AC CLEAR 05 VN-18KP</t>
  </si>
  <si>
    <t>100006664</t>
  </si>
  <si>
    <t>NCSS-1112-29 LC AK-180KB</t>
  </si>
  <si>
    <t>100006665</t>
  </si>
  <si>
    <t>NCSS-1112-AC-AK-18KP</t>
  </si>
  <si>
    <t>100006666</t>
  </si>
  <si>
    <t>NCSS-11201 AC VN-18KP</t>
  </si>
  <si>
    <t>100006668</t>
  </si>
  <si>
    <t>PSV-76000 SB HC MY VN-18KJ</t>
  </si>
  <si>
    <t>100006669</t>
  </si>
  <si>
    <t>PUH-56306 LY VN-18KP</t>
  </si>
  <si>
    <t>100006670</t>
  </si>
  <si>
    <t>PUL-51339 CLEAR 05 VN-18KP</t>
  </si>
  <si>
    <t>100006671</t>
  </si>
  <si>
    <t>PUL-53306 AC EX CLEAR 05 STB VN-18KP</t>
  </si>
  <si>
    <t>100006672</t>
  </si>
  <si>
    <t>PUL-53306 AC EX CLEAR 10 STB VN-18KP</t>
  </si>
  <si>
    <t>100006673</t>
  </si>
  <si>
    <t>PUL-53306 AC EX CLEAR 10 VN-18KP</t>
  </si>
  <si>
    <t>100006674</t>
  </si>
  <si>
    <t>RD-74106 VN-180KK</t>
  </si>
  <si>
    <t>100006675</t>
  </si>
  <si>
    <t>THC-73100 402 VN-160KK</t>
  </si>
  <si>
    <t>100006676</t>
  </si>
  <si>
    <t>THC-73100-007 VN-160KK</t>
  </si>
  <si>
    <t>100006677</t>
  </si>
  <si>
    <t>THC-73100-007 VN-16KJ</t>
  </si>
  <si>
    <t>100006678</t>
  </si>
  <si>
    <t>THNC-71100 SD VN-180KK</t>
  </si>
  <si>
    <t>100006679</t>
  </si>
  <si>
    <t>THPU-71306 01 KD VN-180KK</t>
  </si>
  <si>
    <t>100006680</t>
  </si>
  <si>
    <t>THPU-71306-160KK</t>
  </si>
  <si>
    <t>100006681</t>
  </si>
  <si>
    <t>THPU-71324-1 EST YJ VN-180KK</t>
  </si>
  <si>
    <t>100006684</t>
  </si>
  <si>
    <t>THGZ-72200 D40 VN-160KK</t>
  </si>
  <si>
    <t>100000083</t>
  </si>
  <si>
    <t>GZ-9127-N570-AK-18KP</t>
  </si>
  <si>
    <t>100000095</t>
  </si>
  <si>
    <t>GZ-9127-WS-AK-18KP</t>
  </si>
  <si>
    <t>100000129</t>
  </si>
  <si>
    <t>NBC-9345-518-AK-200KB</t>
  </si>
  <si>
    <t>100000132</t>
  </si>
  <si>
    <t>NBC-9345-553-AK-200KB</t>
  </si>
  <si>
    <t>100000141</t>
  </si>
  <si>
    <t>NBC-9345-697-AK-200KB</t>
  </si>
  <si>
    <t>100000142</t>
  </si>
  <si>
    <t>NBC-9345-706-AK-200KB</t>
  </si>
  <si>
    <t>100000143</t>
  </si>
  <si>
    <t>NBC-9345-747-AK-200KB</t>
  </si>
  <si>
    <t>100000144</t>
  </si>
  <si>
    <t>NBC-9345-771-AK-200KB</t>
  </si>
  <si>
    <t>100000146</t>
  </si>
  <si>
    <t>NBC-9345-802-AK-200KB</t>
  </si>
  <si>
    <t>100000149</t>
  </si>
  <si>
    <t>NBC-9345-880-AK-200KB</t>
  </si>
  <si>
    <t>100000152</t>
  </si>
  <si>
    <t>NBC-9345-B655AK-20KP</t>
  </si>
  <si>
    <t>100000155</t>
  </si>
  <si>
    <t>NBC-9345-B13-AK-200KB</t>
  </si>
  <si>
    <t>100000161</t>
  </si>
  <si>
    <t>NBC-9345-T781AK-200KB</t>
  </si>
  <si>
    <t>100000167</t>
  </si>
  <si>
    <t>NCL-9408-10-AK-180KB</t>
  </si>
  <si>
    <t>100000169</t>
  </si>
  <si>
    <t>NCL-9408-20-AK-180KB</t>
  </si>
  <si>
    <t>100000171</t>
  </si>
  <si>
    <t>NCL-9408-30-AK-180KB</t>
  </si>
  <si>
    <t>100000176</t>
  </si>
  <si>
    <t>NCL-9408-5-AK-180KB</t>
  </si>
  <si>
    <t>100000178</t>
  </si>
  <si>
    <t>NCL-9408-50-AK-180KB</t>
  </si>
  <si>
    <t>100000199</t>
  </si>
  <si>
    <t>NCSS-9308-LC-AK-180KB</t>
  </si>
  <si>
    <t>100000208</t>
  </si>
  <si>
    <t>PCA-2311-BL-AK-4K</t>
  </si>
  <si>
    <t>100000278</t>
  </si>
  <si>
    <t>PCA-2311-YHR-AK-4K</t>
  </si>
  <si>
    <t>100000525</t>
  </si>
  <si>
    <t>PUP-1521-570-AK-200KB</t>
  </si>
  <si>
    <t>100000562</t>
  </si>
  <si>
    <t>RD-2741-03-AK-180KK</t>
  </si>
  <si>
    <t>100000621</t>
  </si>
  <si>
    <t>SST-2111-BL-AK-4K</t>
  </si>
  <si>
    <t>100000633</t>
  </si>
  <si>
    <t>SST-2111-BU-AK-4K</t>
  </si>
  <si>
    <t>100000769</t>
  </si>
  <si>
    <t>SST-2111-RBE-AK-4K</t>
  </si>
  <si>
    <t>100000771</t>
  </si>
  <si>
    <t>SST-2111-RED-AK-4K</t>
  </si>
  <si>
    <t>100000832</t>
  </si>
  <si>
    <t>SST-2111-YEL-AK-4K</t>
  </si>
  <si>
    <t>100000858</t>
  </si>
  <si>
    <t>THC-2731-201-AK-160KK</t>
  </si>
  <si>
    <t>100000863</t>
  </si>
  <si>
    <t>THC-2731-402-AK-170KK</t>
  </si>
  <si>
    <t>100000869</t>
  </si>
  <si>
    <t>THGZ-2722-AK-150KK</t>
  </si>
  <si>
    <t>100000875</t>
  </si>
  <si>
    <t>THNC-2711-SD-AK-160KK</t>
  </si>
  <si>
    <t>100000879</t>
  </si>
  <si>
    <t>THPU-2713-06-AK-160KK</t>
  </si>
  <si>
    <t>100002431</t>
  </si>
  <si>
    <t>PUH-1561-33-AK-20KP</t>
  </si>
  <si>
    <t>100002749</t>
  </si>
  <si>
    <t>NBC-9345-T046AK-200KB</t>
  </si>
  <si>
    <t>100002790</t>
  </si>
  <si>
    <t>GZ-9127-N-BL-AK-4K</t>
  </si>
  <si>
    <t>100002791</t>
  </si>
  <si>
    <t>GZ-9127-N-YE-AK-4K</t>
  </si>
  <si>
    <t>100002858</t>
  </si>
  <si>
    <t>PUP-1521-WHI-AK-200KB</t>
  </si>
  <si>
    <t>100002864</t>
  </si>
  <si>
    <t>GZ-9127-N-RE-AK-4K</t>
  </si>
  <si>
    <t>100002869</t>
  </si>
  <si>
    <t>GZ-9127-N-VD-AK-4K</t>
  </si>
  <si>
    <t>100002998</t>
  </si>
  <si>
    <t>NBC-9345-716-AK-200KB</t>
  </si>
  <si>
    <t>100003117</t>
  </si>
  <si>
    <t>NBC-9345-WHI-AK-200KB</t>
  </si>
  <si>
    <t>100003249</t>
  </si>
  <si>
    <t>NBC-9345-902-AK-200KB</t>
  </si>
  <si>
    <t>100003257</t>
  </si>
  <si>
    <t>WBP-1621-WHI-AK-20KP</t>
  </si>
  <si>
    <t>100003286</t>
  </si>
  <si>
    <t>PP-9981-111-AK-1K</t>
  </si>
  <si>
    <t>100003287</t>
  </si>
  <si>
    <t>PCA-2311-WH-AK-4K</t>
  </si>
  <si>
    <t>100003288</t>
  </si>
  <si>
    <t>PCA-2311-ROB-AK-4K</t>
  </si>
  <si>
    <t>100003304</t>
  </si>
  <si>
    <t>NBC-9345-568-AK-200KB</t>
  </si>
  <si>
    <t>100003305</t>
  </si>
  <si>
    <t>NCL-1113-30W-AK-18KP</t>
  </si>
  <si>
    <t>100003317</t>
  </si>
  <si>
    <t>PW-2316-YAR-AK-4K</t>
  </si>
  <si>
    <t>100003318</t>
  </si>
  <si>
    <t>PW-2316-YOR-AK-4K</t>
  </si>
  <si>
    <t>100003319</t>
  </si>
  <si>
    <t>PW-2316-BUO-AK-4K</t>
  </si>
  <si>
    <t>100003327</t>
  </si>
  <si>
    <t>WBC-1622-W15-AK-20KP</t>
  </si>
  <si>
    <t>100003574</t>
  </si>
  <si>
    <t>WBC-1622-212PAK-20KP</t>
  </si>
  <si>
    <t>100003921</t>
  </si>
  <si>
    <t>PG-9139-WHI-AK-20KP</t>
  </si>
  <si>
    <t>100004013</t>
  </si>
  <si>
    <t>NBC-9345-879-AK-200KB</t>
  </si>
  <si>
    <t>100004024</t>
  </si>
  <si>
    <t>NBC-9345-5939AK-200KB</t>
  </si>
  <si>
    <t>100004110</t>
  </si>
  <si>
    <t>NCL-1113-AC80AK-20LP</t>
  </si>
  <si>
    <t>100004160</t>
  </si>
  <si>
    <t>NBC-9345-818-AK-200KB</t>
  </si>
  <si>
    <t>100004189</t>
  </si>
  <si>
    <t>PUP-1541-WHI-AK-20KP</t>
  </si>
  <si>
    <t>100004688</t>
  </si>
  <si>
    <t>PUC-1542-1221AK-20KP</t>
  </si>
  <si>
    <t>100004691</t>
  </si>
  <si>
    <t>PUH-1563-LY-AK-3.8K</t>
  </si>
  <si>
    <t>100004925</t>
  </si>
  <si>
    <t>PUP-1521-902-AK-20KP</t>
  </si>
  <si>
    <t>100004991</t>
  </si>
  <si>
    <t>NBC-9345-902NAK-20KP</t>
  </si>
  <si>
    <t>100005012</t>
  </si>
  <si>
    <t>LOL-1762-01-AK-180KK</t>
  </si>
  <si>
    <t>100005015</t>
  </si>
  <si>
    <t>PUP-1521-697-AK-20KP</t>
  </si>
  <si>
    <t>100005081</t>
  </si>
  <si>
    <t>NCL-32-LY-5-AK-18KP</t>
  </si>
  <si>
    <t>100005152</t>
  </si>
  <si>
    <t>WBC-1622-B188AK-20KP</t>
  </si>
  <si>
    <t>100005155</t>
  </si>
  <si>
    <t>NCL-1113-AC05AK-18KP</t>
  </si>
  <si>
    <t>100005157</t>
  </si>
  <si>
    <t>DP-1221-211-AK-180KB</t>
  </si>
  <si>
    <t>100005162</t>
  </si>
  <si>
    <t>WBP-1621-WH-AK-20KP</t>
  </si>
  <si>
    <t>100005182</t>
  </si>
  <si>
    <t>NBC-9345-3200AK-20KP</t>
  </si>
  <si>
    <t>100005394</t>
  </si>
  <si>
    <t>DP-32-1512BU-AK-18KP</t>
  </si>
  <si>
    <t>100005396</t>
  </si>
  <si>
    <t>DP-32-1512YE-AK-18KP</t>
  </si>
  <si>
    <t>100005398</t>
  </si>
  <si>
    <t>DP-32-1512WH-AK-18KP</t>
  </si>
  <si>
    <t>100005533</t>
  </si>
  <si>
    <t>PUP-1521-660-AK-200KB</t>
  </si>
  <si>
    <t>100005535</t>
  </si>
  <si>
    <t>NBC-9345-660-AK-200KB</t>
  </si>
  <si>
    <t>100005650</t>
  </si>
  <si>
    <t>NBC-9345-2444AK-20KP</t>
  </si>
  <si>
    <t>100005684</t>
  </si>
  <si>
    <t>NBC-9345-W126AK-20KP</t>
  </si>
  <si>
    <t>100005686</t>
  </si>
  <si>
    <t>NBC-9345-1760AK-20KP</t>
  </si>
  <si>
    <t>100005800</t>
  </si>
  <si>
    <t>PUP-1521-2114AK-20KP</t>
  </si>
  <si>
    <t>100005802</t>
  </si>
  <si>
    <t>PUL-51335-90-AK-20KP</t>
  </si>
  <si>
    <t>100005803</t>
  </si>
  <si>
    <t>PUH-1561-35-AK-20KP</t>
  </si>
  <si>
    <t>100005824</t>
  </si>
  <si>
    <t>WBP-1621-35W-AK-20KP</t>
  </si>
  <si>
    <t>100005825</t>
  </si>
  <si>
    <t>WBC-1622-WH10AK-20KP</t>
  </si>
  <si>
    <t>100005863</t>
  </si>
  <si>
    <t>NBC-9345-W137AK-20KP</t>
  </si>
  <si>
    <t>100005985</t>
  </si>
  <si>
    <t>PUC-1542-2114AK-20KP</t>
  </si>
  <si>
    <t>100006019</t>
  </si>
  <si>
    <t>NBC-9345-429-AK-20KP</t>
  </si>
  <si>
    <t>100006088</t>
  </si>
  <si>
    <t>NBC-9345-T429AK-20KP</t>
  </si>
  <si>
    <t>100006090</t>
  </si>
  <si>
    <t>NCL-1113-SR20AK-18KP</t>
  </si>
  <si>
    <t>100006121</t>
  </si>
  <si>
    <t>NBC-9345-787-AK-20KP</t>
  </si>
  <si>
    <t>100006197</t>
  </si>
  <si>
    <t>NBC-9345-1075AK-20KP</t>
  </si>
  <si>
    <t>100006199</t>
  </si>
  <si>
    <t>DP-1221-1075-AK-18KP</t>
  </si>
  <si>
    <t>100006258</t>
  </si>
  <si>
    <t>NBC-9345-2447AK-20KP</t>
  </si>
  <si>
    <t>100006281</t>
  </si>
  <si>
    <t>NBC-9345-2437AK-20KP</t>
  </si>
  <si>
    <t>100006551</t>
  </si>
  <si>
    <t>NBC9345T660AKVN-20KP</t>
  </si>
  <si>
    <t>100006612</t>
  </si>
  <si>
    <t>NBC93452545AKVN-20KP</t>
  </si>
  <si>
    <t>100006614</t>
  </si>
  <si>
    <t>NBC93452557AKVN-20KP</t>
  </si>
  <si>
    <t>100006655</t>
  </si>
  <si>
    <t>NBC93452521AKVN-20KP</t>
  </si>
  <si>
    <t>100006717</t>
  </si>
  <si>
    <t>NBC9345T743AKVN-20KP</t>
  </si>
  <si>
    <t>100006719</t>
  </si>
  <si>
    <t>NBC93452566AKVN-20KP</t>
  </si>
  <si>
    <t>100003316</t>
  </si>
  <si>
    <t>PW-2316-R35-AK-4K</t>
  </si>
  <si>
    <t>100004764</t>
  </si>
  <si>
    <t>PUH-1561-39-AK-20KP</t>
  </si>
  <si>
    <t>100004815</t>
  </si>
  <si>
    <t>PUC-1522-WH10AK-20KP</t>
  </si>
  <si>
    <t>100005708</t>
  </si>
  <si>
    <t>PUP-1521-1187AK-20KP</t>
  </si>
  <si>
    <t>100005758</t>
  </si>
  <si>
    <t>WBC-1622-BC5AK-20KP</t>
  </si>
  <si>
    <t>100005821</t>
  </si>
  <si>
    <t>WBP-1621-BR-AK-20KP</t>
  </si>
  <si>
    <t>100005822</t>
  </si>
  <si>
    <t>WBC-1622-BR10AK-20KP</t>
  </si>
  <si>
    <t>100005826</t>
  </si>
  <si>
    <t>WBP-1621-BL-AK-20KP</t>
  </si>
  <si>
    <t>100005827</t>
  </si>
  <si>
    <t>WBC-1622-BL10AK-20KP</t>
  </si>
  <si>
    <t>100005903</t>
  </si>
  <si>
    <t>PW-2316-RAB-AK-4K</t>
  </si>
  <si>
    <t>100005904</t>
  </si>
  <si>
    <t>PW-2316-WHI-AK-4K</t>
  </si>
  <si>
    <t>100005905</t>
  </si>
  <si>
    <t>PW-2316-BLA-AK-4K</t>
  </si>
  <si>
    <t>100005906</t>
  </si>
  <si>
    <t>WBL-61202-BC5AK-20KP</t>
  </si>
  <si>
    <t>100005907</t>
  </si>
  <si>
    <t>WBC-62241-BW5AK-20KP</t>
  </si>
  <si>
    <t>100005958</t>
  </si>
  <si>
    <t>THPU-2713-06-AK-25KJ</t>
  </si>
  <si>
    <t>100000245</t>
  </si>
  <si>
    <t>PCA-31100 RX C50 BLACK VN-4K</t>
  </si>
  <si>
    <t>100006599</t>
  </si>
  <si>
    <t>GZ-12700 N STRATON KD VN-4K</t>
  </si>
  <si>
    <t>100006600</t>
  </si>
  <si>
    <t>SST-11100 YELLOW KD VN-4K</t>
  </si>
  <si>
    <t>100001961</t>
  </si>
  <si>
    <t>WPWB-81201 ML VN-20KP</t>
  </si>
  <si>
    <t>100002992</t>
  </si>
  <si>
    <t>NCL-40800 LY CLEAR 40 VN-18LP</t>
  </si>
  <si>
    <t>100000195</t>
  </si>
  <si>
    <t>NCL-40800 LY CLEAR 90 VN-20LP</t>
  </si>
  <si>
    <t>100000852</t>
  </si>
  <si>
    <t>THC-73100-1103 KD VN-20LJ</t>
  </si>
  <si>
    <t>100000886</t>
  </si>
  <si>
    <t>THPU-71306 VN-20LJ</t>
  </si>
  <si>
    <t>100002033</t>
  </si>
  <si>
    <t>AKS-71100 WP NATURAL VN-20KP</t>
  </si>
  <si>
    <t>100003299</t>
  </si>
  <si>
    <t>MPUL-13700 20 VN-16KP</t>
  </si>
  <si>
    <t>100003897</t>
  </si>
  <si>
    <t>NCSS-11229 BC VN-20LP</t>
  </si>
  <si>
    <t>100003899</t>
  </si>
  <si>
    <t>NCL-11329 BC CLEAR 30 VN-20LP</t>
  </si>
  <si>
    <t>100003929</t>
  </si>
  <si>
    <t>NCL-11329 BC CLEAR 10 VN-20LP</t>
  </si>
  <si>
    <t>100004097</t>
  </si>
  <si>
    <t>WBL-61201 CLEAR 05 VN-20KP</t>
  </si>
  <si>
    <t>100004104</t>
  </si>
  <si>
    <t>WBL-61201 CLEAR 50 VN-20KP</t>
  </si>
  <si>
    <t>100005771</t>
  </si>
  <si>
    <t>PUC-54205 AC NYU PT 01 30 GE VN-20KP</t>
  </si>
  <si>
    <t>100005796</t>
  </si>
  <si>
    <t>PP-98100 PEARL G24 VN-1K</t>
  </si>
  <si>
    <t>100006604</t>
  </si>
  <si>
    <t>PUC-54205 AC CREAM 90 GE VN-20KP</t>
  </si>
  <si>
    <t>100000441</t>
  </si>
  <si>
    <t>PUC-54205 AC WHITE 05 MK VN-20KP</t>
  </si>
  <si>
    <t>100001954</t>
  </si>
  <si>
    <t>PUC-54205 AC BG MK 05 VN-20KP</t>
  </si>
  <si>
    <t>100002023</t>
  </si>
  <si>
    <t>PUC-54206 AC EX TB 05 MK VN-20KP</t>
  </si>
  <si>
    <t>100002395</t>
  </si>
  <si>
    <t>PUC-52239 BLACK 05 VN-20KP</t>
  </si>
  <si>
    <t>100003594</t>
  </si>
  <si>
    <t>PUC-54205 AC YELLOW DA 10 MK VN-20KP</t>
  </si>
  <si>
    <t>100003617</t>
  </si>
  <si>
    <t>PUC-54205 AC WHITEGREY 05 MK VN-20KP</t>
  </si>
  <si>
    <t>100003647</t>
  </si>
  <si>
    <t>PUC-54206 AC EX CEMENT 05 MK VN-20KP</t>
  </si>
  <si>
    <t>100004538</t>
  </si>
  <si>
    <t>PUC-54206 AC EX BLUE DL 05 MK VN-20KP</t>
  </si>
  <si>
    <t>100004660</t>
  </si>
  <si>
    <t>PUC-54205 AC TALCO 08 MK VN-20KP</t>
  </si>
  <si>
    <t>100004663</t>
  </si>
  <si>
    <t>PUC-54206 AC EX CUANDO 05 MK VN-20KP</t>
  </si>
  <si>
    <t>100004824</t>
  </si>
  <si>
    <t>PUC-54206 AC EX VERDE 05 MK VN-20KP</t>
  </si>
  <si>
    <t>100004941</t>
  </si>
  <si>
    <t>PUC-52241 U961PT 05 MK VN-20KP</t>
  </si>
  <si>
    <t>100005185</t>
  </si>
  <si>
    <t>WFPU-51000 MKG08 MK VN-20KP</t>
  </si>
  <si>
    <t>100005186</t>
  </si>
  <si>
    <t>PCA-31100 MKG08 MK VN-16KJ</t>
  </si>
  <si>
    <t>100005187</t>
  </si>
  <si>
    <t>GZPU-21500 MKG08 MK VN-18KP</t>
  </si>
  <si>
    <t>100005219</t>
  </si>
  <si>
    <t>PUC-54206 AC EX MINK 05 MK VN-18KP</t>
  </si>
  <si>
    <t>100005388</t>
  </si>
  <si>
    <t>PUC-52239 BLACK 01 MK 05 VN-20KP</t>
  </si>
  <si>
    <t>100005389</t>
  </si>
  <si>
    <t>PUC-54205 AC PT18-4220 MK 08 VN-20KP</t>
  </si>
  <si>
    <t>100005807</t>
  </si>
  <si>
    <t>PCL-31300 NAU WALNUT MK VN-16KJ</t>
  </si>
  <si>
    <t>100005934</t>
  </si>
  <si>
    <t>PUC-52241 XANH CHITRINH 10 MK VN-20KP</t>
  </si>
  <si>
    <t>100006377</t>
  </si>
  <si>
    <t>PCA-31100 TRANG 04VEN MK VN-16KJ</t>
  </si>
  <si>
    <t>100006378</t>
  </si>
  <si>
    <t>PCA-31100 NAU 01VEN MK VN-16KJ</t>
  </si>
  <si>
    <t>100006379</t>
  </si>
  <si>
    <t>WFPU-51000 NAU 01VEN MK VN-20KP</t>
  </si>
  <si>
    <t>100006380</t>
  </si>
  <si>
    <t>SST-11100 CAM 02VEN MK VN-16KJ</t>
  </si>
  <si>
    <t>100006381</t>
  </si>
  <si>
    <t>PCA-31100 NAU 03VEN A MK VN-16KJ</t>
  </si>
  <si>
    <t>100006382</t>
  </si>
  <si>
    <t>PCA-31100 CAM 03VEN B MK VN-16KJ</t>
  </si>
  <si>
    <t>100006383</t>
  </si>
  <si>
    <t>GZPU-21500 DEN 03VEN MK VN-18KP</t>
  </si>
  <si>
    <t>100006595</t>
  </si>
  <si>
    <t>PUC-54205 AC GREY P06G 05 MK VN-20KP</t>
  </si>
  <si>
    <t>100000330</t>
  </si>
  <si>
    <t>PCWB-31600 OXIDE RED PASTE-4K</t>
  </si>
  <si>
    <t>100002294</t>
  </si>
  <si>
    <t>DC-12223 LC WHITE 01 20 VN-20KP</t>
  </si>
  <si>
    <t>100003375</t>
  </si>
  <si>
    <t>UVP-60103 HF WHITE VN-20KP</t>
  </si>
  <si>
    <t>100004841</t>
  </si>
  <si>
    <t>UVS-20602 BASE BLACK VN-5K</t>
  </si>
  <si>
    <t>100004842</t>
  </si>
  <si>
    <t>UVS-20602 BASE YELLOW VN-5K</t>
  </si>
  <si>
    <t>100004844</t>
  </si>
  <si>
    <t>UVS-20602 BASE BLUE VN-5K</t>
  </si>
  <si>
    <t>100004846</t>
  </si>
  <si>
    <t>UVS-20602 BASE RED VN-5K</t>
  </si>
  <si>
    <t>100005135</t>
  </si>
  <si>
    <t>UVL-50508 LY CLEAR 08 VN-20KP</t>
  </si>
  <si>
    <t>100005136</t>
  </si>
  <si>
    <t>UVSS-40502 LY VN-20KP</t>
  </si>
  <si>
    <t>100005421</t>
  </si>
  <si>
    <t>UVP-60508 BASE VN-20KP</t>
  </si>
  <si>
    <t>100005860</t>
  </si>
  <si>
    <t>UVL-50101 CLEAR 60 VN-20KP</t>
  </si>
  <si>
    <t>100006170</t>
  </si>
  <si>
    <t>WBSS-61106 HS VN-20KP</t>
  </si>
  <si>
    <t>100006304</t>
  </si>
  <si>
    <t>THNC-52 VN-20LJ</t>
  </si>
  <si>
    <t>100006305</t>
  </si>
  <si>
    <t>THNC-52 VN-200LK</t>
  </si>
  <si>
    <t>100006453</t>
  </si>
  <si>
    <t>WBL-61204 CLEAR 30 VN-20KP</t>
  </si>
  <si>
    <t>100006507</t>
  </si>
  <si>
    <t>DP-12123 LC GREEN HMU VN-18KP</t>
  </si>
  <si>
    <t>100003772</t>
  </si>
  <si>
    <t>PUSS-51241 VC VN-20KP</t>
  </si>
  <si>
    <t>100005150</t>
  </si>
  <si>
    <t>DP-12123 F127 M2 VN-20KP</t>
  </si>
  <si>
    <t>100005151</t>
  </si>
  <si>
    <t>DC-12229 LC F127 05 M2 VN-20KP</t>
  </si>
  <si>
    <t>100005770</t>
  </si>
  <si>
    <t>TOL-76301 N BROWN ARC MH VN-16KJ</t>
  </si>
  <si>
    <t>100006541</t>
  </si>
  <si>
    <t>PUC-54205 AC WHITE 20 TCS VN-20KP</t>
  </si>
  <si>
    <t>100006542</t>
  </si>
  <si>
    <t>PUC-54205 AC GREY 20 TCS VN-20KP</t>
  </si>
  <si>
    <t>100006543</t>
  </si>
  <si>
    <t>PUP-52141 BLUE TCS VN-20KP</t>
  </si>
  <si>
    <t>100006544</t>
  </si>
  <si>
    <t>PUC-54206 AC EX BLUE 20 TCS VN-18KP</t>
  </si>
  <si>
    <t>100006556</t>
  </si>
  <si>
    <t>PUC-54205 AC XAM2258K 10 TCS VN-20KP</t>
  </si>
  <si>
    <t>100006557</t>
  </si>
  <si>
    <t>PUC-54205 AC XAM2262K 10 TCS VN-20KP</t>
  </si>
  <si>
    <t>100006558</t>
  </si>
  <si>
    <t>PUC-54205 AC XAM2254K 10 TCS VN-20KP</t>
  </si>
  <si>
    <t>100006560</t>
  </si>
  <si>
    <t>PUC-54205 AC WHT2252K 10 TCS VN-20KP</t>
  </si>
  <si>
    <t>100006561</t>
  </si>
  <si>
    <t>PUC-54205 AC XAM2263K 10 TCS VN-20KP</t>
  </si>
  <si>
    <t>100006562</t>
  </si>
  <si>
    <t>PUC-54206 AC EX BLUE2264 10 TCSVN-18KP</t>
  </si>
  <si>
    <t>100006576</t>
  </si>
  <si>
    <t>PUC-54205 AC GREY2260 10 TCS VN-20KP</t>
  </si>
  <si>
    <t>100006577</t>
  </si>
  <si>
    <t>PUC-54205 AC BLUE2261 10 TCS VN-20KP</t>
  </si>
  <si>
    <t>100006578</t>
  </si>
  <si>
    <t>PUC-54205 AC BLUE2267 10 TCS VN-20KP</t>
  </si>
  <si>
    <t>100006579</t>
  </si>
  <si>
    <t>PUC-54205 AC GREY2273 10 TCS VN-20KP</t>
  </si>
  <si>
    <t>100000215</t>
  </si>
  <si>
    <t>PCA-31100 BROWN PASTE VN-4K</t>
  </si>
  <si>
    <t>100006448</t>
  </si>
  <si>
    <t>PUP-54111 AC XAM S411 PMT VN-20KP</t>
  </si>
  <si>
    <t>100006563</t>
  </si>
  <si>
    <t>PUL-53306 AC EX CLEAR 20 PMT VN-18KP</t>
  </si>
  <si>
    <t>100000368</t>
  </si>
  <si>
    <t>PST-12200 2K TEAK SC VN-20LJ</t>
  </si>
  <si>
    <t>100006454</t>
  </si>
  <si>
    <t>PUC-54205 AC KEM3234P 08 HPT VN-20KP</t>
  </si>
  <si>
    <t>100006475</t>
  </si>
  <si>
    <t>SST-11100 BROWN 102A HPT VN-16KJ</t>
  </si>
  <si>
    <t>100006476</t>
  </si>
  <si>
    <t>SST-11100 BLACK 102B HPT VN-16KJ</t>
  </si>
  <si>
    <t>100006501</t>
  </si>
  <si>
    <t>PCA-31100 XAM 4008 HPT VN-16KJ</t>
  </si>
  <si>
    <t>100006502</t>
  </si>
  <si>
    <t>PCA-31100 VANG 4008 HPT VN-16KJ</t>
  </si>
  <si>
    <t>100006503</t>
  </si>
  <si>
    <t>GZPU-21500 NAU 4008 HPT VN-18KP</t>
  </si>
  <si>
    <t>100006508</t>
  </si>
  <si>
    <t>PCA-31100 NAU TI 101 HPT VN-16KJ</t>
  </si>
  <si>
    <t>100006509</t>
  </si>
  <si>
    <t>PCA-31100 NAU 7188 A HPT VN-16KJ</t>
  </si>
  <si>
    <t>100006510</t>
  </si>
  <si>
    <t>PCA-31100 CAM 7188 B HPT VN-16KJ</t>
  </si>
  <si>
    <t>100006511</t>
  </si>
  <si>
    <t>PCA-31100 CAM TI301 A HPT VN-16KJ</t>
  </si>
  <si>
    <t>100006512</t>
  </si>
  <si>
    <t>SST-11100 CAM TI301 B HPT VN-16KJ</t>
  </si>
  <si>
    <t>100006528</t>
  </si>
  <si>
    <t>PCA-31100 NAU WD103 HPT VN-16KJ</t>
  </si>
  <si>
    <t>100006529</t>
  </si>
  <si>
    <t>PCA-31100 NAU WD306 A HPT VN-16KJ</t>
  </si>
  <si>
    <t>100006530</t>
  </si>
  <si>
    <t>PCA-31100 NAU WD306 B HPT VN-16KJ</t>
  </si>
  <si>
    <t>100006531</t>
  </si>
  <si>
    <t>PCA-31100 NAU WD308 A HPT VN-16KJ</t>
  </si>
  <si>
    <t>100006532</t>
  </si>
  <si>
    <t>SST-11100 NAU WD308 B HPT VN-16KJ</t>
  </si>
  <si>
    <t>100006533</t>
  </si>
  <si>
    <t>PUP-52141 NAU WD102 HPT VN-20KP</t>
  </si>
  <si>
    <t>100006534</t>
  </si>
  <si>
    <t>PUC-52241 NAU WD102 10 HPT VN-20KP</t>
  </si>
  <si>
    <t>100005213</t>
  </si>
  <si>
    <t>NCSS-11231 VN-18KP</t>
  </si>
  <si>
    <t>100005371</t>
  </si>
  <si>
    <t>NCL-11331 CLEAR 30 VN-18KP</t>
  </si>
  <si>
    <t>100005482</t>
  </si>
  <si>
    <t>NCL-11331 CLEAR 20 VN-18KP</t>
  </si>
  <si>
    <t>100005528</t>
  </si>
  <si>
    <t>NCL-11331 CLEAR 05 VN-18KP</t>
  </si>
  <si>
    <t>100005867</t>
  </si>
  <si>
    <t>NCL-11331 CLEAR 10 VN-18KP</t>
  </si>
  <si>
    <t>100006301</t>
  </si>
  <si>
    <t>TOL-76301 N 2C-04 F1 VN-160KK</t>
  </si>
  <si>
    <t>100006321</t>
  </si>
  <si>
    <t>WBP-64130 EX 2C-W.WASH VN-150KB</t>
  </si>
  <si>
    <t>100006322</t>
  </si>
  <si>
    <t>WBC-64230 EX 2C-W.WASH 10 VN-18KP</t>
  </si>
  <si>
    <t>100006358</t>
  </si>
  <si>
    <t>WBP-64120 EX BROWN 2C VN-18KP</t>
  </si>
  <si>
    <t>100006404</t>
  </si>
  <si>
    <t>WBL-63230 EX CLEAR 10 2C VN-18KP</t>
  </si>
  <si>
    <t>100002447</t>
  </si>
  <si>
    <t>PUL-51333 CLEAR 20 VN-20KP</t>
  </si>
  <si>
    <t>100004609</t>
  </si>
  <si>
    <t>SST-11100 03 VC VN-200LK</t>
  </si>
  <si>
    <t>100004610</t>
  </si>
  <si>
    <t>SST-11100 04 VC VN-200LK</t>
  </si>
  <si>
    <t>100004611</t>
  </si>
  <si>
    <t>SST-11100 05 VC VN-200LK</t>
  </si>
  <si>
    <t>100004612</t>
  </si>
  <si>
    <t>PUL-51333 CLEAR 40 VN-20KP</t>
  </si>
  <si>
    <t>100004613</t>
  </si>
  <si>
    <t>PUL-51333 CLEAR 60 VN-20KP</t>
  </si>
  <si>
    <t>100004956</t>
  </si>
  <si>
    <t>GZPU-21500 03 VC III VN-18KP</t>
  </si>
  <si>
    <t>100004963</t>
  </si>
  <si>
    <t>SST-11100 05 VC III VN-180KK</t>
  </si>
  <si>
    <t>100004964</t>
  </si>
  <si>
    <t>SST-11100 03 VC III VN-180KK</t>
  </si>
  <si>
    <t>100004965</t>
  </si>
  <si>
    <t>SST-11100 04 VC III VN-180KK</t>
  </si>
  <si>
    <t>100005393</t>
  </si>
  <si>
    <t>SST-11100 13 VC VN-160KK</t>
  </si>
  <si>
    <t>100005487</t>
  </si>
  <si>
    <t>SST-11100 10 VC III VN-160KK</t>
  </si>
  <si>
    <t>100005594</t>
  </si>
  <si>
    <t>SST-11100 NAU 21 VC VN-160KK</t>
  </si>
  <si>
    <t>100005624</t>
  </si>
  <si>
    <t>SST-11100 CAM 14 VC III VN-160KK</t>
  </si>
  <si>
    <t>100005714</t>
  </si>
  <si>
    <t>SST-11100 NAU 15 VC III VN-160KK</t>
  </si>
  <si>
    <t>100005724</t>
  </si>
  <si>
    <t>SST-11100 MAU NAU 22 VC VN-160KK</t>
  </si>
  <si>
    <t>100005729</t>
  </si>
  <si>
    <t>SST-11100 CAM 01 VC I VN-160KK</t>
  </si>
  <si>
    <t>100005731</t>
  </si>
  <si>
    <t>SST-11100 NAU 01 VC I VN-160KK</t>
  </si>
  <si>
    <t>100005856</t>
  </si>
  <si>
    <t>SST-11100 NAU 23 VC VN-160KK</t>
  </si>
  <si>
    <t>100005857</t>
  </si>
  <si>
    <t>GZPU-21500 NAU 23 VC VN-18KP</t>
  </si>
  <si>
    <t>100005883</t>
  </si>
  <si>
    <t>SST-11100 NAU 24 VC VN-160KK</t>
  </si>
  <si>
    <t>100005889</t>
  </si>
  <si>
    <t>PCA-31100 XAM 03 VC V VN-16KJ</t>
  </si>
  <si>
    <t>100006003</t>
  </si>
  <si>
    <t>SST-11100 NAU 03 VC I VN-160KK</t>
  </si>
  <si>
    <t>100006023</t>
  </si>
  <si>
    <t>GZPU-21500 HV 03 VC VN-18KP</t>
  </si>
  <si>
    <t>100006024</t>
  </si>
  <si>
    <t>GZPU-21500 HV 03 VC III VN-18KP</t>
  </si>
  <si>
    <t>100006025</t>
  </si>
  <si>
    <t>GZPU-21500 HV 04 VC VN-18KP</t>
  </si>
  <si>
    <t>100006026</t>
  </si>
  <si>
    <t>GZPU-21500 HV 04 VC III VN-18KP</t>
  </si>
  <si>
    <t>100006027</t>
  </si>
  <si>
    <t>GZPU-21500 HV 13 VC VN-18KP</t>
  </si>
  <si>
    <t>100006376</t>
  </si>
  <si>
    <t>SST-11100 NAU 27 VC VN-160KK</t>
  </si>
  <si>
    <t>100006440</t>
  </si>
  <si>
    <t>SST-11100 NAU 28 VC VN-160KK</t>
  </si>
  <si>
    <t>100006450</t>
  </si>
  <si>
    <t>SST-11100 NAU 04 VC I VN-160KK</t>
  </si>
  <si>
    <t>100006609</t>
  </si>
  <si>
    <t>SST-11100 NAU 05 VC I VN-160KK</t>
  </si>
  <si>
    <t>100006004</t>
  </si>
  <si>
    <t>AP-98200 GOLD 99305 VN-25KP</t>
  </si>
  <si>
    <t>100006005</t>
  </si>
  <si>
    <t>AP-98200 GOLD 9315 VN-25KP</t>
  </si>
  <si>
    <t>100006006</t>
  </si>
  <si>
    <t>AP-98200 SILVER S9504 VN-20KP</t>
  </si>
  <si>
    <t>100006010</t>
  </si>
  <si>
    <t>AP-98200 GOLD 3310 VN-1K</t>
  </si>
  <si>
    <t>100006011</t>
  </si>
  <si>
    <t>AP-98200 GOLD 3365 VN-1K</t>
  </si>
  <si>
    <t>100006012</t>
  </si>
  <si>
    <t>AP-98200 SILVER BACDEO VN-1K</t>
  </si>
  <si>
    <t>100002633</t>
  </si>
  <si>
    <t>PUP-52122 PUTTY-4K</t>
  </si>
  <si>
    <t>100005165</t>
  </si>
  <si>
    <t>WBL-63215 EX CLEAR 20 VN-20KP</t>
  </si>
  <si>
    <t>100005266</t>
  </si>
  <si>
    <t>MEP-12003 WHITE GLASS VN-16KP</t>
  </si>
  <si>
    <t>100006161</t>
  </si>
  <si>
    <t>PUC-54205 AC KEM 01 90 SR VN-20KP</t>
  </si>
  <si>
    <t>100006187</t>
  </si>
  <si>
    <t>PUH-56306 LY SR VN-20LP</t>
  </si>
  <si>
    <t>100006201</t>
  </si>
  <si>
    <t>PUH-56306 LY SR VN-4L</t>
  </si>
  <si>
    <t>100006207</t>
  </si>
  <si>
    <t>PUC-54205 AC WHT KVHOME 90 SR VN-20KP</t>
  </si>
  <si>
    <t>100006212</t>
  </si>
  <si>
    <t>PUP-54111 AC GRN KAKIHOME SR VN-20KP</t>
  </si>
  <si>
    <t>100006213</t>
  </si>
  <si>
    <t>PUC-54206 AC EX GRNKAKI 90 SR VN-18KP</t>
  </si>
  <si>
    <t>100006215</t>
  </si>
  <si>
    <t>PUC-54205 AC WHT OVAL T 08 SR VN-20KP</t>
  </si>
  <si>
    <t>100006249</t>
  </si>
  <si>
    <t>PUC-54205 AC WHT TITO 08 SR VN-20KP</t>
  </si>
  <si>
    <t>100006250</t>
  </si>
  <si>
    <t>PUC-54206 AC EX YEL MN 05 SR VN-18KP</t>
  </si>
  <si>
    <t>100006251</t>
  </si>
  <si>
    <t>PUC-54206 AC EX GRN MN 05 SR VN-18KP</t>
  </si>
  <si>
    <t>100006255</t>
  </si>
  <si>
    <t>PUC-54205 AC WHT TIMESD 90 SR VN-20KP</t>
  </si>
  <si>
    <t>100006256</t>
  </si>
  <si>
    <t>PUC-54206 AC EX XAMOLVR 90 SR VN-18KP</t>
  </si>
  <si>
    <t>100006257</t>
  </si>
  <si>
    <t>PUC-54206 AC EX GRN DV 90 SR VN-18KP</t>
  </si>
  <si>
    <t>100006419</t>
  </si>
  <si>
    <t>PUC-54205 AC AMALIE 90 SR VN-20KP</t>
  </si>
  <si>
    <t>100006442</t>
  </si>
  <si>
    <t>PUC-54205 AC ASYM 90 SR VN-20KP</t>
  </si>
  <si>
    <t>100006559</t>
  </si>
  <si>
    <t>PUP-54111 AC BROWN LANA SR VN-20KP</t>
  </si>
  <si>
    <t>100006634</t>
  </si>
  <si>
    <t>PUP-54106 AC EX BROWN FAMI SR VN-20KP</t>
  </si>
  <si>
    <t>100006635</t>
  </si>
  <si>
    <t>PS-15100 BASE SRF VN-20KP</t>
  </si>
  <si>
    <t>100006687</t>
  </si>
  <si>
    <t>PCWB-31600 BLUE 50 NCF PASTE VN-4K</t>
  </si>
  <si>
    <t>100001817</t>
  </si>
  <si>
    <t>EL-501 NATURAL DOF 0014 VN-4L</t>
  </si>
  <si>
    <t>100001825</t>
  </si>
  <si>
    <t>EL-501 LS CANDY BROWN 1002 VN-4L</t>
  </si>
  <si>
    <t>100005538</t>
  </si>
  <si>
    <t>PCL-31300 BROWN TP35 T5 VN-16KJ</t>
  </si>
  <si>
    <t>1200000882</t>
  </si>
  <si>
    <t>CÔNG TY TNHH THƯƠNG MẠI DỊCH VỤ XÂY DỰNG VÀ CÔNG NGHỆ SÀN SƠN PHÁT</t>
  </si>
  <si>
    <t>100001318</t>
  </si>
  <si>
    <t>MX-94 LIGHT GREY VN-20KSP</t>
  </si>
  <si>
    <t>100001338</t>
  </si>
  <si>
    <t>MX-94 LIGHT BLUE VN-20KSP</t>
  </si>
  <si>
    <t>100000895</t>
  </si>
  <si>
    <t>TOL-76114 W VN-200LK</t>
  </si>
  <si>
    <t>100000902</t>
  </si>
  <si>
    <t>TOL-76301 N CLEAR BASE VN-200LK</t>
  </si>
  <si>
    <t>100006310</t>
  </si>
  <si>
    <t>TOL-76301 N YEL VEN HLP VN-160KK</t>
  </si>
  <si>
    <t>100001970</t>
  </si>
  <si>
    <t>UVSS-40101 VN-20KP</t>
  </si>
  <si>
    <t>100002290</t>
  </si>
  <si>
    <t>DC-12223 LC RL 20 VL VN-20KP</t>
  </si>
  <si>
    <t>100002324</t>
  </si>
  <si>
    <t>DP-12123 LC RL VL VN-20KP</t>
  </si>
  <si>
    <t>100002351</t>
  </si>
  <si>
    <t>NCL-11325 LC CLEAR 90 VN-20KP</t>
  </si>
  <si>
    <t>100002352</t>
  </si>
  <si>
    <t>NCL-11327 CLEAR 70 VN-20KP</t>
  </si>
  <si>
    <t>100002365</t>
  </si>
  <si>
    <t>NCSS-11225 LC VN-20KP</t>
  </si>
  <si>
    <t>100002439</t>
  </si>
  <si>
    <t>PUH-56139 VN-4K</t>
  </si>
  <si>
    <t>100002457</t>
  </si>
  <si>
    <t>PUL-51337 CLEAR 10 VN-18KP</t>
  </si>
  <si>
    <t>100002459</t>
  </si>
  <si>
    <t>PUL-51337 CLEAR 20 VN-18KP</t>
  </si>
  <si>
    <t>100002461</t>
  </si>
  <si>
    <t>PUL-51337 CLEAR 30 VN-18KP</t>
  </si>
  <si>
    <t>100002463</t>
  </si>
  <si>
    <t>PUL-51337 CLEAR 50 VN-18KP</t>
  </si>
  <si>
    <t>100002465</t>
  </si>
  <si>
    <t>PUL-51337 CLEAR 90 VN-18KP</t>
  </si>
  <si>
    <t>100002528</t>
  </si>
  <si>
    <t>PUSS-51237 VN-18KP</t>
  </si>
  <si>
    <t>100002539</t>
  </si>
  <si>
    <t>WBG-66900 IBW-200KB</t>
  </si>
  <si>
    <t>100002636</t>
  </si>
  <si>
    <t>DC-12225 LC WHITE 90 VN-18KP</t>
  </si>
  <si>
    <t>100003175</t>
  </si>
  <si>
    <t>UVSS-40102 VN-20KP</t>
  </si>
  <si>
    <t>100004994</t>
  </si>
  <si>
    <t>WBG-66900 IBW-210KB</t>
  </si>
  <si>
    <t>100005993</t>
  </si>
  <si>
    <t>PCA-31100 ORANGE GG PASTE VN-4K</t>
  </si>
  <si>
    <t>CÔNG TY TNHH VINAWOOD</t>
  </si>
  <si>
    <t>100001973</t>
  </si>
  <si>
    <t>UVL-50101 CLEAR 90 VN-20KP</t>
  </si>
  <si>
    <t>100005989</t>
  </si>
  <si>
    <t>UVL-50101 SR CLEAR 10 VN-20KP</t>
  </si>
  <si>
    <t>100006007</t>
  </si>
  <si>
    <t>UVL-50101 SR CLEAR 20 VN-20KP</t>
  </si>
  <si>
    <t>100006171</t>
  </si>
  <si>
    <t>WBL-61202 CLEAR 10 VW VN-20KP</t>
  </si>
  <si>
    <t>100001921</t>
  </si>
  <si>
    <t>UVP-60105 WHITE VN-20KP</t>
  </si>
  <si>
    <t>100004680</t>
  </si>
  <si>
    <t>UVSS-40102 KN VN-20KP</t>
  </si>
  <si>
    <t>100005505</t>
  </si>
  <si>
    <t>MEP-12003 BLACK KN VN-18KP</t>
  </si>
  <si>
    <t>100005506</t>
  </si>
  <si>
    <t>MEPH-12003 PS KN VN-2K</t>
  </si>
  <si>
    <t>100005808</t>
  </si>
  <si>
    <t>UVL-50101 CLEAR 10 KN VN-20KP</t>
  </si>
  <si>
    <t>100006082</t>
  </si>
  <si>
    <t>SST-11100 C25 GREEN WS VN-16KJ</t>
  </si>
  <si>
    <t>100006083</t>
  </si>
  <si>
    <t>SST-11100 C25 GREEN WS VN-4K</t>
  </si>
  <si>
    <t>100006084</t>
  </si>
  <si>
    <t>SST-11100 C25 YELLOW WS VN-16KJ</t>
  </si>
  <si>
    <t>100006085</t>
  </si>
  <si>
    <t>SST-11100 C25 YELLOW WS VN-4K</t>
  </si>
  <si>
    <t>100006086</t>
  </si>
  <si>
    <t>SST-11100 C25 BLACK WS VN-16KJ</t>
  </si>
  <si>
    <t>100006087</t>
  </si>
  <si>
    <t>SST-11100 C25 BLACK WS VN-4K</t>
  </si>
  <si>
    <t>100006092</t>
  </si>
  <si>
    <t>SST-11100 C25 RED WS VN-16KJ</t>
  </si>
  <si>
    <t>100006093</t>
  </si>
  <si>
    <t>SST-11100 C25 RED WS VN-4K</t>
  </si>
  <si>
    <t>100006564</t>
  </si>
  <si>
    <t>SST-11100 CS YELLOW WS VN-16KJ</t>
  </si>
  <si>
    <t>100006565</t>
  </si>
  <si>
    <t>SST-11100 YN 701 YELLOW WS VN-16KJ</t>
  </si>
  <si>
    <t>100006583</t>
  </si>
  <si>
    <t>PCA-31100 PG BLUE WS VN-4K</t>
  </si>
  <si>
    <t>100000324</t>
  </si>
  <si>
    <t>PCL-31300 YELLOW AR PASTE-4K</t>
  </si>
  <si>
    <t>100002379</t>
  </si>
  <si>
    <t>PUC-52235 BLACK 10 VN-20KP</t>
  </si>
  <si>
    <t>Name without Pack</t>
  </si>
  <si>
    <t>PUL-51339 CLEAR 10 VN</t>
  </si>
  <si>
    <t>THPU-71306 ST VN</t>
  </si>
  <si>
    <t>PUH-56135 S VN</t>
  </si>
  <si>
    <t>PUH-56139 VN</t>
  </si>
  <si>
    <t>PUSS-51235 VN</t>
  </si>
  <si>
    <t>PUL-51339 SR CLEAR 10 VN</t>
  </si>
  <si>
    <t>GZPU-21500 RU BASE VN</t>
  </si>
  <si>
    <t>MEP-12003 BROWN KI VN</t>
  </si>
  <si>
    <t>MEP-12003 CLEAR BASE VN</t>
  </si>
  <si>
    <t>MEP-12003 GREY VN</t>
  </si>
  <si>
    <t>PCA-31100 BLACK PASTE VN</t>
  </si>
  <si>
    <t>PCA-31100 WHITE PASTE VN</t>
  </si>
  <si>
    <t>PCL-31300 BLACK PASTE</t>
  </si>
  <si>
    <t>PCL-31300 BLUE OG PASTE</t>
  </si>
  <si>
    <t>PCL-31300 BLUE OR 50 PASTE</t>
  </si>
  <si>
    <t>PCL-31300 BROWN PASTE VN</t>
  </si>
  <si>
    <t>PCL-31300 RED OB 35 PASTE</t>
  </si>
  <si>
    <t>PCL-31300 WHITE PASTE</t>
  </si>
  <si>
    <t>PCL-31300 YELLOW OG 16 PASTE</t>
  </si>
  <si>
    <t>PCL-31300 YELLOW OKER PASTE</t>
  </si>
  <si>
    <t>PG-13900 WHITE 01 VN</t>
  </si>
  <si>
    <t>PUH-56306 LY VN</t>
  </si>
  <si>
    <t>PUL-53306 AC EX CLEAR 20 VN</t>
  </si>
  <si>
    <t>PUL-53306 AC EX CLEAR 50 VN</t>
  </si>
  <si>
    <t>PUL-53306 AC EX CLEAR 90 VN</t>
  </si>
  <si>
    <t>PUSS-53206 AC EX VN</t>
  </si>
  <si>
    <t>SST-11100 C10 BLACK</t>
  </si>
  <si>
    <t>SST-11100 C10 BLUE</t>
  </si>
  <si>
    <t>SST-11100 C10 ORANGE</t>
  </si>
  <si>
    <t>SST-11100 C10 RED</t>
  </si>
  <si>
    <t>SST-11100 C10 YELLOW</t>
  </si>
  <si>
    <t>THC-73100 201 VN</t>
  </si>
  <si>
    <t>THC-73100-201 VN</t>
  </si>
  <si>
    <t>THC-73100-552 VN</t>
  </si>
  <si>
    <t>THGZ-72200 PU VN</t>
  </si>
  <si>
    <t>THGZ-72200 VN</t>
  </si>
  <si>
    <t>THNC-71100 SD VN</t>
  </si>
  <si>
    <t>TOL-76114 W VN</t>
  </si>
  <si>
    <t>UVX-03300 VN</t>
  </si>
  <si>
    <t>MEPH-12003 PS VN</t>
  </si>
  <si>
    <t>MPULH-13700 PS VN</t>
  </si>
  <si>
    <t>SPE-9110 CRACKING VN</t>
  </si>
  <si>
    <t>MEP-12003 BLACK VN</t>
  </si>
  <si>
    <t>DC-12223 LC WHITE 01 05 VN</t>
  </si>
  <si>
    <t>DP-12123 LC WHITE 01 VN</t>
  </si>
  <si>
    <t>NCL-11329 LC CLEAR 05 VN</t>
  </si>
  <si>
    <t>NCL-11329 LC CLEAR 10 VN</t>
  </si>
  <si>
    <t>NCL-11329 LC CLEAR 20 VN</t>
  </si>
  <si>
    <t>NCL-11329 LC CLEAR 30 VN</t>
  </si>
  <si>
    <t>NCL-11329 LC CLEAR 40 VN</t>
  </si>
  <si>
    <t>NCL-11329 LC CLEAR 50 VN</t>
  </si>
  <si>
    <t>NCSS-11229 LC VN</t>
  </si>
  <si>
    <t>PSV-76000 SB HC MY VN</t>
  </si>
  <si>
    <t>PUL-51335 CLEAR 10 VN</t>
  </si>
  <si>
    <t>PUL-51335 CLEAR 20 VN</t>
  </si>
  <si>
    <t>PUL-51335 CLEAR 30 VN</t>
  </si>
  <si>
    <t>PUL-51335 CLEAR 40 VN</t>
  </si>
  <si>
    <t>PUL-51335 CLEAR 50 VN</t>
  </si>
  <si>
    <t>PUL-51335 CLEAR 90 AA VN</t>
  </si>
  <si>
    <t>PUP-52135 BLACK VN</t>
  </si>
  <si>
    <t>PUP-52135 WHITE VN</t>
  </si>
  <si>
    <t>RD-74106 VN</t>
  </si>
  <si>
    <t>PUP-52122 PUTTY VN</t>
  </si>
  <si>
    <t>GZPU-21500 BLACK VN</t>
  </si>
  <si>
    <t>GZPU-21500 BROWN VN</t>
  </si>
  <si>
    <t>GZ-12700 N BLACK VN</t>
  </si>
  <si>
    <t>GZ-12700 N RED VN</t>
  </si>
  <si>
    <t>GZ-12700 N YELLOW</t>
  </si>
  <si>
    <t>GZPU-21500 RED VN</t>
  </si>
  <si>
    <t>GZPU-21500 YELLOW VN</t>
  </si>
  <si>
    <t>PCL-31300 RED 31701 PASTE</t>
  </si>
  <si>
    <t>PCL-31300 YELLOW 170 HR PASTE</t>
  </si>
  <si>
    <t>GZPU-21500 WHITE VN</t>
  </si>
  <si>
    <t>THC-73100 102 VN</t>
  </si>
  <si>
    <t>MPUL-13700 90 VN</t>
  </si>
  <si>
    <t>DP-12129 LC BLACK VN</t>
  </si>
  <si>
    <t>PUL-53306 AC EX CLEAR 10 AA VN</t>
  </si>
  <si>
    <t>NCL-11329 LC CLEAR 80 VN</t>
  </si>
  <si>
    <t>SST-11100 BROWN AA VN</t>
  </si>
  <si>
    <t>WFPU-51000 VN</t>
  </si>
  <si>
    <t>MEP-12003 HC VN</t>
  </si>
  <si>
    <t>NCL-11329 LC CLEAR 03 VN</t>
  </si>
  <si>
    <t>RD-74103 VN</t>
  </si>
  <si>
    <t>PRCC-20401 EECV</t>
  </si>
  <si>
    <t>PRCC-10356 WBC NEW 54</t>
  </si>
  <si>
    <t>PRCC-20324 POLYESTER VARNISH</t>
  </si>
  <si>
    <t>PRCC-20616 EPOXY SIZE CHEN LAIN</t>
  </si>
  <si>
    <t>PRCC-10358 WBC POLYESTER PWC 3823</t>
  </si>
  <si>
    <t>PRCC-40114 GL 1398 VN</t>
  </si>
  <si>
    <t>PRCC-40233 GOLD LACQUER SDW VN</t>
  </si>
  <si>
    <t>PRCC-20310 POLYESTER VARNISH II VN</t>
  </si>
  <si>
    <t>PRCC-20324 POLYESTER CN VARNISH VN</t>
  </si>
  <si>
    <t>PRCC-40102 HV CLEAR LACQUER CL VN</t>
  </si>
  <si>
    <t>MPUL-13700 CL VN</t>
  </si>
  <si>
    <t>PRCC-40102 HV GOLD YANKEE CT VN</t>
  </si>
  <si>
    <t>PRCC-40102 HV GOLD T350 CT VN</t>
  </si>
  <si>
    <t>PRCC-20401 EECV MOULTRIE CT VN</t>
  </si>
  <si>
    <t>PCA-31100 BLUE OG PASTE VN</t>
  </si>
  <si>
    <t>PCA-31100 OXIDE RED PASTE VN</t>
  </si>
  <si>
    <t>PCA-31100 RED OB 35 PASTE VN</t>
  </si>
  <si>
    <t>PCA-31100 YELLOW HR PASTE VN</t>
  </si>
  <si>
    <t>PCA-31100 YELLOW OKER PASTE VN</t>
  </si>
  <si>
    <t>PCL-31300 OXIDE RED PASTE</t>
  </si>
  <si>
    <t>PCL-31300 RED PINK PASTE</t>
  </si>
  <si>
    <t>PCL-31300 VIOLET PASTE</t>
  </si>
  <si>
    <t>PUC-54205 AC WHITE 90 VN</t>
  </si>
  <si>
    <t>PUC-54205 AC WHITE 10 VN</t>
  </si>
  <si>
    <t>PUC-54205 AC WHITE 20 VN</t>
  </si>
  <si>
    <t>PUC-54205 AC WHITE 30 VN</t>
  </si>
  <si>
    <t>PUC-54206 AC EX BLACK 90 VN</t>
  </si>
  <si>
    <t>PUL-53306 AC EX CLEAR 10 VN</t>
  </si>
  <si>
    <t>THC-73100 402 VN</t>
  </si>
  <si>
    <t>THC-73100-007 VN</t>
  </si>
  <si>
    <t>PP-98100 PEARL 111 VN</t>
  </si>
  <si>
    <t>PUH-56133 S VN</t>
  </si>
  <si>
    <t>PUL-51333 CLEAR 10 VN</t>
  </si>
  <si>
    <t>PUL-51335 CLEAR 90 VN</t>
  </si>
  <si>
    <t>PUSS-51233 VN</t>
  </si>
  <si>
    <t>AP-98200 1201 VN</t>
  </si>
  <si>
    <t>WBL-61204 CLEAR 20 VN</t>
  </si>
  <si>
    <t>WBSS-61104 VN</t>
  </si>
  <si>
    <t>THPU-71306 WP LC VN</t>
  </si>
  <si>
    <t>PS-15100 BASE VN</t>
  </si>
  <si>
    <t>WBST-13100 C10 BLUE</t>
  </si>
  <si>
    <t>PCWB-31600 WHITE 02196 PASTE VN</t>
  </si>
  <si>
    <t>WBST-13100 BLACK VN</t>
  </si>
  <si>
    <t>WBST-13100 RED VN</t>
  </si>
  <si>
    <t>WBST-13100 YELLOW VN</t>
  </si>
  <si>
    <t>WBST-13100 BLUE VN</t>
  </si>
  <si>
    <t>PUC-54205 AC WHITE 14 10 BOH VN</t>
  </si>
  <si>
    <t>PUC-54205 AC GREY 26 08 BOH VN</t>
  </si>
  <si>
    <t>PUP-52135 RED 52 BOH VN</t>
  </si>
  <si>
    <t>PUC-54206 AC EX RED 52 30 BOH VN</t>
  </si>
  <si>
    <t>PUC-54205 AC CREAM 66 70 BOH VN</t>
  </si>
  <si>
    <t>PUC-54206 AC EX BROWN67 10 BOH VN</t>
  </si>
  <si>
    <t>PCL-31300 BLUE OR 50 PASTE VN</t>
  </si>
  <si>
    <t>PUC-54205 AC WHITE 43 10 BOH VN</t>
  </si>
  <si>
    <t>WBL-61202 CLEAR 20 VN</t>
  </si>
  <si>
    <t>NBC-34500 CREAM 01 PT VN</t>
  </si>
  <si>
    <t>11-26 WIPPING THINNER LC VN</t>
  </si>
  <si>
    <t>64-56 MICRO FILLER VN</t>
  </si>
  <si>
    <t>PCA-31100 BLUE OR 50 PASTE VN</t>
  </si>
  <si>
    <t>PCA-31100 YELLOW OG 16 PASTE VN</t>
  </si>
  <si>
    <t>PUC-54205 AC WHITE 50 VN</t>
  </si>
  <si>
    <t>PUC-54205 AC WHITE 70 VN</t>
  </si>
  <si>
    <t>PUL-53306 AC EX CLEAR 30 VN</t>
  </si>
  <si>
    <t>PUP-52141 WHITE 01 VN</t>
  </si>
  <si>
    <t>PUSS-51241 VN</t>
  </si>
  <si>
    <t>AP-98200 NLT 01 VN</t>
  </si>
  <si>
    <t>AP-98200 SILVER 2107 VN</t>
  </si>
  <si>
    <t>NCL-11301 AC CLEAR 10 VN</t>
  </si>
  <si>
    <t>PUH-56141 VN</t>
  </si>
  <si>
    <t>GP-98000 GREENISH</t>
  </si>
  <si>
    <t>PP-98100 PEARL 13 VN</t>
  </si>
  <si>
    <t>NCSS-11230 NG VN</t>
  </si>
  <si>
    <t>AP-98200 PEARL 01 PHALE VN</t>
  </si>
  <si>
    <t>PUL-53306 AC EX CLEAR 20 DN VN</t>
  </si>
  <si>
    <t>DP-12130 WHITE VN</t>
  </si>
  <si>
    <t>PCL-31300 VIOLET PASTE AF VN</t>
  </si>
  <si>
    <t>PUP-52141 WHITE BL VN</t>
  </si>
  <si>
    <t>PUL-53306 AC EX SUPER MATT VN</t>
  </si>
  <si>
    <t>64-56 MICRO FILLER 28 F1 VN</t>
  </si>
  <si>
    <t>PCA-31100 GREEN OB PASTE VN</t>
  </si>
  <si>
    <t>PCA-31102 BLACK OB PASTE</t>
  </si>
  <si>
    <t>PCA-31102 OXIDE RED 45 PASTE</t>
  </si>
  <si>
    <t>PCA-31102 YELLOW OKER 13 PASTE</t>
  </si>
  <si>
    <t>PCA-31102 YELLOW OR 10 PASTE</t>
  </si>
  <si>
    <t>PCU-31400 WHITE PASTE</t>
  </si>
  <si>
    <t>PST-12100 C10 RED</t>
  </si>
  <si>
    <t>PST-12100 C10 YELLOW</t>
  </si>
  <si>
    <t>PST-12100 C15 BLACK</t>
  </si>
  <si>
    <t>PST-12100 C20 WHITE</t>
  </si>
  <si>
    <t>PUC-54205 AC WHITE 15 VN</t>
  </si>
  <si>
    <t>PUL-53306 AC EX CLEAR 05 VN</t>
  </si>
  <si>
    <t>SST-11100 28 F1 VN</t>
  </si>
  <si>
    <t>TOL-76301 N CLEAR BASE VN</t>
  </si>
  <si>
    <t>TOL-76301 N MTT-01 VN</t>
  </si>
  <si>
    <t>TOL-76301 N RUDO F1 VN</t>
  </si>
  <si>
    <t>TOL-76301 N LEVICO F1 VN</t>
  </si>
  <si>
    <t>EQ-10200 MTT 01 TM VN</t>
  </si>
  <si>
    <t>PUP-54111 AC WHITE VN</t>
  </si>
  <si>
    <t>TOL-76301 N ML10 F1 VN</t>
  </si>
  <si>
    <t>PUP-54106 AC EX BLACK VN</t>
  </si>
  <si>
    <t>SST-11100 CACNAC 02 F1 VN</t>
  </si>
  <si>
    <t>TOL-76301 N GNH F1 VN</t>
  </si>
  <si>
    <t>TOL-76301 N RUDO I F1 VN</t>
  </si>
  <si>
    <t>TOL-76301 N ML12  F1 VN</t>
  </si>
  <si>
    <t>TOL-76301 N 2C01 F1 VN</t>
  </si>
  <si>
    <t>TOL-76301 N 2C02 F1 VN</t>
  </si>
  <si>
    <t>TOL-76301 N FR01 F1 VN</t>
  </si>
  <si>
    <t>PST-12200 1K GREY F1 VN</t>
  </si>
  <si>
    <t>TOL-76301 N GREY F1 VN</t>
  </si>
  <si>
    <t>TOL-76301 N 2C-03  F1 VN</t>
  </si>
  <si>
    <t>THPU-71306 01 KD VN</t>
  </si>
  <si>
    <t>SST-11100 YEL CANAC 05 F1 VN</t>
  </si>
  <si>
    <t>TOL-76301 N 2C-04 F1 VN</t>
  </si>
  <si>
    <t>PST-12100 C10 YELLOW VN</t>
  </si>
  <si>
    <t>TOL-76301 N LEVICO AQ F1 VN</t>
  </si>
  <si>
    <t>PG-13900 WHITE SA F1 VN</t>
  </si>
  <si>
    <t>SST-11100 YEL SA 01 F1 VN</t>
  </si>
  <si>
    <t>SST-11100 RED SA F1 VN</t>
  </si>
  <si>
    <t>WBL-63220 BROWN 2C01 N F1 VN</t>
  </si>
  <si>
    <t>WBL-63220 BLACK 2C01 F1 VN</t>
  </si>
  <si>
    <t>PCWB-31600 BLACK 90400 R PASTE VN</t>
  </si>
  <si>
    <t>PCWB-31600 RED 34597 PASTE VN</t>
  </si>
  <si>
    <t>PCWB-31600 YELLOW 10313 PASTE VN</t>
  </si>
  <si>
    <t>PCWB-31600 BROWN 645 PASTE VN</t>
  </si>
  <si>
    <t>DP-12129 LC YEL DIVA F1 VN</t>
  </si>
  <si>
    <t>PG-13900 WHITE DIVA F1 VN</t>
  </si>
  <si>
    <t>SST-11100 YEL DIVA F1 VN</t>
  </si>
  <si>
    <t>EQ-10200 YEL 2C05 F1 VN</t>
  </si>
  <si>
    <t>TOL-76301 N WHITE 2C05  F1 VN</t>
  </si>
  <si>
    <t>DC-12229 LC BLACK 10 VN</t>
  </si>
  <si>
    <t>SST-11100 BL AQ03 01 F1 VN</t>
  </si>
  <si>
    <t>SST-11100 BL AQ03 02 F1 VN</t>
  </si>
  <si>
    <t>PST-12100 RED AQ03 F1 VN</t>
  </si>
  <si>
    <t>PST-12100 YEL AQ23 01 F1 VN</t>
  </si>
  <si>
    <t>PST-12100 YEL AQ23 02 F1 VN</t>
  </si>
  <si>
    <t>PST-12100 YEL AQ25 01 F1 VN</t>
  </si>
  <si>
    <t>PST-12100 YEL AQ25 02 F1 VN</t>
  </si>
  <si>
    <t>TOL-76301 N YEL AQ 02 F1 VN</t>
  </si>
  <si>
    <t>SST-11100 BRO AQ04 F1 VN</t>
  </si>
  <si>
    <t>SST-11100 BL AQ04 F1 VN</t>
  </si>
  <si>
    <t>PST-12100 BRO AQ01 F1 VN</t>
  </si>
  <si>
    <t>PST-12100 RED AQ01 F1 VN</t>
  </si>
  <si>
    <t>PCL-31300 YEL DISCO 18 F1 VN</t>
  </si>
  <si>
    <t>PCL-31300 RED DISCO 18 F1 VN</t>
  </si>
  <si>
    <t>PCL-31300 XAM VSHW11 LAU F1 VN</t>
  </si>
  <si>
    <t>PCL-31300 WHITE VSHW11 DAM F1 VN</t>
  </si>
  <si>
    <t>PST-12100 YEL W03 LAU F1 VN</t>
  </si>
  <si>
    <t>PST-12100 BRO W03 DAM F1 VN</t>
  </si>
  <si>
    <t>PG-13900 WHITE W03 F1 VN</t>
  </si>
  <si>
    <t>PUC-54206 AC EX BLACK 15 VN</t>
  </si>
  <si>
    <t>PUP-52142 ACR BLACK SP VN</t>
  </si>
  <si>
    <t>PUP-52142 ACR WHITE SP VN</t>
  </si>
  <si>
    <t>PUH-56142 SP VN</t>
  </si>
  <si>
    <t>PST-12100 C10 RED VN</t>
  </si>
  <si>
    <t>PCL-31300 LIGHTTEAK L LAU F1 VN</t>
  </si>
  <si>
    <t>PCL-31300 LIGHTTEAK L DAM F1 VN</t>
  </si>
  <si>
    <t>PUP-54106 AC EX YEL W07 F1 VN</t>
  </si>
  <si>
    <t>PST-12100 YEL W07 DAM F1 VN</t>
  </si>
  <si>
    <t xml:space="preserve">DW-500 NT 740 DELICIOUS </t>
  </si>
  <si>
    <t>FLX-66300 WB VN</t>
  </si>
  <si>
    <t>PUL-51339 CLEAR 05 VN</t>
  </si>
  <si>
    <t>WPWB-81201 WHITE VN</t>
  </si>
  <si>
    <t>DC-12223 LC WHITE 01 10 VN</t>
  </si>
  <si>
    <t>GZ-9127-WS-AK</t>
  </si>
  <si>
    <t>WPWB-81201 W MQ VN</t>
  </si>
  <si>
    <t>MPUL-13700 50 VN</t>
  </si>
  <si>
    <t>WBMG-97100-1 VN</t>
  </si>
  <si>
    <t>NCSS-11229 VT VN</t>
  </si>
  <si>
    <t>DC-12229 LC KM02 05 K1 VN</t>
  </si>
  <si>
    <t>GZ-12700 N SOI A2 K1 VN</t>
  </si>
  <si>
    <t>DC-12207 WHITE DOVE 30 K1 VN</t>
  </si>
  <si>
    <t>DC-12207 GREY TRF 10 K1 VN</t>
  </si>
  <si>
    <t>PUC-54205 AC WHITE 08 AA VN</t>
  </si>
  <si>
    <t>PUL-51341 CLEAR 10 VN</t>
  </si>
  <si>
    <t>PUP-52141 BLACK 01 VN</t>
  </si>
  <si>
    <t>11-260 AF PU THINNER</t>
  </si>
  <si>
    <t>16-1015 URT FLAT A ST 01</t>
  </si>
  <si>
    <t>PCA-31100 BROWN 645 PASTE VN</t>
  </si>
  <si>
    <t>PCL-31300 BLACK PASTE VN</t>
  </si>
  <si>
    <t>THC-73100 202 VN</t>
  </si>
  <si>
    <t>THC-73100-252 VN</t>
  </si>
  <si>
    <t>THC-73100-452 VN</t>
  </si>
  <si>
    <t>THPU-71300 SB VN</t>
  </si>
  <si>
    <t>82-4025 UE AF URT WHITE A VN</t>
  </si>
  <si>
    <t>26-4020 URT WHITE A</t>
  </si>
  <si>
    <t>16-2005 URT SANDING A VN</t>
  </si>
  <si>
    <t>26-1005 URT FLAT A VN</t>
  </si>
  <si>
    <t>26-4029 URT WHITE A VN</t>
  </si>
  <si>
    <t>82-1189 UE AF URT FLAT A 5% VN</t>
  </si>
  <si>
    <t>AL-088 VN</t>
  </si>
  <si>
    <t>AL-089 VN</t>
  </si>
  <si>
    <t>PUH-56312 NY VN</t>
  </si>
  <si>
    <t>82-1099 UE AF URT FLAT A</t>
  </si>
  <si>
    <t>82-1047 UE AF URT FLAT A</t>
  </si>
  <si>
    <t>PUC-54206 AC GLASS BLK 10 VN</t>
  </si>
  <si>
    <t>11-256 AF PU THINNER</t>
  </si>
  <si>
    <t>PUL-53306 AC GLASS CLEAR 10 VN</t>
  </si>
  <si>
    <t>MEP-12003 GLASS VN</t>
  </si>
  <si>
    <t>THC-73100 552 VN</t>
  </si>
  <si>
    <t>NCL-40800 LC MOD CLEAR 20 VN</t>
  </si>
  <si>
    <t>NCL-40800 LC MOD CLEAR 30 VN</t>
  </si>
  <si>
    <t>NCSS-30800 LC MOD VN</t>
  </si>
  <si>
    <t>PUC-52239 WHITE 20 VN</t>
  </si>
  <si>
    <t>GZ-12700 N VAN DYKE BROWN VN</t>
  </si>
  <si>
    <t>LOL-1762-AK</t>
  </si>
  <si>
    <t>DC-12207 WHITE 20 VN</t>
  </si>
  <si>
    <t>UVSS-40104 VN</t>
  </si>
  <si>
    <t>THNC-51</t>
  </si>
  <si>
    <t>PUP-52135 BLUE 14 SKS VN</t>
  </si>
  <si>
    <t>PUP-54106 AC EX BLUE 15 SKS VN</t>
  </si>
  <si>
    <t>PUP-52135 BLUE 15 SKS VN</t>
  </si>
  <si>
    <t>PUP-54106 AC EX BLUE 14 SKS VN</t>
  </si>
  <si>
    <t>DP-12132 LY WHITE VN</t>
  </si>
  <si>
    <t>NCSS-11232 LY VN</t>
  </si>
  <si>
    <t>NCL-11332 LY CLEAR 10 VN</t>
  </si>
  <si>
    <t>UVP-60301 WHITE VN</t>
  </si>
  <si>
    <t>NCL-11332 LY CLEAR 20 VN</t>
  </si>
  <si>
    <t>UVF-10301 BLACK VN</t>
  </si>
  <si>
    <t>UVP-60301 BLACK VN</t>
  </si>
  <si>
    <t>NCL-11332 LY CLEAR 40 VN</t>
  </si>
  <si>
    <t>PUP-52135 BLACK 124 SK VN</t>
  </si>
  <si>
    <t>DP-12132 LY KEM 129 SK VN</t>
  </si>
  <si>
    <t>NCL-11332 LY CLEAR 30 VN</t>
  </si>
  <si>
    <t>THGZ-72200 D40 VN</t>
  </si>
  <si>
    <t>PUP-52135 WHITE 134 SK VN</t>
  </si>
  <si>
    <t>PUP-52135 BLUE 137 SK VN</t>
  </si>
  <si>
    <t>PUP-52135 BLACK 148 SK VN</t>
  </si>
  <si>
    <t>UVB-30400</t>
  </si>
  <si>
    <t>PCA-31100 BLUE OR PASTE VN</t>
  </si>
  <si>
    <t>PCA-31100 ORANGE PASTE VN</t>
  </si>
  <si>
    <t>PCA-31100 VIOLET OB PASTE VN</t>
  </si>
  <si>
    <t>PCL-31300 ORANGE PASTE</t>
  </si>
  <si>
    <t>PCWB-31600 BLACK AY PASTE</t>
  </si>
  <si>
    <t>PCWB-31600 RED AB PASTE</t>
  </si>
  <si>
    <t>PCWB-31600 RED OB 35 PASTE</t>
  </si>
  <si>
    <t>PCWB-31600 WHITE PASTE</t>
  </si>
  <si>
    <t>PCWB-31600 YELLOW AR PASTE</t>
  </si>
  <si>
    <t>PCWB-31601 BLACK OB PASTE</t>
  </si>
  <si>
    <t>PCWB-31601 YELLOW 100 OR PASTE</t>
  </si>
  <si>
    <t>PUL-51341 CLEAR 20 VN</t>
  </si>
  <si>
    <t>PUL-51341 CLEAR 40 VN</t>
  </si>
  <si>
    <t>PUL-53306 AC EX CLEAR 40 VN</t>
  </si>
  <si>
    <t>WBL-61201 CLEAR 10 VN</t>
  </si>
  <si>
    <t>PCWB-31601 BLUE OR PASTE</t>
  </si>
  <si>
    <t>UVL-50101 CLEAR 10 VN</t>
  </si>
  <si>
    <t>PUH-56303 NY VN</t>
  </si>
  <si>
    <t>PUC-54205 AC WHITE 40 VN</t>
  </si>
  <si>
    <t>PUC-52239 WHITE 10 VN</t>
  </si>
  <si>
    <t>PUC-52239 WHITE 30 VN</t>
  </si>
  <si>
    <t>PUC-52239 WHITE 50 VN</t>
  </si>
  <si>
    <t>PUC-52239 WHITE 90 VN</t>
  </si>
  <si>
    <t>UVSS-40103 VN</t>
  </si>
  <si>
    <t>AP-9982-SY30-AK</t>
  </si>
  <si>
    <t>PUL-53306 AC EX CLEAR 60 VN</t>
  </si>
  <si>
    <t>AP-98200 SILVER 8130 VN</t>
  </si>
  <si>
    <t>PUC-52239 FIN04 30 TL VN</t>
  </si>
  <si>
    <t>PUC-52239 FIN07 30 TL VN</t>
  </si>
  <si>
    <t>PUC-54205 SW 7627 40 TL VN</t>
  </si>
  <si>
    <t>PUC-54206 AC EX SW 9150 40 TL VN</t>
  </si>
  <si>
    <t>PUC-54205 SW 7023 40 TL VN</t>
  </si>
  <si>
    <t>PUC-54206 AC EX SW 7069 40 TL VN</t>
  </si>
  <si>
    <t>PUC-52239 AF 680 30 TL VN</t>
  </si>
  <si>
    <t>PUC-54206 AC EX SW 7602 20 TL VN</t>
  </si>
  <si>
    <t>PUC-52239 CABANA 10 TL VN</t>
  </si>
  <si>
    <t>PUC-52241 SW 7598 20 TL VN</t>
  </si>
  <si>
    <t>PUC-52239 FIN 5 20 TL VN</t>
  </si>
  <si>
    <t>PUC-54205 FIN 6 40 TL VN</t>
  </si>
  <si>
    <t>PUC-52239 GREY PT04 10 TL VN</t>
  </si>
  <si>
    <t>AP-98200 170 VN</t>
  </si>
  <si>
    <t>PCL-31300 BLUE OG PASTE AF VN</t>
  </si>
  <si>
    <t>PUC-54206 AC EX GREYFIN3 10 TLVN</t>
  </si>
  <si>
    <t>PUP-52141 XAM TL VN</t>
  </si>
  <si>
    <t>WBL-61204 CLEAR 10 VN</t>
  </si>
  <si>
    <t>UVF-10301 VN</t>
  </si>
  <si>
    <t>PUC-52239 GREY LSX015 20 TL VN</t>
  </si>
  <si>
    <t>PUC-52239 BE SW7524 20 TL VN</t>
  </si>
  <si>
    <t>PUC-54206 AC EX GRN6208 20 TL VN</t>
  </si>
  <si>
    <t>PUC-54206 AC EX XAM209 20 TL VN</t>
  </si>
  <si>
    <t>PUP-52141 BLACK RAL7021 TL VN</t>
  </si>
  <si>
    <t>PUC-54206 AC EX DEN7021 60 TL VN</t>
  </si>
  <si>
    <t>PUC-54205 AC WHITE1015 60 TL VN</t>
  </si>
  <si>
    <t>PUC-54205 AC XAM 9170 60 TL VN</t>
  </si>
  <si>
    <t>UVP-60301 XAM 209 TL VN</t>
  </si>
  <si>
    <t>PUC-54206 AC EX NAU369 40 TL VN</t>
  </si>
  <si>
    <t>PUC-54206 AC EX XAM7069 20 TL VN</t>
  </si>
  <si>
    <t>PUC-52239 TRANG 7012 10 TL VN</t>
  </si>
  <si>
    <t>PUC-54206 AC EX HONGPT1 20 TL VN</t>
  </si>
  <si>
    <t>GZWB-21408 CLEAR BASE NEW VN</t>
  </si>
  <si>
    <t>GZWB-21408 BLACK VN</t>
  </si>
  <si>
    <t>THC-73100 101 VN</t>
  </si>
  <si>
    <t>UVP-60103 HF WHITE</t>
  </si>
  <si>
    <t>PUL-51341 CLEAR 05 VN</t>
  </si>
  <si>
    <t>PUL-51339 SR CLEAR 05 VN</t>
  </si>
  <si>
    <t>PUP-52135 BLACK SOFTSOOT TRT VN</t>
  </si>
  <si>
    <t>PCL-31300 GREEN OB PASTE</t>
  </si>
  <si>
    <t>PUC-54205 AC MA33 10 PV VN</t>
  </si>
  <si>
    <t>PUC-54205 AC MA28 10 PV VN</t>
  </si>
  <si>
    <t>PUC-54205 AC MA 46 08 PV VN</t>
  </si>
  <si>
    <t>PUC-54205 AC MA 47 08 PV VN</t>
  </si>
  <si>
    <t>PUC-54205 AC MA 45 08 PV VN</t>
  </si>
  <si>
    <t>PUC-54205 AC MA 56 08 PV VN</t>
  </si>
  <si>
    <t>PUC-54205 AC MA 48 08 PV VN</t>
  </si>
  <si>
    <t>PUC-54205 AC MA 50 08 PV VN</t>
  </si>
  <si>
    <t>PUC-54205 AC MA 53 08 PV VN</t>
  </si>
  <si>
    <t>PUC-54205 AC MA 54 08 PV VN</t>
  </si>
  <si>
    <t>PUC-54205 AC MA 49 08 PV VN</t>
  </si>
  <si>
    <t>PUC-54205 AC MA 57 08 PV VN</t>
  </si>
  <si>
    <t>PUC-54205 AC WH MARC101 90 PV VN</t>
  </si>
  <si>
    <t>EDP-551 ZINC PHOSPHATE (XÁM) VN</t>
  </si>
  <si>
    <t>EDP-551 BLACK (ĐEN) VN</t>
  </si>
  <si>
    <t>CỨNG EPOXY EDP-551 VN</t>
  </si>
  <si>
    <t>WBC-62201 SL XLC GREY 30 VL VN</t>
  </si>
  <si>
    <t>WBL-61202 SL CLEAR 70 VN</t>
  </si>
  <si>
    <t>WBC-62201 SL XLC WHITE 50VLVN</t>
  </si>
  <si>
    <t>WBL-61207 HV CLEAR 70</t>
  </si>
  <si>
    <t>NCSS-30800 LY MOD VN</t>
  </si>
  <si>
    <t>THC-73100-1103 VN</t>
  </si>
  <si>
    <t>EL-501 CLASSIC TEAK 8305 VN</t>
  </si>
  <si>
    <t>AP-98200 SILVER 210 S VN</t>
  </si>
  <si>
    <t>THC-73100-SBP VN</t>
  </si>
  <si>
    <t>PUC-54205 AC BLUE K11948 30 AT VN</t>
  </si>
  <si>
    <t>PUC-54205 AC WHITE K11415 10 AT VN</t>
  </si>
  <si>
    <t>PUC-54206 AC EX GRN K11947 30 ATVN</t>
  </si>
  <si>
    <t>PUC-54205 AC TRANG12284 10 AT VN</t>
  </si>
  <si>
    <t>PUC-54205 AC WHITE10595 10 AT VN</t>
  </si>
  <si>
    <t>PUC-54205 AC BEACH DAY 08 AT VN</t>
  </si>
  <si>
    <t>PUC-54205 AC XAMK11758 10 AT VN</t>
  </si>
  <si>
    <t>PUC-54205 AC KEMK11392 10 AT VN</t>
  </si>
  <si>
    <t>PUC-54205 AC XAMK14075 10 AT VN</t>
  </si>
  <si>
    <t>PUC-54206 AC EX XAM15710 50 ATVN</t>
  </si>
  <si>
    <t>PUC-54206 AC EX DO15709 50 AT VN</t>
  </si>
  <si>
    <t>PUC-54205 AC KEM TULIP 10 AT VN</t>
  </si>
  <si>
    <t>PUC-54205 AC KEMLANGTAY 10 AA VN</t>
  </si>
  <si>
    <t>PUC-54205 AC GRN 19465 30 AT VN</t>
  </si>
  <si>
    <t>PRCC-20310 POLYESTER VARNISH MB VN</t>
  </si>
  <si>
    <t>PRCC-10358 WBC POLY V2600 SDW VN</t>
  </si>
  <si>
    <t>PRCC-40301 A SIDE STRIPE LACQUER</t>
  </si>
  <si>
    <t>PRCC-40301 B SIDE STRIPE LACQUER</t>
  </si>
  <si>
    <t>PRCC-20312 POL VARNISH CANPAC</t>
  </si>
  <si>
    <t>PRCC-20101 ACRYLIC VARNISH</t>
  </si>
  <si>
    <t>PRCC-10351 WBC POLYESTER TOA</t>
  </si>
  <si>
    <t>PRCC-10357 WBC POLYESTER BMC</t>
  </si>
  <si>
    <t>PRCC-40233 GOLD LACQUER MUDA</t>
  </si>
  <si>
    <t>PRCC-20616 EPOXY SIZE CL</t>
  </si>
  <si>
    <t>PRCC-20508 VCV LINH KY</t>
  </si>
  <si>
    <t>PRCC-20502 VINYL SIZE</t>
  </si>
  <si>
    <t>PRCC-20102 SSV</t>
  </si>
  <si>
    <t>PRCC-20312 POL VARNISH CV VN</t>
  </si>
  <si>
    <t>11-260 AF PU THINNER HD</t>
  </si>
  <si>
    <t>82-4020 UE AF URT WHITE A</t>
  </si>
  <si>
    <t>82-2027 UE AF URT SANDING A</t>
  </si>
  <si>
    <t>11-260-1 AF PU THINNER</t>
  </si>
  <si>
    <t>82-5001 UE AF URT SFC WHITE A</t>
  </si>
  <si>
    <t>82-4029 UE AF URT WHITE A</t>
  </si>
  <si>
    <t>PCA-31100 BLACK OB PASTE AF VN</t>
  </si>
  <si>
    <t>PCA-31100 BROWN 645 PASTE AF VN</t>
  </si>
  <si>
    <t>PCA-31100 RED OB 35 PASTE AF VN</t>
  </si>
  <si>
    <t>PCA-31100 WHITE PASTE AF VN</t>
  </si>
  <si>
    <t>PCA-31100 YELLOW HR PASTE AF VN</t>
  </si>
  <si>
    <t>PCA-31100 YELLOW OG 16 PASTE AF VN</t>
  </si>
  <si>
    <t>PCA-31100 YELLOW OKER PASTE AF VN</t>
  </si>
  <si>
    <t>PCA-31100 BLACK PASTE AF VN</t>
  </si>
  <si>
    <t>PCL-31300 YELLOW OG 16 AF VN</t>
  </si>
  <si>
    <t>PCL-31300 BLACK AF VN</t>
  </si>
  <si>
    <t>PCL-31300 RED OB 35 AF VN</t>
  </si>
  <si>
    <t>AL-090 VN</t>
  </si>
  <si>
    <t>11-261 AF PU THINNER</t>
  </si>
  <si>
    <t>82-1039 UE AF URT FLAT A 5% VN</t>
  </si>
  <si>
    <t>82-4169 UE AF URT WHITE A VN</t>
  </si>
  <si>
    <t>AL-091 VN</t>
  </si>
  <si>
    <t>PST-12100 WHITE IS VN</t>
  </si>
  <si>
    <t>82-1045 UE AF URT FLAT A</t>
  </si>
  <si>
    <t>AL-092 VN</t>
  </si>
  <si>
    <t>82-1199 UE AF URT FLAT A VN</t>
  </si>
  <si>
    <t>PCA-31100 ORANGE PASTE AF VN</t>
  </si>
  <si>
    <t>PCA-31100 VIOLET OB PASTE AF VN</t>
  </si>
  <si>
    <t>PCA-31100 BLUE OG PASTE AF VN</t>
  </si>
  <si>
    <t>PCA-31100 GREEN OB PASTE AF VN</t>
  </si>
  <si>
    <t>82-2028 UE AF URT SANDING A VN</t>
  </si>
  <si>
    <t>PCL-31300 BROWN 645 PASTE AF VN</t>
  </si>
  <si>
    <t>11-260-2 AF PU THINNER</t>
  </si>
  <si>
    <t>PG-13900 WHITE 02 VN</t>
  </si>
  <si>
    <t>64-013 PU ANTI ABRASIVE</t>
  </si>
  <si>
    <t>MEP-12003 WHITE VN</t>
  </si>
  <si>
    <t>MEP-12003 BROWN KM VN</t>
  </si>
  <si>
    <t>THC-73100-1103 KD VN</t>
  </si>
  <si>
    <t>PCWB-31600 OXIDE YELLOW PASTE</t>
  </si>
  <si>
    <t>PROPAN HWO-558</t>
  </si>
  <si>
    <t>NCL-40800 LY CLEAR 10 VN</t>
  </si>
  <si>
    <t>PCL-31300 BLUE OR PASTE</t>
  </si>
  <si>
    <t>PUL-51341 CLEAR 30 VN</t>
  </si>
  <si>
    <t>TEWB-84305 M WHITE VN</t>
  </si>
  <si>
    <t>THPU-71306 VN</t>
  </si>
  <si>
    <t>PUL-51341 CLEAR 50 VN</t>
  </si>
  <si>
    <t>GZ-12700 N 64 HM VN</t>
  </si>
  <si>
    <t>NCSS-1112-29 LC AK</t>
  </si>
  <si>
    <t>WBSS-61104 HS VN</t>
  </si>
  <si>
    <t>WBP-62135 WHITE VN</t>
  </si>
  <si>
    <t>DP-12123 LC MT62 HM VN</t>
  </si>
  <si>
    <t>DP-12123 LC MT65 HM VN</t>
  </si>
  <si>
    <t>PUC-54205 AC MT207 30 HM VN</t>
  </si>
  <si>
    <t>PUC-54205 AC MT211 10 HM VN</t>
  </si>
  <si>
    <t>GZPU-21500 BLACK 02 THH VN</t>
  </si>
  <si>
    <t>WFPU-51000 BLACK 04 THH VN</t>
  </si>
  <si>
    <t>SST-11100 BROWN 05 THH VN</t>
  </si>
  <si>
    <t>GZ-12700 N GREY 05 THH VN</t>
  </si>
  <si>
    <t>SST-11100 BROWN 06 THH VN</t>
  </si>
  <si>
    <t>PUC-52239 BLUE 10 THH VN</t>
  </si>
  <si>
    <t>UFM-930 LIGHT GREY VN</t>
  </si>
  <si>
    <t>PCA-31100 RX C50 BLACK VN</t>
  </si>
  <si>
    <t>THPU-71306</t>
  </si>
  <si>
    <t>NCSS-11201 AC VN</t>
  </si>
  <si>
    <t>NCL-11301 AC CLEAR 05 VN</t>
  </si>
  <si>
    <t>NCL-1113-29 LC 10 AK</t>
  </si>
  <si>
    <t>NCL-1113-29 LC 15 AK</t>
  </si>
  <si>
    <t>NCL-1113-29 LC 25 AK</t>
  </si>
  <si>
    <t>NCL-1113-29 LC 35 AK</t>
  </si>
  <si>
    <t>NCL-1113-29 LC 5 AK</t>
  </si>
  <si>
    <t>NCSS-1112-AC-AK</t>
  </si>
  <si>
    <t>PUL-53306 AC EX CLEAR 05 STB VN</t>
  </si>
  <si>
    <t>PUSS-53206 AC EX STB VN</t>
  </si>
  <si>
    <t>THPU-71324-1 EST YJ VN</t>
  </si>
  <si>
    <t>SST-11100 YELLOW KD VN</t>
  </si>
  <si>
    <t>PUL-53306 AC EX CLEAR 10 STB VN</t>
  </si>
  <si>
    <t>PUP-54111 AC DUNE KD VN</t>
  </si>
  <si>
    <t>DP-12123 LC BLONDE KD VN</t>
  </si>
  <si>
    <t>PUP-52141 XAM SILVERY KD VN</t>
  </si>
  <si>
    <t>DP-12123 LC BLONDE NEW KD VN</t>
  </si>
  <si>
    <t>PUP-52141 DW 18 KD VN</t>
  </si>
  <si>
    <t>PUP-52141 S009 KD VN</t>
  </si>
  <si>
    <t>PUP-52135 WA19 KD VN</t>
  </si>
  <si>
    <t>PUP-52135 DW 18 KD VN</t>
  </si>
  <si>
    <t>PUP-52135 SO 09 KD VN</t>
  </si>
  <si>
    <t>DP-12129 LC BROWN 458B KD VN</t>
  </si>
  <si>
    <t>PCA-31100 YELLOW OKER PASTE AK VN</t>
  </si>
  <si>
    <t>GZ-12700 N STRATON KD VN</t>
  </si>
  <si>
    <t>DP-12123 LC BLONDE NEW-1 KD VN</t>
  </si>
  <si>
    <t>PCA-31100 YELLOW PASTE AK VN</t>
  </si>
  <si>
    <t>NCL-1113-SR10AK</t>
  </si>
  <si>
    <t>NCL-1113-SR05AK</t>
  </si>
  <si>
    <t>GZ-9127-N570-AK</t>
  </si>
  <si>
    <t>NBC-9345-518-AK</t>
  </si>
  <si>
    <t>NBC-9345-553-AK</t>
  </si>
  <si>
    <t>NBC-9345-697-AK</t>
  </si>
  <si>
    <t>NBC-9345-706-AK</t>
  </si>
  <si>
    <t>NBC-9345-747-AK</t>
  </si>
  <si>
    <t>NBC-9345-771-AK</t>
  </si>
  <si>
    <t>NBC-9345-802-AK</t>
  </si>
  <si>
    <t>NBC-9345-880-AK</t>
  </si>
  <si>
    <t>NBC-9345-B655AK</t>
  </si>
  <si>
    <t>NBC-9345-B13-AK</t>
  </si>
  <si>
    <t>NBC-9345-T781AK</t>
  </si>
  <si>
    <t>NCL-9408-10-AK</t>
  </si>
  <si>
    <t>NCL-9408-20-AK</t>
  </si>
  <si>
    <t>NCL-9408-30-AK</t>
  </si>
  <si>
    <t>NCL-9408-5-AK</t>
  </si>
  <si>
    <t>NCL-9408-50-AK</t>
  </si>
  <si>
    <t>NCSS-9308-LC-AK</t>
  </si>
  <si>
    <t>PCA-2311-BL-AK</t>
  </si>
  <si>
    <t>PCA-2311-YHR-AK</t>
  </si>
  <si>
    <t>PUP-1521-570-AK</t>
  </si>
  <si>
    <t>RD-2741-03-AK</t>
  </si>
  <si>
    <t>SST-2111-BL-AK</t>
  </si>
  <si>
    <t>SST-2111-BU-AK</t>
  </si>
  <si>
    <t>SST-2111-RBE-AK</t>
  </si>
  <si>
    <t>SST-2111-RED-AK</t>
  </si>
  <si>
    <t>SST-2111-YEL-AK</t>
  </si>
  <si>
    <t>THC-2731-201-AK</t>
  </si>
  <si>
    <t>THC-2731-402-AK</t>
  </si>
  <si>
    <t>THGZ-2722-AK</t>
  </si>
  <si>
    <t>THNC-2711-SD-AK</t>
  </si>
  <si>
    <t>THPU-2713-06-AK</t>
  </si>
  <si>
    <t>PUH-1561-33-AK</t>
  </si>
  <si>
    <t>NBC-9345-T046AK</t>
  </si>
  <si>
    <t>GZ-9127-N-BL-AK</t>
  </si>
  <si>
    <t>GZ-9127-N-YE-AK</t>
  </si>
  <si>
    <t>PUP-1521-WHI-AK</t>
  </si>
  <si>
    <t>GZ-9127-N-RE-AK</t>
  </si>
  <si>
    <t>GZ-9127-N-VD-AK</t>
  </si>
  <si>
    <t>NBC-9345-716-AK</t>
  </si>
  <si>
    <t>NBC-9345-WHI-AK</t>
  </si>
  <si>
    <t>NBC-9345-902-AK</t>
  </si>
  <si>
    <t>WBP-1621-WHI-AK</t>
  </si>
  <si>
    <t>PP-9981-111-AK</t>
  </si>
  <si>
    <t>PCA-2311-WH-AK</t>
  </si>
  <si>
    <t>PCA-2311-ROB-AK</t>
  </si>
  <si>
    <t>NBC-9345-568-AK</t>
  </si>
  <si>
    <t>NCL-1113-30W-AK</t>
  </si>
  <si>
    <t>PW-2316-YAR-AK</t>
  </si>
  <si>
    <t>PW-2316-YOR-AK</t>
  </si>
  <si>
    <t>PW-2316-BUO-AK</t>
  </si>
  <si>
    <t>WBC-1622-W15-AK</t>
  </si>
  <si>
    <t>WBC-1622-212PAK</t>
  </si>
  <si>
    <t>PG-9139-WHI-AK</t>
  </si>
  <si>
    <t>NBC-9345-879-AK</t>
  </si>
  <si>
    <t>NBC-9345-5939AK</t>
  </si>
  <si>
    <t>NCL-1113-AC80AK</t>
  </si>
  <si>
    <t>NBC-9345-818-AK</t>
  </si>
  <si>
    <t>PUP-1541-WHI-AK</t>
  </si>
  <si>
    <t>PUC-1542-1221AK</t>
  </si>
  <si>
    <t>PUH-1563-LY-AK</t>
  </si>
  <si>
    <t>PUP-1521-902-AK</t>
  </si>
  <si>
    <t>NBC-9345-902NAK</t>
  </si>
  <si>
    <t>LOL-1762-01-AK</t>
  </si>
  <si>
    <t>PUP-1521-697-AK</t>
  </si>
  <si>
    <t>NCL-32-LY-5-AK</t>
  </si>
  <si>
    <t>WBC-1622-B188AK</t>
  </si>
  <si>
    <t>NCL-1113-AC05AK</t>
  </si>
  <si>
    <t>DP-1221-211-AK</t>
  </si>
  <si>
    <t>WBP-1621-WH-AK</t>
  </si>
  <si>
    <t>NBC-9345-3200AK</t>
  </si>
  <si>
    <t>DP-32-1512BU-AK</t>
  </si>
  <si>
    <t>DP-32-1512YE-AK</t>
  </si>
  <si>
    <t>DP-32-1512WH-AK</t>
  </si>
  <si>
    <t>PUP-1521-660-AK</t>
  </si>
  <si>
    <t>NBC-9345-660-AK</t>
  </si>
  <si>
    <t>NBC-9345-2444AK</t>
  </si>
  <si>
    <t>NBC-9345-W126AK</t>
  </si>
  <si>
    <t>NBC-9345-1760AK</t>
  </si>
  <si>
    <t>PUP-1521-2114AK</t>
  </si>
  <si>
    <t>PUL-51335-90-AK</t>
  </si>
  <si>
    <t>PUH-1561-35-AK</t>
  </si>
  <si>
    <t>WBP-1621-35W-AK</t>
  </si>
  <si>
    <t>WBC-1622-WH10AK</t>
  </si>
  <si>
    <t>NBC-9345-W137AK</t>
  </si>
  <si>
    <t>PUC-1542-2114AK</t>
  </si>
  <si>
    <t>NBC-9345-429-AK</t>
  </si>
  <si>
    <t>NBC-9345-T429AK</t>
  </si>
  <si>
    <t>NCL-1113-SR20AK</t>
  </si>
  <si>
    <t>NBC-9345-787-AK</t>
  </si>
  <si>
    <t>NBC-9345-1075AK</t>
  </si>
  <si>
    <t>DP-1221-1075-AK</t>
  </si>
  <si>
    <t>NBC-9345-2447AK</t>
  </si>
  <si>
    <t>NBC-9345-2437AK</t>
  </si>
  <si>
    <t>NBC9345T660AKVN</t>
  </si>
  <si>
    <t>NBC93452545AKVN</t>
  </si>
  <si>
    <t>NBC93452557AKVN</t>
  </si>
  <si>
    <t>NBC93452521AKVN</t>
  </si>
  <si>
    <t>NBC9345T743AKVN</t>
  </si>
  <si>
    <t>NBC93452566AKVN</t>
  </si>
  <si>
    <t>PW-2316-R35-AK</t>
  </si>
  <si>
    <t>PUH-1561-39-AK</t>
  </si>
  <si>
    <t>PUC-1522-WH10AK</t>
  </si>
  <si>
    <t>PUP-1521-1187AK</t>
  </si>
  <si>
    <t>WBC-1622-BC5AK</t>
  </si>
  <si>
    <t>WBP-1621-BR-AK</t>
  </si>
  <si>
    <t>WBC-1622-BR10AK</t>
  </si>
  <si>
    <t>WBP-1621-BL-AK</t>
  </si>
  <si>
    <t>WBC-1622-BL10AK</t>
  </si>
  <si>
    <t>PW-2316-RAB-AK</t>
  </si>
  <si>
    <t>PW-2316-WHI-AK</t>
  </si>
  <si>
    <t>PW-2316-BLA-AK</t>
  </si>
  <si>
    <t>WBL-61202-BC5AK</t>
  </si>
  <si>
    <t>WBC-62241-BW5AK</t>
  </si>
  <si>
    <t>WPWB-81201 ML VN</t>
  </si>
  <si>
    <t>NCL-40800 LY CLEAR 40 VN</t>
  </si>
  <si>
    <t>NCL-40800 LY CLEAR 90 VN</t>
  </si>
  <si>
    <t>AKS-71100 WP NATURAL VN</t>
  </si>
  <si>
    <t>MPUL-13700 20 VN</t>
  </si>
  <si>
    <t>NCSS-11229 BC VN</t>
  </si>
  <si>
    <t>NCL-11329 BC CLEAR 30 VN</t>
  </si>
  <si>
    <t>NCL-11329 BC CLEAR 10 VN</t>
  </si>
  <si>
    <t>WBL-61201 CLEAR 05 VN</t>
  </si>
  <si>
    <t>WBL-61201 CLEAR 50 VN</t>
  </si>
  <si>
    <t>PUC-54205 AC NYU PT 01 30 GE VN</t>
  </si>
  <si>
    <t>PP-98100 PEARL G24 VN</t>
  </si>
  <si>
    <t>PUC-54205 AC CREAM 90 GE VN</t>
  </si>
  <si>
    <t>PUC-54205 AC WHITE 05 MK VN</t>
  </si>
  <si>
    <t>PUC-54205 AC BG MK 05 VN</t>
  </si>
  <si>
    <t>PUC-54206 AC EX TB 05 MK VN</t>
  </si>
  <si>
    <t>PUC-52239 BLACK 05 VN</t>
  </si>
  <si>
    <t>PUC-54205 AC YELLOW DA 10 MK VN</t>
  </si>
  <si>
    <t>PUC-54205 AC WHITEGREY 05 MK VN</t>
  </si>
  <si>
    <t>PUC-54206 AC EX CEMENT 05 MK VN</t>
  </si>
  <si>
    <t>PUC-54206 AC EX BLUE DL 05 MK VN</t>
  </si>
  <si>
    <t>PUC-54205 AC TALCO 08 MK VN</t>
  </si>
  <si>
    <t>PUC-54206 AC EX CUANDO 05 MK VN</t>
  </si>
  <si>
    <t>PUC-54206 AC EX VERDE 05 MK VN</t>
  </si>
  <si>
    <t>PUC-52241 U961PT 05 MK VN</t>
  </si>
  <si>
    <t>WFPU-51000 MKG08 MK VN</t>
  </si>
  <si>
    <t>PCA-31100 MKG08 MK VN</t>
  </si>
  <si>
    <t>GZPU-21500 MKG08 MK VN</t>
  </si>
  <si>
    <t>PUC-54206 AC EX MINK 05 MK VN</t>
  </si>
  <si>
    <t>PUC-52239 BLACK 01 MK 05 VN</t>
  </si>
  <si>
    <t>PUC-54205 AC PT18-4220 MK 08 VN</t>
  </si>
  <si>
    <t>PCL-31300 NAU WALNUT MK VN</t>
  </si>
  <si>
    <t>PUC-52241 XANH CHITRINH 10 MK VN</t>
  </si>
  <si>
    <t>PCA-31100 TRANG 04VEN MK VN</t>
  </si>
  <si>
    <t>PCA-31100 NAU 01VEN MK VN</t>
  </si>
  <si>
    <t>WFPU-51000 NAU 01VEN MK VN</t>
  </si>
  <si>
    <t>SST-11100 CAM 02VEN MK VN</t>
  </si>
  <si>
    <t>PCA-31100 NAU 03VEN A MK VN</t>
  </si>
  <si>
    <t>PCA-31100 CAM 03VEN B MK VN</t>
  </si>
  <si>
    <t>GZPU-21500 DEN 03VEN MK VN</t>
  </si>
  <si>
    <t>PUC-54205 AC GREY P06G 05 MK VN</t>
  </si>
  <si>
    <t>PCWB-31600 OXIDE RED PASTE</t>
  </si>
  <si>
    <t>DC-12223 LC WHITE 01 20 VN</t>
  </si>
  <si>
    <t>UVP-60103 HF WHITE VN</t>
  </si>
  <si>
    <t>UVS-20602 BASE BLACK VN</t>
  </si>
  <si>
    <t>UVS-20602 BASE YELLOW VN</t>
  </si>
  <si>
    <t>UVS-20602 BASE BLUE VN</t>
  </si>
  <si>
    <t>UVS-20602 BASE RED VN</t>
  </si>
  <si>
    <t>UVL-50508 LY CLEAR 08 VN</t>
  </si>
  <si>
    <t>UVSS-40502 LY VN</t>
  </si>
  <si>
    <t>UVP-60508 BASE VN</t>
  </si>
  <si>
    <t>UVL-50101 CLEAR 60 VN</t>
  </si>
  <si>
    <t>WBSS-61106 HS VN</t>
  </si>
  <si>
    <t>THNC-52 VN</t>
  </si>
  <si>
    <t>WBL-61204 CLEAR 30 VN</t>
  </si>
  <si>
    <t>DP-12123 LC GREEN HMU VN</t>
  </si>
  <si>
    <t>PUSS-51241 VC VN</t>
  </si>
  <si>
    <t>DP-12123 F127 M2 VN</t>
  </si>
  <si>
    <t>DC-12229 LC F127 05 M2 VN</t>
  </si>
  <si>
    <t>TOL-76301 N BROWN ARC MH VN</t>
  </si>
  <si>
    <t>PUC-54205 AC WHITE 20 TCS VN</t>
  </si>
  <si>
    <t>PUC-54205 AC GREY 20 TCS VN</t>
  </si>
  <si>
    <t>PUP-52141 BLUE TCS VN</t>
  </si>
  <si>
    <t>PUC-54206 AC EX BLUE 20 TCS VN</t>
  </si>
  <si>
    <t>PUC-54205 AC XAM2258K 10 TCS VN</t>
  </si>
  <si>
    <t>PUC-54205 AC XAM2262K 10 TCS VN</t>
  </si>
  <si>
    <t>PUC-54205 AC XAM2254K 10 TCS VN</t>
  </si>
  <si>
    <t>PUC-54205 AC WHT2252K 10 TCS VN</t>
  </si>
  <si>
    <t>PUC-54205 AC XAM2263K 10 TCS VN</t>
  </si>
  <si>
    <t>PUC-54206 AC EX BLUE2264 10 TCSVN</t>
  </si>
  <si>
    <t>PUC-54205 AC GREY2260 10 TCS VN</t>
  </si>
  <si>
    <t>PUC-54205 AC BLUE2261 10 TCS VN</t>
  </si>
  <si>
    <t>PUC-54205 AC BLUE2267 10 TCS VN</t>
  </si>
  <si>
    <t>PUC-54205 AC GREY2273 10 TCS VN</t>
  </si>
  <si>
    <t>PCA-31100 BROWN PASTE VN</t>
  </si>
  <si>
    <t>PUP-54111 AC XAM S411 PMT VN</t>
  </si>
  <si>
    <t>PUL-53306 AC EX CLEAR 20 PMT VN</t>
  </si>
  <si>
    <t>PST-12200 2K TEAK SC VN</t>
  </si>
  <si>
    <t>PUC-54205 AC KEM3234P 08 HPT VN</t>
  </si>
  <si>
    <t>SST-11100 BROWN 102A HPT VN</t>
  </si>
  <si>
    <t>SST-11100 BLACK 102B HPT VN</t>
  </si>
  <si>
    <t>PCA-31100 XAM 4008 HPT VN</t>
  </si>
  <si>
    <t>PCA-31100 VANG 4008 HPT VN</t>
  </si>
  <si>
    <t>GZPU-21500 NAU 4008 HPT VN</t>
  </si>
  <si>
    <t>PCA-31100 NAU TI 101 HPT VN</t>
  </si>
  <si>
    <t>PCA-31100 NAU 7188 A HPT VN</t>
  </si>
  <si>
    <t>PCA-31100 CAM 7188 B HPT VN</t>
  </si>
  <si>
    <t>PCA-31100 CAM TI301 A HPT VN</t>
  </si>
  <si>
    <t>SST-11100 CAM TI301 B HPT VN</t>
  </si>
  <si>
    <t>PCA-31100 NAU WD103 HPT VN</t>
  </si>
  <si>
    <t>PCA-31100 NAU WD306 A HPT VN</t>
  </si>
  <si>
    <t>PCA-31100 NAU WD306 B HPT VN</t>
  </si>
  <si>
    <t>PCA-31100 NAU WD308 A HPT VN</t>
  </si>
  <si>
    <t>SST-11100 NAU WD308 B HPT VN</t>
  </si>
  <si>
    <t>PUP-52141 NAU WD102 HPT VN</t>
  </si>
  <si>
    <t>PUC-52241 NAU WD102 10 HPT VN</t>
  </si>
  <si>
    <t>NCSS-11231 VN</t>
  </si>
  <si>
    <t>NCL-11331 CLEAR 30 VN</t>
  </si>
  <si>
    <t>NCL-11331 CLEAR 20 VN</t>
  </si>
  <si>
    <t>NCL-11331 CLEAR 05 VN</t>
  </si>
  <si>
    <t>NCL-11331 CLEAR 10 VN</t>
  </si>
  <si>
    <t>WBP-64130 EX 2C-W.WASH VN</t>
  </si>
  <si>
    <t>WBC-64230 EX 2C-W.WASH 10 VN</t>
  </si>
  <si>
    <t>WBP-64120 EX BROWN 2C VN</t>
  </si>
  <si>
    <t>WBL-63230 EX CLEAR 10 2C VN</t>
  </si>
  <si>
    <t>PUL-51333 CLEAR 20 VN</t>
  </si>
  <si>
    <t>SST-11100 03 VC VN</t>
  </si>
  <si>
    <t>SST-11100 04 VC VN</t>
  </si>
  <si>
    <t>SST-11100 05 VC VN</t>
  </si>
  <si>
    <t>PUL-51333 CLEAR 40 VN</t>
  </si>
  <si>
    <t>PUL-51333 CLEAR 60 VN</t>
  </si>
  <si>
    <t>GZPU-21500 03 VC III VN</t>
  </si>
  <si>
    <t>SST-11100 05 VC III VN</t>
  </si>
  <si>
    <t>SST-11100 03 VC III VN</t>
  </si>
  <si>
    <t>SST-11100 04 VC III VN</t>
  </si>
  <si>
    <t>SST-11100 13 VC VN</t>
  </si>
  <si>
    <t>SST-11100 10 VC III VN</t>
  </si>
  <si>
    <t>SST-11100 NAU 21 VC VN</t>
  </si>
  <si>
    <t>SST-11100 CAM 14 VC III VN</t>
  </si>
  <si>
    <t>SST-11100 NAU 15 VC III VN</t>
  </si>
  <si>
    <t>SST-11100 MAU NAU 22 VC VN</t>
  </si>
  <si>
    <t>SST-11100 CAM 01 VC I VN</t>
  </si>
  <si>
    <t>SST-11100 NAU 01 VC I VN</t>
  </si>
  <si>
    <t>SST-11100 NAU 23 VC VN</t>
  </si>
  <si>
    <t>GZPU-21500 NAU 23 VC VN</t>
  </si>
  <si>
    <t>SST-11100 NAU 24 VC VN</t>
  </si>
  <si>
    <t>PCA-31100 XAM 03 VC V VN</t>
  </si>
  <si>
    <t>SST-11100 NAU 03 VC I VN</t>
  </si>
  <si>
    <t>GZPU-21500 HV 03 VC VN</t>
  </si>
  <si>
    <t>GZPU-21500 HV 03 VC III VN</t>
  </si>
  <si>
    <t>GZPU-21500 HV 04 VC VN</t>
  </si>
  <si>
    <t>GZPU-21500 HV 04 VC III VN</t>
  </si>
  <si>
    <t>GZPU-21500 HV 13 VC VN</t>
  </si>
  <si>
    <t>SST-11100 NAU 27 VC VN</t>
  </si>
  <si>
    <t>SST-11100 NAU 28 VC VN</t>
  </si>
  <si>
    <t>SST-11100 NAU 04 VC I VN</t>
  </si>
  <si>
    <t>SST-11100 NAU 05 VC I VN</t>
  </si>
  <si>
    <t>AP-98200 GOLD 99305 VN</t>
  </si>
  <si>
    <t>AP-98200 GOLD 9315 VN</t>
  </si>
  <si>
    <t>AP-98200 SILVER S9504 VN</t>
  </si>
  <si>
    <t>AP-98200 GOLD 3310 VN</t>
  </si>
  <si>
    <t>AP-98200 GOLD 3365 VN</t>
  </si>
  <si>
    <t>AP-98200 SILVER BACDEO VN</t>
  </si>
  <si>
    <t>PUP-52122 PUTTY</t>
  </si>
  <si>
    <t>WBL-63215 EX CLEAR 20 VN</t>
  </si>
  <si>
    <t>MEP-12003 WHITE GLASS VN</t>
  </si>
  <si>
    <t>PUC-54205 AC KEM 01 90 SR VN</t>
  </si>
  <si>
    <t>PUH-56306 LY SR VN</t>
  </si>
  <si>
    <t>PUC-54205 AC WHT KVHOME 90 SR VN</t>
  </si>
  <si>
    <t>PUP-54111 AC GRN KAKIHOME SR VN</t>
  </si>
  <si>
    <t>PUC-54206 AC EX GRNKAKI 90 SR VN</t>
  </si>
  <si>
    <t>PUC-54205 AC WHT OVAL T 08 SR VN</t>
  </si>
  <si>
    <t>PUC-54205 AC WHT TITO 08 SR VN</t>
  </si>
  <si>
    <t>PUC-54206 AC EX YEL MN 05 SR VN</t>
  </si>
  <si>
    <t>PUC-54206 AC EX GRN MN 05 SR VN</t>
  </si>
  <si>
    <t>PUC-54205 AC WHT TIMESD 90 SR VN</t>
  </si>
  <si>
    <t>PUC-54206 AC EX XAMOLVR 90 SR VN</t>
  </si>
  <si>
    <t>PUC-54206 AC EX GRN DV 90 SR VN</t>
  </si>
  <si>
    <t>PUC-54205 AC AMALIE 90 SR VN</t>
  </si>
  <si>
    <t>PUC-54205 AC ASYM 90 SR VN</t>
  </si>
  <si>
    <t>PUP-54111 AC BROWN LANA SR VN</t>
  </si>
  <si>
    <t>PUP-54106 AC EX BROWN FAMI SR VN</t>
  </si>
  <si>
    <t>PS-15100 BASE SRF VN</t>
  </si>
  <si>
    <t>PCWB-31600 BLUE 50 NCF PASTE VN</t>
  </si>
  <si>
    <t>EL-501 NATURAL DOF 0014 VN</t>
  </si>
  <si>
    <t>EL-501 LS CANDY BROWN 1002 VN</t>
  </si>
  <si>
    <t>PCL-31300 BROWN TP35 T5 VN</t>
  </si>
  <si>
    <t>MX-94 LIGHT GREY VN</t>
  </si>
  <si>
    <t>MX-94 LIGHT BLUE VN</t>
  </si>
  <si>
    <t>TOL-76301 N YEL VEN HLP VN</t>
  </si>
  <si>
    <t>UVSS-40101 VN</t>
  </si>
  <si>
    <t>DC-12223 LC RL 20 VL VN</t>
  </si>
  <si>
    <t>DP-12123 LC RL VL VN</t>
  </si>
  <si>
    <t>NCL-11325 LC CLEAR 90 VN</t>
  </si>
  <si>
    <t>NCL-11327 CLEAR 70 VN</t>
  </si>
  <si>
    <t>NCSS-11225 LC VN</t>
  </si>
  <si>
    <t>PUL-51337 CLEAR 10 VN</t>
  </si>
  <si>
    <t>PUL-51337 CLEAR 20 VN</t>
  </si>
  <si>
    <t>PUL-51337 CLEAR 30 VN</t>
  </si>
  <si>
    <t>PUL-51337 CLEAR 50 VN</t>
  </si>
  <si>
    <t>PUL-51337 CLEAR 90 VN</t>
  </si>
  <si>
    <t>PUSS-51237 VN</t>
  </si>
  <si>
    <t>WBG-66900 IBW</t>
  </si>
  <si>
    <t>DC-12225 LC WHITE 90 VN</t>
  </si>
  <si>
    <t>UVSS-40102 VN</t>
  </si>
  <si>
    <t>PCA-31100 ORANGE GG PASTE VN</t>
  </si>
  <si>
    <t>UVL-50101 CLEAR 90 VN</t>
  </si>
  <si>
    <t>UVL-50101 SR CLEAR 10 VN</t>
  </si>
  <si>
    <t>UVL-50101 SR CLEAR 20 VN</t>
  </si>
  <si>
    <t>WBL-61202 CLEAR 10 VW VN</t>
  </si>
  <si>
    <t>UVP-60105 WHITE VN</t>
  </si>
  <si>
    <t>UVSS-40102 KN VN</t>
  </si>
  <si>
    <t>MEP-12003 BLACK KN VN</t>
  </si>
  <si>
    <t>MEPH-12003 PS KN VN</t>
  </si>
  <si>
    <t>UVL-50101 CLEAR 10 KN VN</t>
  </si>
  <si>
    <t>SST-11100 C25 GREEN WS VN</t>
  </si>
  <si>
    <t>SST-11100 C25 YELLOW WS VN</t>
  </si>
  <si>
    <t>SST-11100 C25 BLACK WS VN</t>
  </si>
  <si>
    <t>SST-11100 C25 RED WS VN</t>
  </si>
  <si>
    <t>SST-11100 CS YELLOW WS VN</t>
  </si>
  <si>
    <t>SST-11100 YN 701 YELLOW WS VN</t>
  </si>
  <si>
    <t>PCA-31100 PG BLUE WS VN</t>
  </si>
  <si>
    <t>PCL-31300 YELLOW AR PASTE</t>
  </si>
  <si>
    <t>PUC-52235 BLACK 10 VN</t>
  </si>
  <si>
    <t>20LP</t>
  </si>
  <si>
    <t>20LJ</t>
  </si>
  <si>
    <t>20KP</t>
  </si>
  <si>
    <t>18KP</t>
  </si>
  <si>
    <t>4K</t>
  </si>
  <si>
    <t>200LK</t>
  </si>
  <si>
    <t>18KJ</t>
  </si>
  <si>
    <t>5K</t>
  </si>
  <si>
    <t>2K</t>
  </si>
  <si>
    <t>4L</t>
  </si>
  <si>
    <t>200KB</t>
  </si>
  <si>
    <t>16KP</t>
  </si>
  <si>
    <t>200KK</t>
  </si>
  <si>
    <t>250KK</t>
  </si>
  <si>
    <t>180KK</t>
  </si>
  <si>
    <t>1K</t>
  </si>
  <si>
    <t>16KJ</t>
  </si>
  <si>
    <t>200LB</t>
  </si>
  <si>
    <t>18LP</t>
  </si>
  <si>
    <t>30LJ</t>
  </si>
  <si>
    <t>160KK</t>
  </si>
  <si>
    <t>30KP</t>
  </si>
  <si>
    <t>20KJ</t>
  </si>
  <si>
    <t>3.8K</t>
  </si>
  <si>
    <t>1L</t>
  </si>
  <si>
    <t>180KB</t>
  </si>
  <si>
    <t>170KK</t>
  </si>
  <si>
    <t>150KK</t>
  </si>
  <si>
    <t>25KJ</t>
  </si>
  <si>
    <t>150KB</t>
  </si>
  <si>
    <t>25KP</t>
  </si>
  <si>
    <t>20KSP</t>
  </si>
  <si>
    <t>210KB</t>
  </si>
  <si>
    <t>Nett</t>
  </si>
  <si>
    <t>Pack</t>
  </si>
  <si>
    <t>Price/nett</t>
  </si>
  <si>
    <t>Customer code</t>
  </si>
  <si>
    <t>APLICATION</t>
  </si>
  <si>
    <t>Min</t>
  </si>
  <si>
    <t>Max</t>
  </si>
  <si>
    <t>Cust&amp;Name</t>
  </si>
  <si>
    <t>App step</t>
  </si>
  <si>
    <t>Product</t>
  </si>
  <si>
    <t>Mix ratio</t>
  </si>
  <si>
    <t>App method</t>
  </si>
  <si>
    <t>Cust&amp;product</t>
  </si>
  <si>
    <t>Notes: The price above is not including VAT 8% and valid for 30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</si>
</sst>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_-;\-* #,##0.00_-;_-* &quot;-&quot;??_-;_-@_-"/>
    <numFmt numFmtId="164" formatCode="_(* #,##0.00_);_(* \(#,##0.00\);_(* \-??_);_(@_)"/>
    <numFmt numFmtId="165" formatCode="_(* #,##0_);_(* \(#,##0\);_(* \-??_);_(@_)"/>
    <numFmt numFmtId="166" formatCode="mm/dd/yy"/>
  </numFmts>
  <fonts count="32">
    <font>
      <sz val="10"/>
      <name val="Arial"/>
      <family val="2"/>
    </font>
    <font>
      <b/>
      <sz val="16"/>
      <name val="Arial"/>
      <family val="2"/>
      <charset val="1"/>
    </font>
    <font>
      <sz val="8"/>
      <name val="Arial"/>
      <family val="2"/>
      <charset val="1"/>
    </font>
    <font>
      <sz val="10"/>
      <name val="Arial"/>
      <family val="2"/>
      <charset val="1"/>
    </font>
    <font>
      <b/>
      <sz val="26"/>
      <name val="Arial"/>
      <family val="2"/>
      <charset val="1"/>
    </font>
    <font>
      <sz val="12"/>
      <name val="Arial"/>
      <family val="2"/>
      <charset val="1"/>
    </font>
    <font>
      <b/>
      <sz val="12"/>
      <name val="Arial"/>
      <family val="2"/>
      <charset val="1"/>
    </font>
    <font>
      <sz val="12"/>
      <name val="Calibri"/>
      <family val="2"/>
    </font>
    <font>
      <sz val="12"/>
      <name val="Arial"/>
      <family val="2"/>
      <charset val="134"/>
    </font>
    <font>
      <sz val="12"/>
      <name val="DejaVu LGC Sans"/>
      <family val="2"/>
      <charset val="1"/>
    </font>
    <font>
      <sz val="12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sz val="12"/>
      <color indexed="8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i/>
      <sz val="10"/>
      <name val="Arial"/>
      <family val="2"/>
    </font>
    <font>
      <b/>
      <vertAlign val="superscript"/>
      <sz val="12"/>
      <name val="Arial"/>
      <family val="2"/>
    </font>
    <font>
      <sz val="8"/>
      <name val="Century Gothic"/>
      <family val="2"/>
      <charset val="1"/>
    </font>
    <font>
      <b/>
      <sz val="8"/>
      <name val="Century Gothic"/>
      <family val="2"/>
      <charset val="1"/>
    </font>
    <font>
      <b/>
      <sz val="9"/>
      <name val="Century Gothic"/>
      <family val="2"/>
      <charset val="1"/>
    </font>
    <font>
      <b/>
      <i/>
      <sz val="8"/>
      <name val="Century Gothic"/>
      <family val="2"/>
      <charset val="1"/>
    </font>
    <font>
      <b/>
      <sz val="10"/>
      <name val="Arial"/>
      <family val="2"/>
      <charset val="1"/>
    </font>
    <font>
      <b/>
      <vertAlign val="superscript"/>
      <sz val="10"/>
      <name val="Arial"/>
      <family val="2"/>
      <charset val="1"/>
    </font>
    <font>
      <b/>
      <sz val="10"/>
      <color rgb="FF0000FF"/>
      <name val="Arial"/>
      <family val="2"/>
      <charset val="1"/>
    </font>
    <font>
      <b/>
      <sz val="16"/>
      <name val="Century Gothic"/>
      <family val="2"/>
      <charset val="1"/>
    </font>
    <font>
      <sz val="10"/>
      <name val="Arial"/>
      <family val="2"/>
    </font>
    <font>
      <b/>
      <sz val="8"/>
      <name val="Times New Roman"/>
      <family val="1"/>
    </font>
    <font>
      <b/>
      <sz val="8"/>
      <name val="Times New Roman"/>
      <family val="1"/>
      <charset val="1"/>
    </font>
    <font>
      <b/>
      <sz val="12"/>
      <color rgb="FFFF0000"/>
      <name val="Arial"/>
      <family val="2"/>
    </font>
    <font>
      <b/>
      <sz val="8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45">
    <border>
      <left/>
      <right/>
      <top/>
      <bottom/>
      <diagonal/>
    </border>
    <border>
      <left style="hair">
        <color indexed="8"/>
      </left>
      <right/>
      <top/>
      <bottom/>
      <diagonal/>
    </border>
    <border>
      <left/>
      <right style="hair">
        <color indexed="8"/>
      </right>
      <top/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/>
      <right style="hair">
        <color indexed="64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8"/>
      </right>
      <top style="thin">
        <color indexed="64"/>
      </top>
      <bottom style="thin">
        <color indexed="64"/>
      </bottom>
      <diagonal/>
    </border>
    <border>
      <left style="hair">
        <color indexed="8"/>
      </left>
      <right style="hair">
        <color indexed="8"/>
      </right>
      <top style="thin">
        <color indexed="64"/>
      </top>
      <bottom style="thin">
        <color indexed="64"/>
      </bottom>
      <diagonal/>
    </border>
    <border>
      <left style="hair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4">
    <xf numFmtId="0" fontId="0" fillId="0" borderId="0"/>
    <xf numFmtId="0" fontId="3" fillId="0" borderId="0"/>
    <xf numFmtId="164" fontId="3" fillId="0" borderId="0" applyBorder="0" applyProtection="0"/>
    <xf numFmtId="43" fontId="27" fillId="0" borderId="0" applyFont="0" applyFill="0" applyBorder="0" applyAlignment="0" applyProtection="0"/>
  </cellStyleXfs>
  <cellXfs count="205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/>
    <xf numFmtId="0" fontId="1" fillId="0" borderId="0" xfId="0" applyFont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0" xfId="0" applyFont="1" applyAlignment="1">
      <alignment vertical="center"/>
    </xf>
    <xf numFmtId="9" fontId="2" fillId="0" borderId="0" xfId="0" applyNumberFormat="1" applyFont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15" fillId="0" borderId="6" xfId="0" applyFont="1" applyBorder="1" applyAlignment="1">
      <alignment horizontal="center" vertical="center"/>
    </xf>
    <xf numFmtId="0" fontId="0" fillId="0" borderId="3" xfId="0" applyBorder="1"/>
    <xf numFmtId="0" fontId="17" fillId="0" borderId="4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9" fontId="5" fillId="0" borderId="8" xfId="0" applyNumberFormat="1" applyFont="1" applyBorder="1" applyAlignment="1">
      <alignment horizontal="left" vertical="center"/>
    </xf>
    <xf numFmtId="0" fontId="6" fillId="0" borderId="10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9" fontId="5" fillId="0" borderId="13" xfId="0" applyNumberFormat="1" applyFont="1" applyBorder="1" applyAlignment="1">
      <alignment horizontal="left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5" fillId="0" borderId="25" xfId="0" applyFont="1" applyBorder="1" applyAlignment="1">
      <alignment vertical="center"/>
    </xf>
    <xf numFmtId="9" fontId="5" fillId="0" borderId="25" xfId="0" applyNumberFormat="1" applyFont="1" applyBorder="1" applyAlignment="1">
      <alignment horizontal="left" vertical="center"/>
    </xf>
    <xf numFmtId="0" fontId="5" fillId="0" borderId="26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0" fontId="5" fillId="0" borderId="28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8" fillId="0" borderId="30" xfId="0" applyFont="1" applyBorder="1" applyAlignment="1">
      <alignment horizontal="left" vertical="center"/>
    </xf>
    <xf numFmtId="0" fontId="5" fillId="0" borderId="31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9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top"/>
    </xf>
    <xf numFmtId="49" fontId="10" fillId="0" borderId="9" xfId="0" applyNumberFormat="1" applyFont="1" applyBorder="1" applyAlignment="1">
      <alignment horizontal="center" vertical="top"/>
    </xf>
    <xf numFmtId="0" fontId="10" fillId="0" borderId="9" xfId="0" applyFont="1" applyBorder="1" applyAlignment="1">
      <alignment horizontal="center" vertical="top"/>
    </xf>
    <xf numFmtId="0" fontId="0" fillId="0" borderId="9" xfId="0" applyBorder="1" applyAlignment="1">
      <alignment horizontal="center" vertical="top"/>
    </xf>
    <xf numFmtId="49" fontId="0" fillId="0" borderId="9" xfId="0" applyNumberFormat="1" applyBorder="1" applyAlignment="1">
      <alignment horizontal="center" vertical="center"/>
    </xf>
    <xf numFmtId="49" fontId="10" fillId="0" borderId="9" xfId="0" applyNumberFormat="1" applyFont="1" applyBorder="1" applyAlignment="1">
      <alignment horizontal="center" vertical="top" wrapText="1"/>
    </xf>
    <xf numFmtId="0" fontId="10" fillId="0" borderId="24" xfId="0" applyFont="1" applyBorder="1" applyAlignment="1">
      <alignment vertical="center"/>
    </xf>
    <xf numFmtId="0" fontId="3" fillId="0" borderId="25" xfId="0" applyFont="1" applyBorder="1" applyAlignment="1">
      <alignment horizontal="center" vertical="center" wrapText="1"/>
    </xf>
    <xf numFmtId="0" fontId="3" fillId="0" borderId="25" xfId="0" applyFont="1" applyBorder="1" applyAlignment="1">
      <alignment vertical="center"/>
    </xf>
    <xf numFmtId="0" fontId="3" fillId="0" borderId="25" xfId="0" applyFont="1" applyBorder="1" applyAlignment="1">
      <alignment vertical="top"/>
    </xf>
    <xf numFmtId="0" fontId="3" fillId="0" borderId="25" xfId="0" applyFont="1" applyBorder="1" applyAlignment="1">
      <alignment horizontal="center" vertical="top"/>
    </xf>
    <xf numFmtId="49" fontId="3" fillId="0" borderId="25" xfId="0" applyNumberFormat="1" applyFont="1" applyBorder="1" applyAlignment="1">
      <alignment horizontal="center" vertical="center" wrapText="1"/>
    </xf>
    <xf numFmtId="49" fontId="14" fillId="0" borderId="25" xfId="0" applyNumberFormat="1" applyFont="1" applyBorder="1" applyAlignment="1">
      <alignment horizontal="center" vertical="center"/>
    </xf>
    <xf numFmtId="49" fontId="3" fillId="0" borderId="25" xfId="0" applyNumberFormat="1" applyFont="1" applyBorder="1" applyAlignment="1">
      <alignment horizontal="center" vertical="center"/>
    </xf>
    <xf numFmtId="49" fontId="3" fillId="0" borderId="26" xfId="0" applyNumberFormat="1" applyFont="1" applyBorder="1" applyAlignment="1">
      <alignment horizontal="center" vertical="center" wrapText="1"/>
    </xf>
    <xf numFmtId="0" fontId="10" fillId="0" borderId="27" xfId="0" applyFont="1" applyBorder="1" applyAlignment="1">
      <alignment vertical="center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vertical="top"/>
    </xf>
    <xf numFmtId="0" fontId="3" fillId="0" borderId="0" xfId="0" applyFont="1" applyBorder="1" applyAlignment="1">
      <alignment horizontal="center" vertical="top"/>
    </xf>
    <xf numFmtId="49" fontId="3" fillId="0" borderId="0" xfId="0" applyNumberFormat="1" applyFont="1" applyBorder="1" applyAlignment="1">
      <alignment horizontal="center" vertical="center" wrapText="1"/>
    </xf>
    <xf numFmtId="49" fontId="14" fillId="0" borderId="0" xfId="0" applyNumberFormat="1" applyFont="1" applyBorder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/>
    </xf>
    <xf numFmtId="49" fontId="3" fillId="0" borderId="28" xfId="0" applyNumberFormat="1" applyFont="1" applyBorder="1" applyAlignment="1">
      <alignment horizontal="center" vertical="center" wrapText="1"/>
    </xf>
    <xf numFmtId="0" fontId="10" fillId="0" borderId="27" xfId="0" applyFont="1" applyBorder="1" applyAlignment="1">
      <alignment horizontal="left" vertical="center" indent="1"/>
    </xf>
    <xf numFmtId="0" fontId="2" fillId="0" borderId="28" xfId="0" applyFont="1" applyBorder="1" applyAlignment="1">
      <alignment vertical="center"/>
    </xf>
    <xf numFmtId="0" fontId="2" fillId="0" borderId="27" xfId="0" applyFont="1" applyBorder="1" applyAlignment="1">
      <alignment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top"/>
    </xf>
    <xf numFmtId="0" fontId="3" fillId="0" borderId="0" xfId="1"/>
    <xf numFmtId="0" fontId="2" fillId="0" borderId="0" xfId="1" applyFont="1"/>
    <xf numFmtId="164" fontId="3" fillId="0" borderId="0" xfId="2" applyBorder="1"/>
    <xf numFmtId="0" fontId="2" fillId="0" borderId="32" xfId="1" applyFont="1" applyBorder="1"/>
    <xf numFmtId="0" fontId="19" fillId="0" borderId="0" xfId="1" applyFont="1" applyAlignment="1">
      <alignment vertical="center"/>
    </xf>
    <xf numFmtId="0" fontId="20" fillId="0" borderId="27" xfId="1" applyFont="1" applyBorder="1" applyAlignment="1">
      <alignment vertical="center"/>
    </xf>
    <xf numFmtId="0" fontId="21" fillId="0" borderId="27" xfId="1" applyFont="1" applyBorder="1" applyAlignment="1">
      <alignment vertical="center"/>
    </xf>
    <xf numFmtId="0" fontId="22" fillId="0" borderId="0" xfId="1" applyFont="1" applyAlignment="1">
      <alignment vertical="center"/>
    </xf>
    <xf numFmtId="0" fontId="22" fillId="0" borderId="27" xfId="1" applyFont="1" applyBorder="1" applyAlignment="1">
      <alignment vertical="center"/>
    </xf>
    <xf numFmtId="165" fontId="3" fillId="0" borderId="0" xfId="2" applyNumberFormat="1" applyBorder="1" applyAlignment="1" applyProtection="1">
      <alignment vertical="center"/>
    </xf>
    <xf numFmtId="165" fontId="23" fillId="0" borderId="0" xfId="2" applyNumberFormat="1" applyFont="1" applyBorder="1" applyAlignment="1" applyProtection="1">
      <alignment vertical="center"/>
    </xf>
    <xf numFmtId="165" fontId="23" fillId="0" borderId="33" xfId="2" applyNumberFormat="1" applyFont="1" applyBorder="1" applyAlignment="1" applyProtection="1">
      <alignment vertical="center"/>
    </xf>
    <xf numFmtId="2" fontId="23" fillId="0" borderId="9" xfId="1" applyNumberFormat="1" applyFont="1" applyBorder="1"/>
    <xf numFmtId="165" fontId="3" fillId="0" borderId="0" xfId="2" applyNumberFormat="1" applyBorder="1" applyAlignment="1" applyProtection="1">
      <alignment horizontal="center" vertical="center"/>
    </xf>
    <xf numFmtId="164" fontId="23" fillId="0" borderId="0" xfId="2" applyFont="1" applyBorder="1" applyAlignment="1" applyProtection="1">
      <alignment vertical="center"/>
    </xf>
    <xf numFmtId="0" fontId="23" fillId="0" borderId="33" xfId="1" applyFont="1" applyBorder="1" applyAlignment="1">
      <alignment horizontal="center" vertical="center"/>
    </xf>
    <xf numFmtId="0" fontId="23" fillId="0" borderId="33" xfId="1" applyFont="1" applyBorder="1" applyAlignment="1">
      <alignment horizontal="center" vertical="center" wrapText="1"/>
    </xf>
    <xf numFmtId="0" fontId="3" fillId="0" borderId="33" xfId="1" applyBorder="1"/>
    <xf numFmtId="3" fontId="25" fillId="2" borderId="35" xfId="1" applyNumberFormat="1" applyFont="1" applyFill="1" applyBorder="1"/>
    <xf numFmtId="165" fontId="2" fillId="0" borderId="0" xfId="1" applyNumberFormat="1" applyFont="1"/>
    <xf numFmtId="4" fontId="23" fillId="0" borderId="0" xfId="1" applyNumberFormat="1" applyFont="1" applyBorder="1" applyAlignment="1">
      <alignment vertical="center" wrapText="1"/>
    </xf>
    <xf numFmtId="165" fontId="23" fillId="0" borderId="9" xfId="2" applyNumberFormat="1" applyFont="1" applyBorder="1" applyAlignment="1" applyProtection="1">
      <alignment horizontal="center" vertical="center" wrapText="1"/>
    </xf>
    <xf numFmtId="0" fontId="23" fillId="0" borderId="0" xfId="1" applyFont="1" applyBorder="1" applyAlignment="1">
      <alignment horizontal="center" vertical="center" wrapText="1"/>
    </xf>
    <xf numFmtId="0" fontId="23" fillId="0" borderId="0" xfId="1" applyFont="1" applyBorder="1" applyAlignment="1">
      <alignment vertical="center"/>
    </xf>
    <xf numFmtId="0" fontId="23" fillId="0" borderId="33" xfId="1" applyFont="1" applyBorder="1" applyAlignment="1">
      <alignment vertical="center"/>
    </xf>
    <xf numFmtId="0" fontId="0" fillId="0" borderId="0" xfId="0" applyAlignment="1">
      <alignment vertical="top"/>
    </xf>
    <xf numFmtId="166" fontId="23" fillId="0" borderId="0" xfId="1" applyNumberFormat="1" applyFont="1" applyBorder="1" applyAlignment="1">
      <alignment horizontal="left" vertical="center"/>
    </xf>
    <xf numFmtId="0" fontId="26" fillId="0" borderId="0" xfId="1" applyFont="1" applyBorder="1" applyAlignment="1">
      <alignment horizontal="center" vertical="center"/>
    </xf>
    <xf numFmtId="0" fontId="0" fillId="3" borderId="9" xfId="0" applyFill="1" applyBorder="1" applyAlignment="1">
      <alignment vertical="top"/>
    </xf>
    <xf numFmtId="0" fontId="0" fillId="0" borderId="0" xfId="0" applyBorder="1" applyAlignment="1">
      <alignment vertical="top"/>
    </xf>
    <xf numFmtId="0" fontId="0" fillId="4" borderId="9" xfId="0" applyFill="1" applyBorder="1" applyAlignment="1">
      <alignment vertical="top"/>
    </xf>
    <xf numFmtId="0" fontId="5" fillId="4" borderId="0" xfId="0" applyFont="1" applyFill="1" applyAlignment="1">
      <alignment vertical="center"/>
    </xf>
    <xf numFmtId="0" fontId="1" fillId="0" borderId="0" xfId="0" applyFont="1" applyBorder="1" applyAlignment="1">
      <alignment vertical="center"/>
    </xf>
    <xf numFmtId="0" fontId="15" fillId="0" borderId="0" xfId="0" applyFont="1" applyBorder="1" applyAlignment="1">
      <alignment horizontal="center" vertical="center"/>
    </xf>
    <xf numFmtId="0" fontId="28" fillId="0" borderId="41" xfId="0" applyFont="1" applyBorder="1" applyAlignment="1">
      <alignment vertical="center" wrapText="1"/>
    </xf>
    <xf numFmtId="0" fontId="28" fillId="0" borderId="42" xfId="0" applyFont="1" applyFill="1" applyBorder="1" applyAlignment="1">
      <alignment vertical="center" wrapText="1"/>
    </xf>
    <xf numFmtId="0" fontId="29" fillId="0" borderId="24" xfId="0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 indent="1"/>
    </xf>
    <xf numFmtId="0" fontId="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0" fillId="4" borderId="0" xfId="0" applyFill="1" applyAlignment="1">
      <alignment vertical="top"/>
    </xf>
    <xf numFmtId="0" fontId="0" fillId="4" borderId="0" xfId="0" applyFill="1" applyBorder="1" applyAlignment="1">
      <alignment vertical="top"/>
    </xf>
    <xf numFmtId="9" fontId="0" fillId="0" borderId="0" xfId="0" applyNumberFormat="1"/>
    <xf numFmtId="0" fontId="0" fillId="0" borderId="9" xfId="0" applyFill="1" applyBorder="1" applyAlignment="1">
      <alignment vertical="top"/>
    </xf>
    <xf numFmtId="2" fontId="0" fillId="0" borderId="0" xfId="0" applyNumberFormat="1" applyFill="1" applyBorder="1" applyAlignment="1">
      <alignment horizontal="right" vertical="top"/>
    </xf>
    <xf numFmtId="2" fontId="0" fillId="0" borderId="0" xfId="0" applyNumberFormat="1" applyFill="1" applyAlignment="1">
      <alignment horizontal="right" vertical="top"/>
    </xf>
    <xf numFmtId="0" fontId="0" fillId="0" borderId="0" xfId="0" applyFill="1" applyAlignment="1">
      <alignment vertical="top"/>
    </xf>
    <xf numFmtId="43" fontId="23" fillId="0" borderId="33" xfId="3" applyNumberFormat="1" applyFont="1" applyBorder="1" applyAlignment="1">
      <alignment horizontal="center" vertical="center" wrapText="1"/>
    </xf>
    <xf numFmtId="43" fontId="19" fillId="0" borderId="0" xfId="3" applyNumberFormat="1" applyFont="1" applyAlignment="1">
      <alignment vertical="center"/>
    </xf>
    <xf numFmtId="43" fontId="2" fillId="0" borderId="0" xfId="3" applyNumberFormat="1" applyFont="1"/>
    <xf numFmtId="0" fontId="22" fillId="0" borderId="0" xfId="1" applyFont="1" applyAlignment="1">
      <alignment horizontal="center" vertical="center"/>
    </xf>
    <xf numFmtId="0" fontId="23" fillId="0" borderId="33" xfId="1" applyFont="1" applyBorder="1" applyAlignment="1">
      <alignment horizontal="center"/>
    </xf>
    <xf numFmtId="0" fontId="20" fillId="0" borderId="0" xfId="1" applyFont="1" applyAlignment="1">
      <alignment horizontal="center" vertical="center"/>
    </xf>
    <xf numFmtId="0" fontId="31" fillId="0" borderId="0" xfId="1" applyFont="1" applyAlignment="1">
      <alignment horizontal="center"/>
    </xf>
    <xf numFmtId="0" fontId="30" fillId="4" borderId="0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vertical="center"/>
    </xf>
    <xf numFmtId="0" fontId="11" fillId="0" borderId="9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49" fontId="11" fillId="0" borderId="9" xfId="0" applyNumberFormat="1" applyFont="1" applyBorder="1" applyAlignment="1">
      <alignment horizontal="center" vertical="center"/>
    </xf>
    <xf numFmtId="49" fontId="10" fillId="0" borderId="9" xfId="0" applyNumberFormat="1" applyFont="1" applyBorder="1" applyAlignment="1">
      <alignment horizontal="center" vertical="center"/>
    </xf>
    <xf numFmtId="49" fontId="10" fillId="0" borderId="9" xfId="0" applyNumberFormat="1" applyFont="1" applyBorder="1" applyAlignment="1">
      <alignment horizontal="center" vertical="center" wrapText="1"/>
    </xf>
    <xf numFmtId="0" fontId="10" fillId="0" borderId="18" xfId="0" applyFont="1" applyBorder="1" applyAlignment="1">
      <alignment horizontal="left" vertical="center"/>
    </xf>
    <xf numFmtId="0" fontId="10" fillId="0" borderId="19" xfId="0" applyFont="1" applyBorder="1" applyAlignment="1">
      <alignment horizontal="left" vertical="center"/>
    </xf>
    <xf numFmtId="0" fontId="10" fillId="0" borderId="20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10" fillId="0" borderId="9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 wrapText="1"/>
    </xf>
    <xf numFmtId="0" fontId="13" fillId="0" borderId="9" xfId="0" applyNumberFormat="1" applyFont="1" applyBorder="1" applyAlignment="1">
      <alignment horizontal="center" vertical="center"/>
    </xf>
    <xf numFmtId="49" fontId="13" fillId="0" borderId="9" xfId="0" applyNumberFormat="1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12" fillId="0" borderId="9" xfId="0" applyFont="1" applyBorder="1" applyAlignment="1">
      <alignment horizontal="center" vertical="top"/>
    </xf>
    <xf numFmtId="49" fontId="0" fillId="0" borderId="9" xfId="0" applyNumberForma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23" fillId="0" borderId="33" xfId="1" applyFont="1" applyBorder="1" applyAlignment="1">
      <alignment horizontal="center" vertical="center"/>
    </xf>
    <xf numFmtId="9" fontId="23" fillId="0" borderId="33" xfId="1" applyNumberFormat="1" applyFont="1" applyFill="1" applyBorder="1" applyAlignment="1">
      <alignment horizontal="center" vertical="center"/>
    </xf>
    <xf numFmtId="43" fontId="23" fillId="0" borderId="33" xfId="3" applyNumberFormat="1" applyFont="1" applyBorder="1" applyAlignment="1">
      <alignment horizontal="center" vertical="center"/>
    </xf>
    <xf numFmtId="164" fontId="23" fillId="0" borderId="33" xfId="2" applyFont="1" applyBorder="1" applyAlignment="1" applyProtection="1">
      <alignment vertical="center"/>
    </xf>
    <xf numFmtId="2" fontId="23" fillId="0" borderId="9" xfId="1" applyNumberFormat="1" applyFont="1" applyBorder="1" applyAlignment="1">
      <alignment horizontal="center" vertical="center"/>
    </xf>
    <xf numFmtId="0" fontId="23" fillId="0" borderId="33" xfId="1" applyFont="1" applyBorder="1" applyAlignment="1">
      <alignment horizontal="center" vertical="center" wrapText="1"/>
    </xf>
    <xf numFmtId="165" fontId="23" fillId="0" borderId="33" xfId="2" applyNumberFormat="1" applyFont="1" applyBorder="1" applyAlignment="1" applyProtection="1">
      <alignment horizontal="center" vertical="center"/>
    </xf>
    <xf numFmtId="165" fontId="23" fillId="0" borderId="37" xfId="2" applyNumberFormat="1" applyFont="1" applyBorder="1" applyAlignment="1" applyProtection="1">
      <alignment horizontal="center" vertical="center"/>
    </xf>
    <xf numFmtId="165" fontId="23" fillId="0" borderId="36" xfId="2" applyNumberFormat="1" applyFont="1" applyBorder="1" applyAlignment="1" applyProtection="1">
      <alignment horizontal="center" vertical="center"/>
    </xf>
    <xf numFmtId="165" fontId="23" fillId="0" borderId="34" xfId="2" applyNumberFormat="1" applyFont="1" applyBorder="1" applyAlignment="1" applyProtection="1">
      <alignment horizontal="center" vertical="center"/>
    </xf>
    <xf numFmtId="0" fontId="26" fillId="0" borderId="33" xfId="1" applyFont="1" applyBorder="1" applyAlignment="1">
      <alignment horizontal="center" vertical="center"/>
    </xf>
    <xf numFmtId="166" fontId="23" fillId="0" borderId="33" xfId="1" applyNumberFormat="1" applyFont="1" applyBorder="1" applyAlignment="1">
      <alignment horizontal="left" vertical="center"/>
    </xf>
    <xf numFmtId="0" fontId="23" fillId="0" borderId="33" xfId="1" applyFont="1" applyBorder="1" applyAlignment="1">
      <alignment vertical="center"/>
    </xf>
    <xf numFmtId="0" fontId="23" fillId="0" borderId="33" xfId="1" applyFont="1" applyFill="1" applyBorder="1" applyAlignment="1">
      <alignment vertical="center"/>
    </xf>
    <xf numFmtId="9" fontId="23" fillId="0" borderId="33" xfId="1" applyNumberFormat="1" applyFont="1" applyBorder="1" applyAlignment="1">
      <alignment vertical="center"/>
    </xf>
    <xf numFmtId="43" fontId="23" fillId="0" borderId="33" xfId="3" applyFont="1" applyBorder="1" applyAlignment="1" applyProtection="1">
      <alignment vertical="center"/>
    </xf>
    <xf numFmtId="43" fontId="23" fillId="0" borderId="33" xfId="3" applyNumberFormat="1" applyFont="1" applyBorder="1" applyAlignment="1">
      <alignment horizontal="center" vertical="center" wrapText="1"/>
    </xf>
    <xf numFmtId="4" fontId="23" fillId="0" borderId="33" xfId="1" applyNumberFormat="1" applyFont="1" applyBorder="1" applyAlignment="1">
      <alignment vertical="center" wrapText="1"/>
    </xf>
    <xf numFmtId="165" fontId="23" fillId="0" borderId="37" xfId="1" applyNumberFormat="1" applyFont="1" applyBorder="1" applyAlignment="1">
      <alignment horizontal="center" vertical="center" wrapText="1"/>
    </xf>
    <xf numFmtId="165" fontId="23" fillId="0" borderId="36" xfId="1" applyNumberFormat="1" applyFont="1" applyBorder="1" applyAlignment="1">
      <alignment horizontal="center" vertical="center" wrapText="1"/>
    </xf>
    <xf numFmtId="0" fontId="23" fillId="0" borderId="43" xfId="1" applyFont="1" applyBorder="1" applyAlignment="1">
      <alignment horizontal="center" vertical="center" wrapText="1"/>
    </xf>
    <xf numFmtId="0" fontId="23" fillId="0" borderId="44" xfId="1" applyFont="1" applyBorder="1" applyAlignment="1">
      <alignment horizontal="center" vertical="center" wrapText="1"/>
    </xf>
    <xf numFmtId="165" fontId="23" fillId="0" borderId="43" xfId="2" applyNumberFormat="1" applyFont="1" applyBorder="1" applyAlignment="1" applyProtection="1">
      <alignment horizontal="center" vertical="center"/>
    </xf>
    <xf numFmtId="165" fontId="23" fillId="0" borderId="44" xfId="2" applyNumberFormat="1" applyFont="1" applyBorder="1" applyAlignment="1" applyProtection="1">
      <alignment horizontal="center" vertical="center"/>
    </xf>
  </cellXfs>
  <cellStyles count="4">
    <cellStyle name="Comma" xfId="3" builtinId="3"/>
    <cellStyle name="Comma 2" xfId="2"/>
    <cellStyle name="Normal" xfId="0" builtinId="0"/>
    <cellStyle name="Normal 17" xfId="1"/>
  </cellStyles>
  <dxfs count="19">
    <dxf>
      <font>
        <sz val="10"/>
        <name val="Arial"/>
      </font>
    </dxf>
    <dxf>
      <font>
        <sz val="10"/>
        <name val="Arial"/>
      </font>
    </dxf>
    <dxf>
      <font>
        <sz val="10"/>
        <name val="Arial"/>
      </font>
    </dxf>
    <dxf>
      <font>
        <sz val="10"/>
        <name val="Arial"/>
      </font>
    </dxf>
    <dxf>
      <font>
        <sz val="10"/>
        <name val="Arial"/>
      </font>
    </dxf>
    <dxf>
      <font>
        <sz val="10"/>
        <name val="Arial"/>
      </font>
    </dxf>
    <dxf>
      <font>
        <sz val="10"/>
        <name val="Arial"/>
      </font>
    </dxf>
    <dxf>
      <font>
        <sz val="10"/>
        <name val="Arial"/>
      </font>
    </dxf>
    <dxf>
      <font>
        <sz val="10"/>
        <name val="Arial"/>
      </font>
    </dxf>
    <dxf>
      <font>
        <sz val="10"/>
        <name val="Arial"/>
      </font>
    </dxf>
    <dxf>
      <font>
        <sz val="10"/>
        <name val="Arial"/>
      </font>
    </dxf>
    <dxf>
      <font>
        <sz val="10"/>
        <name val="Arial"/>
      </font>
    </dxf>
    <dxf>
      <font>
        <sz val="10"/>
        <name val="Arial"/>
      </font>
    </dxf>
    <dxf>
      <font>
        <sz val="10"/>
        <name val="Arial"/>
      </font>
    </dxf>
    <dxf>
      <font>
        <sz val="10"/>
        <name val="Arial"/>
      </font>
    </dxf>
    <dxf>
      <font>
        <sz val="10"/>
        <name val="Arial"/>
      </font>
    </dxf>
    <dxf>
      <font>
        <sz val="10"/>
        <name val="Arial"/>
      </font>
    </dxf>
    <dxf>
      <font>
        <sz val="10"/>
        <name val="Arial"/>
      </font>
    </dxf>
    <dxf>
      <font>
        <sz val="10"/>
        <name val="Arial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173190</xdr:colOff>
      <xdr:row>2</xdr:row>
      <xdr:rowOff>8699</xdr:rowOff>
    </xdr:from>
    <xdr:to>
      <xdr:col>18</xdr:col>
      <xdr:colOff>176580</xdr:colOff>
      <xdr:row>7</xdr:row>
      <xdr:rowOff>8003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14434F0E-8A13-4192-B825-05A67FDE5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64690" y="846899"/>
          <a:ext cx="1876640" cy="12693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S82"/>
  <sheetViews>
    <sheetView topLeftCell="A16" zoomScale="80" zoomScaleNormal="80" workbookViewId="0">
      <selection activeCell="F3" sqref="F3"/>
    </sheetView>
  </sheetViews>
  <sheetFormatPr defaultColWidth="11" defaultRowHeight="15.5"/>
  <cols>
    <col min="1" max="1" width="3.26953125" customWidth="1"/>
    <col min="2" max="2" width="5" style="1" customWidth="1"/>
    <col min="3" max="3" width="8.08984375" style="1" customWidth="1"/>
    <col min="4" max="4" width="5.36328125" style="1" customWidth="1"/>
    <col min="5" max="5" width="3.54296875" style="1" customWidth="1"/>
    <col min="6" max="6" width="12.90625" style="1" customWidth="1"/>
    <col min="7" max="7" width="10.54296875" style="1" customWidth="1"/>
    <col min="8" max="8" width="5.81640625" style="1" customWidth="1"/>
    <col min="9" max="9" width="3.6328125" style="1" customWidth="1"/>
    <col min="10" max="10" width="9.36328125" style="1" customWidth="1"/>
    <col min="11" max="11" width="9.453125" style="1" customWidth="1"/>
    <col min="12" max="12" width="1.6328125" style="1" customWidth="1"/>
    <col min="13" max="13" width="11.26953125" style="1" customWidth="1"/>
    <col min="14" max="14" width="12.453125" style="1" customWidth="1"/>
    <col min="15" max="16" width="8.54296875" style="1" customWidth="1"/>
    <col min="17" max="17" width="6.6328125" style="1" customWidth="1"/>
    <col min="18" max="18" width="20.1796875" style="1" customWidth="1"/>
    <col min="19" max="20" width="4.26953125" style="1" customWidth="1"/>
    <col min="21" max="22" width="32.1796875" style="127" customWidth="1"/>
    <col min="23" max="23" width="17.90625" style="6" bestFit="1" customWidth="1"/>
    <col min="24" max="24" width="39.1796875" style="6" bestFit="1" customWidth="1"/>
    <col min="25" max="25" width="39.1796875" style="6" customWidth="1"/>
    <col min="26" max="26" width="9.08984375" style="6" bestFit="1" customWidth="1"/>
    <col min="27" max="253" width="11.54296875" style="1" customWidth="1"/>
    <col min="254" max="261" width="11" style="2"/>
    <col min="262" max="262" width="3.26953125" style="2" customWidth="1"/>
    <col min="263" max="263" width="5" style="2" customWidth="1"/>
    <col min="264" max="264" width="8.08984375" style="2" customWidth="1"/>
    <col min="265" max="265" width="5.36328125" style="2" customWidth="1"/>
    <col min="266" max="266" width="3.54296875" style="2" customWidth="1"/>
    <col min="267" max="267" width="21.26953125" style="2" customWidth="1"/>
    <col min="268" max="268" width="5.81640625" style="2" customWidth="1"/>
    <col min="269" max="269" width="3.6328125" style="2" customWidth="1"/>
    <col min="270" max="270" width="9.36328125" style="2" customWidth="1"/>
    <col min="271" max="271" width="9.453125" style="2" customWidth="1"/>
    <col min="272" max="272" width="1.6328125" style="2" customWidth="1"/>
    <col min="273" max="273" width="11.26953125" style="2" customWidth="1"/>
    <col min="274" max="274" width="9.08984375" style="2" customWidth="1"/>
    <col min="275" max="276" width="8.54296875" style="2" customWidth="1"/>
    <col min="277" max="277" width="6.6328125" style="2" customWidth="1"/>
    <col min="278" max="278" width="20.1796875" style="2" customWidth="1"/>
    <col min="279" max="279" width="4.26953125" style="2" customWidth="1"/>
    <col min="280" max="509" width="11.54296875" style="2" customWidth="1"/>
    <col min="510" max="517" width="11" style="2"/>
    <col min="518" max="518" width="3.26953125" style="2" customWidth="1"/>
    <col min="519" max="519" width="5" style="2" customWidth="1"/>
    <col min="520" max="520" width="8.08984375" style="2" customWidth="1"/>
    <col min="521" max="521" width="5.36328125" style="2" customWidth="1"/>
    <col min="522" max="522" width="3.54296875" style="2" customWidth="1"/>
    <col min="523" max="523" width="21.26953125" style="2" customWidth="1"/>
    <col min="524" max="524" width="5.81640625" style="2" customWidth="1"/>
    <col min="525" max="525" width="3.6328125" style="2" customWidth="1"/>
    <col min="526" max="526" width="9.36328125" style="2" customWidth="1"/>
    <col min="527" max="527" width="9.453125" style="2" customWidth="1"/>
    <col min="528" max="528" width="1.6328125" style="2" customWidth="1"/>
    <col min="529" max="529" width="11.26953125" style="2" customWidth="1"/>
    <col min="530" max="530" width="9.08984375" style="2" customWidth="1"/>
    <col min="531" max="532" width="8.54296875" style="2" customWidth="1"/>
    <col min="533" max="533" width="6.6328125" style="2" customWidth="1"/>
    <col min="534" max="534" width="20.1796875" style="2" customWidth="1"/>
    <col min="535" max="535" width="4.26953125" style="2" customWidth="1"/>
    <col min="536" max="765" width="11.54296875" style="2" customWidth="1"/>
    <col min="766" max="773" width="11" style="2"/>
    <col min="774" max="774" width="3.26953125" style="2" customWidth="1"/>
    <col min="775" max="775" width="5" style="2" customWidth="1"/>
    <col min="776" max="776" width="8.08984375" style="2" customWidth="1"/>
    <col min="777" max="777" width="5.36328125" style="2" customWidth="1"/>
    <col min="778" max="778" width="3.54296875" style="2" customWidth="1"/>
    <col min="779" max="779" width="21.26953125" style="2" customWidth="1"/>
    <col min="780" max="780" width="5.81640625" style="2" customWidth="1"/>
    <col min="781" max="781" width="3.6328125" style="2" customWidth="1"/>
    <col min="782" max="782" width="9.36328125" style="2" customWidth="1"/>
    <col min="783" max="783" width="9.453125" style="2" customWidth="1"/>
    <col min="784" max="784" width="1.6328125" style="2" customWidth="1"/>
    <col min="785" max="785" width="11.26953125" style="2" customWidth="1"/>
    <col min="786" max="786" width="9.08984375" style="2" customWidth="1"/>
    <col min="787" max="788" width="8.54296875" style="2" customWidth="1"/>
    <col min="789" max="789" width="6.6328125" style="2" customWidth="1"/>
    <col min="790" max="790" width="20.1796875" style="2" customWidth="1"/>
    <col min="791" max="791" width="4.26953125" style="2" customWidth="1"/>
    <col min="792" max="1021" width="11.54296875" style="2" customWidth="1"/>
    <col min="1022" max="1029" width="11" style="2"/>
    <col min="1030" max="1030" width="3.26953125" style="2" customWidth="1"/>
    <col min="1031" max="1031" width="5" style="2" customWidth="1"/>
    <col min="1032" max="1032" width="8.08984375" style="2" customWidth="1"/>
    <col min="1033" max="1033" width="5.36328125" style="2" customWidth="1"/>
    <col min="1034" max="1034" width="3.54296875" style="2" customWidth="1"/>
    <col min="1035" max="1035" width="21.26953125" style="2" customWidth="1"/>
    <col min="1036" max="1036" width="5.81640625" style="2" customWidth="1"/>
    <col min="1037" max="1037" width="3.6328125" style="2" customWidth="1"/>
    <col min="1038" max="1038" width="9.36328125" style="2" customWidth="1"/>
    <col min="1039" max="1039" width="9.453125" style="2" customWidth="1"/>
    <col min="1040" max="1040" width="1.6328125" style="2" customWidth="1"/>
    <col min="1041" max="1041" width="11.26953125" style="2" customWidth="1"/>
    <col min="1042" max="1042" width="9.08984375" style="2" customWidth="1"/>
    <col min="1043" max="1044" width="8.54296875" style="2" customWidth="1"/>
    <col min="1045" max="1045" width="6.6328125" style="2" customWidth="1"/>
    <col min="1046" max="1046" width="20.1796875" style="2" customWidth="1"/>
    <col min="1047" max="1047" width="4.26953125" style="2" customWidth="1"/>
    <col min="1048" max="1277" width="11.54296875" style="2" customWidth="1"/>
    <col min="1278" max="1285" width="11" style="2"/>
    <col min="1286" max="1286" width="3.26953125" style="2" customWidth="1"/>
    <col min="1287" max="1287" width="5" style="2" customWidth="1"/>
    <col min="1288" max="1288" width="8.08984375" style="2" customWidth="1"/>
    <col min="1289" max="1289" width="5.36328125" style="2" customWidth="1"/>
    <col min="1290" max="1290" width="3.54296875" style="2" customWidth="1"/>
    <col min="1291" max="1291" width="21.26953125" style="2" customWidth="1"/>
    <col min="1292" max="1292" width="5.81640625" style="2" customWidth="1"/>
    <col min="1293" max="1293" width="3.6328125" style="2" customWidth="1"/>
    <col min="1294" max="1294" width="9.36328125" style="2" customWidth="1"/>
    <col min="1295" max="1295" width="9.453125" style="2" customWidth="1"/>
    <col min="1296" max="1296" width="1.6328125" style="2" customWidth="1"/>
    <col min="1297" max="1297" width="11.26953125" style="2" customWidth="1"/>
    <col min="1298" max="1298" width="9.08984375" style="2" customWidth="1"/>
    <col min="1299" max="1300" width="8.54296875" style="2" customWidth="1"/>
    <col min="1301" max="1301" width="6.6328125" style="2" customWidth="1"/>
    <col min="1302" max="1302" width="20.1796875" style="2" customWidth="1"/>
    <col min="1303" max="1303" width="4.26953125" style="2" customWidth="1"/>
    <col min="1304" max="1533" width="11.54296875" style="2" customWidth="1"/>
    <col min="1534" max="1541" width="11" style="2"/>
    <col min="1542" max="1542" width="3.26953125" style="2" customWidth="1"/>
    <col min="1543" max="1543" width="5" style="2" customWidth="1"/>
    <col min="1544" max="1544" width="8.08984375" style="2" customWidth="1"/>
    <col min="1545" max="1545" width="5.36328125" style="2" customWidth="1"/>
    <col min="1546" max="1546" width="3.54296875" style="2" customWidth="1"/>
    <col min="1547" max="1547" width="21.26953125" style="2" customWidth="1"/>
    <col min="1548" max="1548" width="5.81640625" style="2" customWidth="1"/>
    <col min="1549" max="1549" width="3.6328125" style="2" customWidth="1"/>
    <col min="1550" max="1550" width="9.36328125" style="2" customWidth="1"/>
    <col min="1551" max="1551" width="9.453125" style="2" customWidth="1"/>
    <col min="1552" max="1552" width="1.6328125" style="2" customWidth="1"/>
    <col min="1553" max="1553" width="11.26953125" style="2" customWidth="1"/>
    <col min="1554" max="1554" width="9.08984375" style="2" customWidth="1"/>
    <col min="1555" max="1556" width="8.54296875" style="2" customWidth="1"/>
    <col min="1557" max="1557" width="6.6328125" style="2" customWidth="1"/>
    <col min="1558" max="1558" width="20.1796875" style="2" customWidth="1"/>
    <col min="1559" max="1559" width="4.26953125" style="2" customWidth="1"/>
    <col min="1560" max="1789" width="11.54296875" style="2" customWidth="1"/>
    <col min="1790" max="1797" width="11" style="2"/>
    <col min="1798" max="1798" width="3.26953125" style="2" customWidth="1"/>
    <col min="1799" max="1799" width="5" style="2" customWidth="1"/>
    <col min="1800" max="1800" width="8.08984375" style="2" customWidth="1"/>
    <col min="1801" max="1801" width="5.36328125" style="2" customWidth="1"/>
    <col min="1802" max="1802" width="3.54296875" style="2" customWidth="1"/>
    <col min="1803" max="1803" width="21.26953125" style="2" customWidth="1"/>
    <col min="1804" max="1804" width="5.81640625" style="2" customWidth="1"/>
    <col min="1805" max="1805" width="3.6328125" style="2" customWidth="1"/>
    <col min="1806" max="1806" width="9.36328125" style="2" customWidth="1"/>
    <col min="1807" max="1807" width="9.453125" style="2" customWidth="1"/>
    <col min="1808" max="1808" width="1.6328125" style="2" customWidth="1"/>
    <col min="1809" max="1809" width="11.26953125" style="2" customWidth="1"/>
    <col min="1810" max="1810" width="9.08984375" style="2" customWidth="1"/>
    <col min="1811" max="1812" width="8.54296875" style="2" customWidth="1"/>
    <col min="1813" max="1813" width="6.6328125" style="2" customWidth="1"/>
    <col min="1814" max="1814" width="20.1796875" style="2" customWidth="1"/>
    <col min="1815" max="1815" width="4.26953125" style="2" customWidth="1"/>
    <col min="1816" max="2045" width="11.54296875" style="2" customWidth="1"/>
    <col min="2046" max="2053" width="11" style="2"/>
    <col min="2054" max="2054" width="3.26953125" style="2" customWidth="1"/>
    <col min="2055" max="2055" width="5" style="2" customWidth="1"/>
    <col min="2056" max="2056" width="8.08984375" style="2" customWidth="1"/>
    <col min="2057" max="2057" width="5.36328125" style="2" customWidth="1"/>
    <col min="2058" max="2058" width="3.54296875" style="2" customWidth="1"/>
    <col min="2059" max="2059" width="21.26953125" style="2" customWidth="1"/>
    <col min="2060" max="2060" width="5.81640625" style="2" customWidth="1"/>
    <col min="2061" max="2061" width="3.6328125" style="2" customWidth="1"/>
    <col min="2062" max="2062" width="9.36328125" style="2" customWidth="1"/>
    <col min="2063" max="2063" width="9.453125" style="2" customWidth="1"/>
    <col min="2064" max="2064" width="1.6328125" style="2" customWidth="1"/>
    <col min="2065" max="2065" width="11.26953125" style="2" customWidth="1"/>
    <col min="2066" max="2066" width="9.08984375" style="2" customWidth="1"/>
    <col min="2067" max="2068" width="8.54296875" style="2" customWidth="1"/>
    <col min="2069" max="2069" width="6.6328125" style="2" customWidth="1"/>
    <col min="2070" max="2070" width="20.1796875" style="2" customWidth="1"/>
    <col min="2071" max="2071" width="4.26953125" style="2" customWidth="1"/>
    <col min="2072" max="2301" width="11.54296875" style="2" customWidth="1"/>
    <col min="2302" max="2309" width="11" style="2"/>
    <col min="2310" max="2310" width="3.26953125" style="2" customWidth="1"/>
    <col min="2311" max="2311" width="5" style="2" customWidth="1"/>
    <col min="2312" max="2312" width="8.08984375" style="2" customWidth="1"/>
    <col min="2313" max="2313" width="5.36328125" style="2" customWidth="1"/>
    <col min="2314" max="2314" width="3.54296875" style="2" customWidth="1"/>
    <col min="2315" max="2315" width="21.26953125" style="2" customWidth="1"/>
    <col min="2316" max="2316" width="5.81640625" style="2" customWidth="1"/>
    <col min="2317" max="2317" width="3.6328125" style="2" customWidth="1"/>
    <col min="2318" max="2318" width="9.36328125" style="2" customWidth="1"/>
    <col min="2319" max="2319" width="9.453125" style="2" customWidth="1"/>
    <col min="2320" max="2320" width="1.6328125" style="2" customWidth="1"/>
    <col min="2321" max="2321" width="11.26953125" style="2" customWidth="1"/>
    <col min="2322" max="2322" width="9.08984375" style="2" customWidth="1"/>
    <col min="2323" max="2324" width="8.54296875" style="2" customWidth="1"/>
    <col min="2325" max="2325" width="6.6328125" style="2" customWidth="1"/>
    <col min="2326" max="2326" width="20.1796875" style="2" customWidth="1"/>
    <col min="2327" max="2327" width="4.26953125" style="2" customWidth="1"/>
    <col min="2328" max="2557" width="11.54296875" style="2" customWidth="1"/>
    <col min="2558" max="2565" width="11" style="2"/>
    <col min="2566" max="2566" width="3.26953125" style="2" customWidth="1"/>
    <col min="2567" max="2567" width="5" style="2" customWidth="1"/>
    <col min="2568" max="2568" width="8.08984375" style="2" customWidth="1"/>
    <col min="2569" max="2569" width="5.36328125" style="2" customWidth="1"/>
    <col min="2570" max="2570" width="3.54296875" style="2" customWidth="1"/>
    <col min="2571" max="2571" width="21.26953125" style="2" customWidth="1"/>
    <col min="2572" max="2572" width="5.81640625" style="2" customWidth="1"/>
    <col min="2573" max="2573" width="3.6328125" style="2" customWidth="1"/>
    <col min="2574" max="2574" width="9.36328125" style="2" customWidth="1"/>
    <col min="2575" max="2575" width="9.453125" style="2" customWidth="1"/>
    <col min="2576" max="2576" width="1.6328125" style="2" customWidth="1"/>
    <col min="2577" max="2577" width="11.26953125" style="2" customWidth="1"/>
    <col min="2578" max="2578" width="9.08984375" style="2" customWidth="1"/>
    <col min="2579" max="2580" width="8.54296875" style="2" customWidth="1"/>
    <col min="2581" max="2581" width="6.6328125" style="2" customWidth="1"/>
    <col min="2582" max="2582" width="20.1796875" style="2" customWidth="1"/>
    <col min="2583" max="2583" width="4.26953125" style="2" customWidth="1"/>
    <col min="2584" max="2813" width="11.54296875" style="2" customWidth="1"/>
    <col min="2814" max="2821" width="11" style="2"/>
    <col min="2822" max="2822" width="3.26953125" style="2" customWidth="1"/>
    <col min="2823" max="2823" width="5" style="2" customWidth="1"/>
    <col min="2824" max="2824" width="8.08984375" style="2" customWidth="1"/>
    <col min="2825" max="2825" width="5.36328125" style="2" customWidth="1"/>
    <col min="2826" max="2826" width="3.54296875" style="2" customWidth="1"/>
    <col min="2827" max="2827" width="21.26953125" style="2" customWidth="1"/>
    <col min="2828" max="2828" width="5.81640625" style="2" customWidth="1"/>
    <col min="2829" max="2829" width="3.6328125" style="2" customWidth="1"/>
    <col min="2830" max="2830" width="9.36328125" style="2" customWidth="1"/>
    <col min="2831" max="2831" width="9.453125" style="2" customWidth="1"/>
    <col min="2832" max="2832" width="1.6328125" style="2" customWidth="1"/>
    <col min="2833" max="2833" width="11.26953125" style="2" customWidth="1"/>
    <col min="2834" max="2834" width="9.08984375" style="2" customWidth="1"/>
    <col min="2835" max="2836" width="8.54296875" style="2" customWidth="1"/>
    <col min="2837" max="2837" width="6.6328125" style="2" customWidth="1"/>
    <col min="2838" max="2838" width="20.1796875" style="2" customWidth="1"/>
    <col min="2839" max="2839" width="4.26953125" style="2" customWidth="1"/>
    <col min="2840" max="3069" width="11.54296875" style="2" customWidth="1"/>
    <col min="3070" max="3077" width="11" style="2"/>
    <col min="3078" max="3078" width="3.26953125" style="2" customWidth="1"/>
    <col min="3079" max="3079" width="5" style="2" customWidth="1"/>
    <col min="3080" max="3080" width="8.08984375" style="2" customWidth="1"/>
    <col min="3081" max="3081" width="5.36328125" style="2" customWidth="1"/>
    <col min="3082" max="3082" width="3.54296875" style="2" customWidth="1"/>
    <col min="3083" max="3083" width="21.26953125" style="2" customWidth="1"/>
    <col min="3084" max="3084" width="5.81640625" style="2" customWidth="1"/>
    <col min="3085" max="3085" width="3.6328125" style="2" customWidth="1"/>
    <col min="3086" max="3086" width="9.36328125" style="2" customWidth="1"/>
    <col min="3087" max="3087" width="9.453125" style="2" customWidth="1"/>
    <col min="3088" max="3088" width="1.6328125" style="2" customWidth="1"/>
    <col min="3089" max="3089" width="11.26953125" style="2" customWidth="1"/>
    <col min="3090" max="3090" width="9.08984375" style="2" customWidth="1"/>
    <col min="3091" max="3092" width="8.54296875" style="2" customWidth="1"/>
    <col min="3093" max="3093" width="6.6328125" style="2" customWidth="1"/>
    <col min="3094" max="3094" width="20.1796875" style="2" customWidth="1"/>
    <col min="3095" max="3095" width="4.26953125" style="2" customWidth="1"/>
    <col min="3096" max="3325" width="11.54296875" style="2" customWidth="1"/>
    <col min="3326" max="3333" width="11" style="2"/>
    <col min="3334" max="3334" width="3.26953125" style="2" customWidth="1"/>
    <col min="3335" max="3335" width="5" style="2" customWidth="1"/>
    <col min="3336" max="3336" width="8.08984375" style="2" customWidth="1"/>
    <col min="3337" max="3337" width="5.36328125" style="2" customWidth="1"/>
    <col min="3338" max="3338" width="3.54296875" style="2" customWidth="1"/>
    <col min="3339" max="3339" width="21.26953125" style="2" customWidth="1"/>
    <col min="3340" max="3340" width="5.81640625" style="2" customWidth="1"/>
    <col min="3341" max="3341" width="3.6328125" style="2" customWidth="1"/>
    <col min="3342" max="3342" width="9.36328125" style="2" customWidth="1"/>
    <col min="3343" max="3343" width="9.453125" style="2" customWidth="1"/>
    <col min="3344" max="3344" width="1.6328125" style="2" customWidth="1"/>
    <col min="3345" max="3345" width="11.26953125" style="2" customWidth="1"/>
    <col min="3346" max="3346" width="9.08984375" style="2" customWidth="1"/>
    <col min="3347" max="3348" width="8.54296875" style="2" customWidth="1"/>
    <col min="3349" max="3349" width="6.6328125" style="2" customWidth="1"/>
    <col min="3350" max="3350" width="20.1796875" style="2" customWidth="1"/>
    <col min="3351" max="3351" width="4.26953125" style="2" customWidth="1"/>
    <col min="3352" max="3581" width="11.54296875" style="2" customWidth="1"/>
    <col min="3582" max="3589" width="11" style="2"/>
    <col min="3590" max="3590" width="3.26953125" style="2" customWidth="1"/>
    <col min="3591" max="3591" width="5" style="2" customWidth="1"/>
    <col min="3592" max="3592" width="8.08984375" style="2" customWidth="1"/>
    <col min="3593" max="3593" width="5.36328125" style="2" customWidth="1"/>
    <col min="3594" max="3594" width="3.54296875" style="2" customWidth="1"/>
    <col min="3595" max="3595" width="21.26953125" style="2" customWidth="1"/>
    <col min="3596" max="3596" width="5.81640625" style="2" customWidth="1"/>
    <col min="3597" max="3597" width="3.6328125" style="2" customWidth="1"/>
    <col min="3598" max="3598" width="9.36328125" style="2" customWidth="1"/>
    <col min="3599" max="3599" width="9.453125" style="2" customWidth="1"/>
    <col min="3600" max="3600" width="1.6328125" style="2" customWidth="1"/>
    <col min="3601" max="3601" width="11.26953125" style="2" customWidth="1"/>
    <col min="3602" max="3602" width="9.08984375" style="2" customWidth="1"/>
    <col min="3603" max="3604" width="8.54296875" style="2" customWidth="1"/>
    <col min="3605" max="3605" width="6.6328125" style="2" customWidth="1"/>
    <col min="3606" max="3606" width="20.1796875" style="2" customWidth="1"/>
    <col min="3607" max="3607" width="4.26953125" style="2" customWidth="1"/>
    <col min="3608" max="3837" width="11.54296875" style="2" customWidth="1"/>
    <col min="3838" max="3845" width="11" style="2"/>
    <col min="3846" max="3846" width="3.26953125" style="2" customWidth="1"/>
    <col min="3847" max="3847" width="5" style="2" customWidth="1"/>
    <col min="3848" max="3848" width="8.08984375" style="2" customWidth="1"/>
    <col min="3849" max="3849" width="5.36328125" style="2" customWidth="1"/>
    <col min="3850" max="3850" width="3.54296875" style="2" customWidth="1"/>
    <col min="3851" max="3851" width="21.26953125" style="2" customWidth="1"/>
    <col min="3852" max="3852" width="5.81640625" style="2" customWidth="1"/>
    <col min="3853" max="3853" width="3.6328125" style="2" customWidth="1"/>
    <col min="3854" max="3854" width="9.36328125" style="2" customWidth="1"/>
    <col min="3855" max="3855" width="9.453125" style="2" customWidth="1"/>
    <col min="3856" max="3856" width="1.6328125" style="2" customWidth="1"/>
    <col min="3857" max="3857" width="11.26953125" style="2" customWidth="1"/>
    <col min="3858" max="3858" width="9.08984375" style="2" customWidth="1"/>
    <col min="3859" max="3860" width="8.54296875" style="2" customWidth="1"/>
    <col min="3861" max="3861" width="6.6328125" style="2" customWidth="1"/>
    <col min="3862" max="3862" width="20.1796875" style="2" customWidth="1"/>
    <col min="3863" max="3863" width="4.26953125" style="2" customWidth="1"/>
    <col min="3864" max="4093" width="11.54296875" style="2" customWidth="1"/>
    <col min="4094" max="4101" width="11" style="2"/>
    <col min="4102" max="4102" width="3.26953125" style="2" customWidth="1"/>
    <col min="4103" max="4103" width="5" style="2" customWidth="1"/>
    <col min="4104" max="4104" width="8.08984375" style="2" customWidth="1"/>
    <col min="4105" max="4105" width="5.36328125" style="2" customWidth="1"/>
    <col min="4106" max="4106" width="3.54296875" style="2" customWidth="1"/>
    <col min="4107" max="4107" width="21.26953125" style="2" customWidth="1"/>
    <col min="4108" max="4108" width="5.81640625" style="2" customWidth="1"/>
    <col min="4109" max="4109" width="3.6328125" style="2" customWidth="1"/>
    <col min="4110" max="4110" width="9.36328125" style="2" customWidth="1"/>
    <col min="4111" max="4111" width="9.453125" style="2" customWidth="1"/>
    <col min="4112" max="4112" width="1.6328125" style="2" customWidth="1"/>
    <col min="4113" max="4113" width="11.26953125" style="2" customWidth="1"/>
    <col min="4114" max="4114" width="9.08984375" style="2" customWidth="1"/>
    <col min="4115" max="4116" width="8.54296875" style="2" customWidth="1"/>
    <col min="4117" max="4117" width="6.6328125" style="2" customWidth="1"/>
    <col min="4118" max="4118" width="20.1796875" style="2" customWidth="1"/>
    <col min="4119" max="4119" width="4.26953125" style="2" customWidth="1"/>
    <col min="4120" max="4349" width="11.54296875" style="2" customWidth="1"/>
    <col min="4350" max="4357" width="11" style="2"/>
    <col min="4358" max="4358" width="3.26953125" style="2" customWidth="1"/>
    <col min="4359" max="4359" width="5" style="2" customWidth="1"/>
    <col min="4360" max="4360" width="8.08984375" style="2" customWidth="1"/>
    <col min="4361" max="4361" width="5.36328125" style="2" customWidth="1"/>
    <col min="4362" max="4362" width="3.54296875" style="2" customWidth="1"/>
    <col min="4363" max="4363" width="21.26953125" style="2" customWidth="1"/>
    <col min="4364" max="4364" width="5.81640625" style="2" customWidth="1"/>
    <col min="4365" max="4365" width="3.6328125" style="2" customWidth="1"/>
    <col min="4366" max="4366" width="9.36328125" style="2" customWidth="1"/>
    <col min="4367" max="4367" width="9.453125" style="2" customWidth="1"/>
    <col min="4368" max="4368" width="1.6328125" style="2" customWidth="1"/>
    <col min="4369" max="4369" width="11.26953125" style="2" customWidth="1"/>
    <col min="4370" max="4370" width="9.08984375" style="2" customWidth="1"/>
    <col min="4371" max="4372" width="8.54296875" style="2" customWidth="1"/>
    <col min="4373" max="4373" width="6.6328125" style="2" customWidth="1"/>
    <col min="4374" max="4374" width="20.1796875" style="2" customWidth="1"/>
    <col min="4375" max="4375" width="4.26953125" style="2" customWidth="1"/>
    <col min="4376" max="4605" width="11.54296875" style="2" customWidth="1"/>
    <col min="4606" max="4613" width="11" style="2"/>
    <col min="4614" max="4614" width="3.26953125" style="2" customWidth="1"/>
    <col min="4615" max="4615" width="5" style="2" customWidth="1"/>
    <col min="4616" max="4616" width="8.08984375" style="2" customWidth="1"/>
    <col min="4617" max="4617" width="5.36328125" style="2" customWidth="1"/>
    <col min="4618" max="4618" width="3.54296875" style="2" customWidth="1"/>
    <col min="4619" max="4619" width="21.26953125" style="2" customWidth="1"/>
    <col min="4620" max="4620" width="5.81640625" style="2" customWidth="1"/>
    <col min="4621" max="4621" width="3.6328125" style="2" customWidth="1"/>
    <col min="4622" max="4622" width="9.36328125" style="2" customWidth="1"/>
    <col min="4623" max="4623" width="9.453125" style="2" customWidth="1"/>
    <col min="4624" max="4624" width="1.6328125" style="2" customWidth="1"/>
    <col min="4625" max="4625" width="11.26953125" style="2" customWidth="1"/>
    <col min="4626" max="4626" width="9.08984375" style="2" customWidth="1"/>
    <col min="4627" max="4628" width="8.54296875" style="2" customWidth="1"/>
    <col min="4629" max="4629" width="6.6328125" style="2" customWidth="1"/>
    <col min="4630" max="4630" width="20.1796875" style="2" customWidth="1"/>
    <col min="4631" max="4631" width="4.26953125" style="2" customWidth="1"/>
    <col min="4632" max="4861" width="11.54296875" style="2" customWidth="1"/>
    <col min="4862" max="4869" width="11" style="2"/>
    <col min="4870" max="4870" width="3.26953125" style="2" customWidth="1"/>
    <col min="4871" max="4871" width="5" style="2" customWidth="1"/>
    <col min="4872" max="4872" width="8.08984375" style="2" customWidth="1"/>
    <col min="4873" max="4873" width="5.36328125" style="2" customWidth="1"/>
    <col min="4874" max="4874" width="3.54296875" style="2" customWidth="1"/>
    <col min="4875" max="4875" width="21.26953125" style="2" customWidth="1"/>
    <col min="4876" max="4876" width="5.81640625" style="2" customWidth="1"/>
    <col min="4877" max="4877" width="3.6328125" style="2" customWidth="1"/>
    <col min="4878" max="4878" width="9.36328125" style="2" customWidth="1"/>
    <col min="4879" max="4879" width="9.453125" style="2" customWidth="1"/>
    <col min="4880" max="4880" width="1.6328125" style="2" customWidth="1"/>
    <col min="4881" max="4881" width="11.26953125" style="2" customWidth="1"/>
    <col min="4882" max="4882" width="9.08984375" style="2" customWidth="1"/>
    <col min="4883" max="4884" width="8.54296875" style="2" customWidth="1"/>
    <col min="4885" max="4885" width="6.6328125" style="2" customWidth="1"/>
    <col min="4886" max="4886" width="20.1796875" style="2" customWidth="1"/>
    <col min="4887" max="4887" width="4.26953125" style="2" customWidth="1"/>
    <col min="4888" max="5117" width="11.54296875" style="2" customWidth="1"/>
    <col min="5118" max="5125" width="11" style="2"/>
    <col min="5126" max="5126" width="3.26953125" style="2" customWidth="1"/>
    <col min="5127" max="5127" width="5" style="2" customWidth="1"/>
    <col min="5128" max="5128" width="8.08984375" style="2" customWidth="1"/>
    <col min="5129" max="5129" width="5.36328125" style="2" customWidth="1"/>
    <col min="5130" max="5130" width="3.54296875" style="2" customWidth="1"/>
    <col min="5131" max="5131" width="21.26953125" style="2" customWidth="1"/>
    <col min="5132" max="5132" width="5.81640625" style="2" customWidth="1"/>
    <col min="5133" max="5133" width="3.6328125" style="2" customWidth="1"/>
    <col min="5134" max="5134" width="9.36328125" style="2" customWidth="1"/>
    <col min="5135" max="5135" width="9.453125" style="2" customWidth="1"/>
    <col min="5136" max="5136" width="1.6328125" style="2" customWidth="1"/>
    <col min="5137" max="5137" width="11.26953125" style="2" customWidth="1"/>
    <col min="5138" max="5138" width="9.08984375" style="2" customWidth="1"/>
    <col min="5139" max="5140" width="8.54296875" style="2" customWidth="1"/>
    <col min="5141" max="5141" width="6.6328125" style="2" customWidth="1"/>
    <col min="5142" max="5142" width="20.1796875" style="2" customWidth="1"/>
    <col min="5143" max="5143" width="4.26953125" style="2" customWidth="1"/>
    <col min="5144" max="5373" width="11.54296875" style="2" customWidth="1"/>
    <col min="5374" max="5381" width="11" style="2"/>
    <col min="5382" max="5382" width="3.26953125" style="2" customWidth="1"/>
    <col min="5383" max="5383" width="5" style="2" customWidth="1"/>
    <col min="5384" max="5384" width="8.08984375" style="2" customWidth="1"/>
    <col min="5385" max="5385" width="5.36328125" style="2" customWidth="1"/>
    <col min="5386" max="5386" width="3.54296875" style="2" customWidth="1"/>
    <col min="5387" max="5387" width="21.26953125" style="2" customWidth="1"/>
    <col min="5388" max="5388" width="5.81640625" style="2" customWidth="1"/>
    <col min="5389" max="5389" width="3.6328125" style="2" customWidth="1"/>
    <col min="5390" max="5390" width="9.36328125" style="2" customWidth="1"/>
    <col min="5391" max="5391" width="9.453125" style="2" customWidth="1"/>
    <col min="5392" max="5392" width="1.6328125" style="2" customWidth="1"/>
    <col min="5393" max="5393" width="11.26953125" style="2" customWidth="1"/>
    <col min="5394" max="5394" width="9.08984375" style="2" customWidth="1"/>
    <col min="5395" max="5396" width="8.54296875" style="2" customWidth="1"/>
    <col min="5397" max="5397" width="6.6328125" style="2" customWidth="1"/>
    <col min="5398" max="5398" width="20.1796875" style="2" customWidth="1"/>
    <col min="5399" max="5399" width="4.26953125" style="2" customWidth="1"/>
    <col min="5400" max="5629" width="11.54296875" style="2" customWidth="1"/>
    <col min="5630" max="5637" width="11" style="2"/>
    <col min="5638" max="5638" width="3.26953125" style="2" customWidth="1"/>
    <col min="5639" max="5639" width="5" style="2" customWidth="1"/>
    <col min="5640" max="5640" width="8.08984375" style="2" customWidth="1"/>
    <col min="5641" max="5641" width="5.36328125" style="2" customWidth="1"/>
    <col min="5642" max="5642" width="3.54296875" style="2" customWidth="1"/>
    <col min="5643" max="5643" width="21.26953125" style="2" customWidth="1"/>
    <col min="5644" max="5644" width="5.81640625" style="2" customWidth="1"/>
    <col min="5645" max="5645" width="3.6328125" style="2" customWidth="1"/>
    <col min="5646" max="5646" width="9.36328125" style="2" customWidth="1"/>
    <col min="5647" max="5647" width="9.453125" style="2" customWidth="1"/>
    <col min="5648" max="5648" width="1.6328125" style="2" customWidth="1"/>
    <col min="5649" max="5649" width="11.26953125" style="2" customWidth="1"/>
    <col min="5650" max="5650" width="9.08984375" style="2" customWidth="1"/>
    <col min="5651" max="5652" width="8.54296875" style="2" customWidth="1"/>
    <col min="5653" max="5653" width="6.6328125" style="2" customWidth="1"/>
    <col min="5654" max="5654" width="20.1796875" style="2" customWidth="1"/>
    <col min="5655" max="5655" width="4.26953125" style="2" customWidth="1"/>
    <col min="5656" max="5885" width="11.54296875" style="2" customWidth="1"/>
    <col min="5886" max="5893" width="11" style="2"/>
    <col min="5894" max="5894" width="3.26953125" style="2" customWidth="1"/>
    <col min="5895" max="5895" width="5" style="2" customWidth="1"/>
    <col min="5896" max="5896" width="8.08984375" style="2" customWidth="1"/>
    <col min="5897" max="5897" width="5.36328125" style="2" customWidth="1"/>
    <col min="5898" max="5898" width="3.54296875" style="2" customWidth="1"/>
    <col min="5899" max="5899" width="21.26953125" style="2" customWidth="1"/>
    <col min="5900" max="5900" width="5.81640625" style="2" customWidth="1"/>
    <col min="5901" max="5901" width="3.6328125" style="2" customWidth="1"/>
    <col min="5902" max="5902" width="9.36328125" style="2" customWidth="1"/>
    <col min="5903" max="5903" width="9.453125" style="2" customWidth="1"/>
    <col min="5904" max="5904" width="1.6328125" style="2" customWidth="1"/>
    <col min="5905" max="5905" width="11.26953125" style="2" customWidth="1"/>
    <col min="5906" max="5906" width="9.08984375" style="2" customWidth="1"/>
    <col min="5907" max="5908" width="8.54296875" style="2" customWidth="1"/>
    <col min="5909" max="5909" width="6.6328125" style="2" customWidth="1"/>
    <col min="5910" max="5910" width="20.1796875" style="2" customWidth="1"/>
    <col min="5911" max="5911" width="4.26953125" style="2" customWidth="1"/>
    <col min="5912" max="6141" width="11.54296875" style="2" customWidth="1"/>
    <col min="6142" max="6149" width="11" style="2"/>
    <col min="6150" max="6150" width="3.26953125" style="2" customWidth="1"/>
    <col min="6151" max="6151" width="5" style="2" customWidth="1"/>
    <col min="6152" max="6152" width="8.08984375" style="2" customWidth="1"/>
    <col min="6153" max="6153" width="5.36328125" style="2" customWidth="1"/>
    <col min="6154" max="6154" width="3.54296875" style="2" customWidth="1"/>
    <col min="6155" max="6155" width="21.26953125" style="2" customWidth="1"/>
    <col min="6156" max="6156" width="5.81640625" style="2" customWidth="1"/>
    <col min="6157" max="6157" width="3.6328125" style="2" customWidth="1"/>
    <col min="6158" max="6158" width="9.36328125" style="2" customWidth="1"/>
    <col min="6159" max="6159" width="9.453125" style="2" customWidth="1"/>
    <col min="6160" max="6160" width="1.6328125" style="2" customWidth="1"/>
    <col min="6161" max="6161" width="11.26953125" style="2" customWidth="1"/>
    <col min="6162" max="6162" width="9.08984375" style="2" customWidth="1"/>
    <col min="6163" max="6164" width="8.54296875" style="2" customWidth="1"/>
    <col min="6165" max="6165" width="6.6328125" style="2" customWidth="1"/>
    <col min="6166" max="6166" width="20.1796875" style="2" customWidth="1"/>
    <col min="6167" max="6167" width="4.26953125" style="2" customWidth="1"/>
    <col min="6168" max="6397" width="11.54296875" style="2" customWidth="1"/>
    <col min="6398" max="6405" width="11" style="2"/>
    <col min="6406" max="6406" width="3.26953125" style="2" customWidth="1"/>
    <col min="6407" max="6407" width="5" style="2" customWidth="1"/>
    <col min="6408" max="6408" width="8.08984375" style="2" customWidth="1"/>
    <col min="6409" max="6409" width="5.36328125" style="2" customWidth="1"/>
    <col min="6410" max="6410" width="3.54296875" style="2" customWidth="1"/>
    <col min="6411" max="6411" width="21.26953125" style="2" customWidth="1"/>
    <col min="6412" max="6412" width="5.81640625" style="2" customWidth="1"/>
    <col min="6413" max="6413" width="3.6328125" style="2" customWidth="1"/>
    <col min="6414" max="6414" width="9.36328125" style="2" customWidth="1"/>
    <col min="6415" max="6415" width="9.453125" style="2" customWidth="1"/>
    <col min="6416" max="6416" width="1.6328125" style="2" customWidth="1"/>
    <col min="6417" max="6417" width="11.26953125" style="2" customWidth="1"/>
    <col min="6418" max="6418" width="9.08984375" style="2" customWidth="1"/>
    <col min="6419" max="6420" width="8.54296875" style="2" customWidth="1"/>
    <col min="6421" max="6421" width="6.6328125" style="2" customWidth="1"/>
    <col min="6422" max="6422" width="20.1796875" style="2" customWidth="1"/>
    <col min="6423" max="6423" width="4.26953125" style="2" customWidth="1"/>
    <col min="6424" max="6653" width="11.54296875" style="2" customWidth="1"/>
    <col min="6654" max="6661" width="11" style="2"/>
    <col min="6662" max="6662" width="3.26953125" style="2" customWidth="1"/>
    <col min="6663" max="6663" width="5" style="2" customWidth="1"/>
    <col min="6664" max="6664" width="8.08984375" style="2" customWidth="1"/>
    <col min="6665" max="6665" width="5.36328125" style="2" customWidth="1"/>
    <col min="6666" max="6666" width="3.54296875" style="2" customWidth="1"/>
    <col min="6667" max="6667" width="21.26953125" style="2" customWidth="1"/>
    <col min="6668" max="6668" width="5.81640625" style="2" customWidth="1"/>
    <col min="6669" max="6669" width="3.6328125" style="2" customWidth="1"/>
    <col min="6670" max="6670" width="9.36328125" style="2" customWidth="1"/>
    <col min="6671" max="6671" width="9.453125" style="2" customWidth="1"/>
    <col min="6672" max="6672" width="1.6328125" style="2" customWidth="1"/>
    <col min="6673" max="6673" width="11.26953125" style="2" customWidth="1"/>
    <col min="6674" max="6674" width="9.08984375" style="2" customWidth="1"/>
    <col min="6675" max="6676" width="8.54296875" style="2" customWidth="1"/>
    <col min="6677" max="6677" width="6.6328125" style="2" customWidth="1"/>
    <col min="6678" max="6678" width="20.1796875" style="2" customWidth="1"/>
    <col min="6679" max="6679" width="4.26953125" style="2" customWidth="1"/>
    <col min="6680" max="6909" width="11.54296875" style="2" customWidth="1"/>
    <col min="6910" max="6917" width="11" style="2"/>
    <col min="6918" max="6918" width="3.26953125" style="2" customWidth="1"/>
    <col min="6919" max="6919" width="5" style="2" customWidth="1"/>
    <col min="6920" max="6920" width="8.08984375" style="2" customWidth="1"/>
    <col min="6921" max="6921" width="5.36328125" style="2" customWidth="1"/>
    <col min="6922" max="6922" width="3.54296875" style="2" customWidth="1"/>
    <col min="6923" max="6923" width="21.26953125" style="2" customWidth="1"/>
    <col min="6924" max="6924" width="5.81640625" style="2" customWidth="1"/>
    <col min="6925" max="6925" width="3.6328125" style="2" customWidth="1"/>
    <col min="6926" max="6926" width="9.36328125" style="2" customWidth="1"/>
    <col min="6927" max="6927" width="9.453125" style="2" customWidth="1"/>
    <col min="6928" max="6928" width="1.6328125" style="2" customWidth="1"/>
    <col min="6929" max="6929" width="11.26953125" style="2" customWidth="1"/>
    <col min="6930" max="6930" width="9.08984375" style="2" customWidth="1"/>
    <col min="6931" max="6932" width="8.54296875" style="2" customWidth="1"/>
    <col min="6933" max="6933" width="6.6328125" style="2" customWidth="1"/>
    <col min="6934" max="6934" width="20.1796875" style="2" customWidth="1"/>
    <col min="6935" max="6935" width="4.26953125" style="2" customWidth="1"/>
    <col min="6936" max="7165" width="11.54296875" style="2" customWidth="1"/>
    <col min="7166" max="7173" width="11" style="2"/>
    <col min="7174" max="7174" width="3.26953125" style="2" customWidth="1"/>
    <col min="7175" max="7175" width="5" style="2" customWidth="1"/>
    <col min="7176" max="7176" width="8.08984375" style="2" customWidth="1"/>
    <col min="7177" max="7177" width="5.36328125" style="2" customWidth="1"/>
    <col min="7178" max="7178" width="3.54296875" style="2" customWidth="1"/>
    <col min="7179" max="7179" width="21.26953125" style="2" customWidth="1"/>
    <col min="7180" max="7180" width="5.81640625" style="2" customWidth="1"/>
    <col min="7181" max="7181" width="3.6328125" style="2" customWidth="1"/>
    <col min="7182" max="7182" width="9.36328125" style="2" customWidth="1"/>
    <col min="7183" max="7183" width="9.453125" style="2" customWidth="1"/>
    <col min="7184" max="7184" width="1.6328125" style="2" customWidth="1"/>
    <col min="7185" max="7185" width="11.26953125" style="2" customWidth="1"/>
    <col min="7186" max="7186" width="9.08984375" style="2" customWidth="1"/>
    <col min="7187" max="7188" width="8.54296875" style="2" customWidth="1"/>
    <col min="7189" max="7189" width="6.6328125" style="2" customWidth="1"/>
    <col min="7190" max="7190" width="20.1796875" style="2" customWidth="1"/>
    <col min="7191" max="7191" width="4.26953125" style="2" customWidth="1"/>
    <col min="7192" max="7421" width="11.54296875" style="2" customWidth="1"/>
    <col min="7422" max="7429" width="11" style="2"/>
    <col min="7430" max="7430" width="3.26953125" style="2" customWidth="1"/>
    <col min="7431" max="7431" width="5" style="2" customWidth="1"/>
    <col min="7432" max="7432" width="8.08984375" style="2" customWidth="1"/>
    <col min="7433" max="7433" width="5.36328125" style="2" customWidth="1"/>
    <col min="7434" max="7434" width="3.54296875" style="2" customWidth="1"/>
    <col min="7435" max="7435" width="21.26953125" style="2" customWidth="1"/>
    <col min="7436" max="7436" width="5.81640625" style="2" customWidth="1"/>
    <col min="7437" max="7437" width="3.6328125" style="2" customWidth="1"/>
    <col min="7438" max="7438" width="9.36328125" style="2" customWidth="1"/>
    <col min="7439" max="7439" width="9.453125" style="2" customWidth="1"/>
    <col min="7440" max="7440" width="1.6328125" style="2" customWidth="1"/>
    <col min="7441" max="7441" width="11.26953125" style="2" customWidth="1"/>
    <col min="7442" max="7442" width="9.08984375" style="2" customWidth="1"/>
    <col min="7443" max="7444" width="8.54296875" style="2" customWidth="1"/>
    <col min="7445" max="7445" width="6.6328125" style="2" customWidth="1"/>
    <col min="7446" max="7446" width="20.1796875" style="2" customWidth="1"/>
    <col min="7447" max="7447" width="4.26953125" style="2" customWidth="1"/>
    <col min="7448" max="7677" width="11.54296875" style="2" customWidth="1"/>
    <col min="7678" max="7685" width="11" style="2"/>
    <col min="7686" max="7686" width="3.26953125" style="2" customWidth="1"/>
    <col min="7687" max="7687" width="5" style="2" customWidth="1"/>
    <col min="7688" max="7688" width="8.08984375" style="2" customWidth="1"/>
    <col min="7689" max="7689" width="5.36328125" style="2" customWidth="1"/>
    <col min="7690" max="7690" width="3.54296875" style="2" customWidth="1"/>
    <col min="7691" max="7691" width="21.26953125" style="2" customWidth="1"/>
    <col min="7692" max="7692" width="5.81640625" style="2" customWidth="1"/>
    <col min="7693" max="7693" width="3.6328125" style="2" customWidth="1"/>
    <col min="7694" max="7694" width="9.36328125" style="2" customWidth="1"/>
    <col min="7695" max="7695" width="9.453125" style="2" customWidth="1"/>
    <col min="7696" max="7696" width="1.6328125" style="2" customWidth="1"/>
    <col min="7697" max="7697" width="11.26953125" style="2" customWidth="1"/>
    <col min="7698" max="7698" width="9.08984375" style="2" customWidth="1"/>
    <col min="7699" max="7700" width="8.54296875" style="2" customWidth="1"/>
    <col min="7701" max="7701" width="6.6328125" style="2" customWidth="1"/>
    <col min="7702" max="7702" width="20.1796875" style="2" customWidth="1"/>
    <col min="7703" max="7703" width="4.26953125" style="2" customWidth="1"/>
    <col min="7704" max="7933" width="11.54296875" style="2" customWidth="1"/>
    <col min="7934" max="7941" width="11" style="2"/>
    <col min="7942" max="7942" width="3.26953125" style="2" customWidth="1"/>
    <col min="7943" max="7943" width="5" style="2" customWidth="1"/>
    <col min="7944" max="7944" width="8.08984375" style="2" customWidth="1"/>
    <col min="7945" max="7945" width="5.36328125" style="2" customWidth="1"/>
    <col min="7946" max="7946" width="3.54296875" style="2" customWidth="1"/>
    <col min="7947" max="7947" width="21.26953125" style="2" customWidth="1"/>
    <col min="7948" max="7948" width="5.81640625" style="2" customWidth="1"/>
    <col min="7949" max="7949" width="3.6328125" style="2" customWidth="1"/>
    <col min="7950" max="7950" width="9.36328125" style="2" customWidth="1"/>
    <col min="7951" max="7951" width="9.453125" style="2" customWidth="1"/>
    <col min="7952" max="7952" width="1.6328125" style="2" customWidth="1"/>
    <col min="7953" max="7953" width="11.26953125" style="2" customWidth="1"/>
    <col min="7954" max="7954" width="9.08984375" style="2" customWidth="1"/>
    <col min="7955" max="7956" width="8.54296875" style="2" customWidth="1"/>
    <col min="7957" max="7957" width="6.6328125" style="2" customWidth="1"/>
    <col min="7958" max="7958" width="20.1796875" style="2" customWidth="1"/>
    <col min="7959" max="7959" width="4.26953125" style="2" customWidth="1"/>
    <col min="7960" max="8189" width="11.54296875" style="2" customWidth="1"/>
    <col min="8190" max="8197" width="11" style="2"/>
    <col min="8198" max="8198" width="3.26953125" style="2" customWidth="1"/>
    <col min="8199" max="8199" width="5" style="2" customWidth="1"/>
    <col min="8200" max="8200" width="8.08984375" style="2" customWidth="1"/>
    <col min="8201" max="8201" width="5.36328125" style="2" customWidth="1"/>
    <col min="8202" max="8202" width="3.54296875" style="2" customWidth="1"/>
    <col min="8203" max="8203" width="21.26953125" style="2" customWidth="1"/>
    <col min="8204" max="8204" width="5.81640625" style="2" customWidth="1"/>
    <col min="8205" max="8205" width="3.6328125" style="2" customWidth="1"/>
    <col min="8206" max="8206" width="9.36328125" style="2" customWidth="1"/>
    <col min="8207" max="8207" width="9.453125" style="2" customWidth="1"/>
    <col min="8208" max="8208" width="1.6328125" style="2" customWidth="1"/>
    <col min="8209" max="8209" width="11.26953125" style="2" customWidth="1"/>
    <col min="8210" max="8210" width="9.08984375" style="2" customWidth="1"/>
    <col min="8211" max="8212" width="8.54296875" style="2" customWidth="1"/>
    <col min="8213" max="8213" width="6.6328125" style="2" customWidth="1"/>
    <col min="8214" max="8214" width="20.1796875" style="2" customWidth="1"/>
    <col min="8215" max="8215" width="4.26953125" style="2" customWidth="1"/>
    <col min="8216" max="8445" width="11.54296875" style="2" customWidth="1"/>
    <col min="8446" max="8453" width="11" style="2"/>
    <col min="8454" max="8454" width="3.26953125" style="2" customWidth="1"/>
    <col min="8455" max="8455" width="5" style="2" customWidth="1"/>
    <col min="8456" max="8456" width="8.08984375" style="2" customWidth="1"/>
    <col min="8457" max="8457" width="5.36328125" style="2" customWidth="1"/>
    <col min="8458" max="8458" width="3.54296875" style="2" customWidth="1"/>
    <col min="8459" max="8459" width="21.26953125" style="2" customWidth="1"/>
    <col min="8460" max="8460" width="5.81640625" style="2" customWidth="1"/>
    <col min="8461" max="8461" width="3.6328125" style="2" customWidth="1"/>
    <col min="8462" max="8462" width="9.36328125" style="2" customWidth="1"/>
    <col min="8463" max="8463" width="9.453125" style="2" customWidth="1"/>
    <col min="8464" max="8464" width="1.6328125" style="2" customWidth="1"/>
    <col min="8465" max="8465" width="11.26953125" style="2" customWidth="1"/>
    <col min="8466" max="8466" width="9.08984375" style="2" customWidth="1"/>
    <col min="8467" max="8468" width="8.54296875" style="2" customWidth="1"/>
    <col min="8469" max="8469" width="6.6328125" style="2" customWidth="1"/>
    <col min="8470" max="8470" width="20.1796875" style="2" customWidth="1"/>
    <col min="8471" max="8471" width="4.26953125" style="2" customWidth="1"/>
    <col min="8472" max="8701" width="11.54296875" style="2" customWidth="1"/>
    <col min="8702" max="8709" width="11" style="2"/>
    <col min="8710" max="8710" width="3.26953125" style="2" customWidth="1"/>
    <col min="8711" max="8711" width="5" style="2" customWidth="1"/>
    <col min="8712" max="8712" width="8.08984375" style="2" customWidth="1"/>
    <col min="8713" max="8713" width="5.36328125" style="2" customWidth="1"/>
    <col min="8714" max="8714" width="3.54296875" style="2" customWidth="1"/>
    <col min="8715" max="8715" width="21.26953125" style="2" customWidth="1"/>
    <col min="8716" max="8716" width="5.81640625" style="2" customWidth="1"/>
    <col min="8717" max="8717" width="3.6328125" style="2" customWidth="1"/>
    <col min="8718" max="8718" width="9.36328125" style="2" customWidth="1"/>
    <col min="8719" max="8719" width="9.453125" style="2" customWidth="1"/>
    <col min="8720" max="8720" width="1.6328125" style="2" customWidth="1"/>
    <col min="8721" max="8721" width="11.26953125" style="2" customWidth="1"/>
    <col min="8722" max="8722" width="9.08984375" style="2" customWidth="1"/>
    <col min="8723" max="8724" width="8.54296875" style="2" customWidth="1"/>
    <col min="8725" max="8725" width="6.6328125" style="2" customWidth="1"/>
    <col min="8726" max="8726" width="20.1796875" style="2" customWidth="1"/>
    <col min="8727" max="8727" width="4.26953125" style="2" customWidth="1"/>
    <col min="8728" max="8957" width="11.54296875" style="2" customWidth="1"/>
    <col min="8958" max="8965" width="11" style="2"/>
    <col min="8966" max="8966" width="3.26953125" style="2" customWidth="1"/>
    <col min="8967" max="8967" width="5" style="2" customWidth="1"/>
    <col min="8968" max="8968" width="8.08984375" style="2" customWidth="1"/>
    <col min="8969" max="8969" width="5.36328125" style="2" customWidth="1"/>
    <col min="8970" max="8970" width="3.54296875" style="2" customWidth="1"/>
    <col min="8971" max="8971" width="21.26953125" style="2" customWidth="1"/>
    <col min="8972" max="8972" width="5.81640625" style="2" customWidth="1"/>
    <col min="8973" max="8973" width="3.6328125" style="2" customWidth="1"/>
    <col min="8974" max="8974" width="9.36328125" style="2" customWidth="1"/>
    <col min="8975" max="8975" width="9.453125" style="2" customWidth="1"/>
    <col min="8976" max="8976" width="1.6328125" style="2" customWidth="1"/>
    <col min="8977" max="8977" width="11.26953125" style="2" customWidth="1"/>
    <col min="8978" max="8978" width="9.08984375" style="2" customWidth="1"/>
    <col min="8979" max="8980" width="8.54296875" style="2" customWidth="1"/>
    <col min="8981" max="8981" width="6.6328125" style="2" customWidth="1"/>
    <col min="8982" max="8982" width="20.1796875" style="2" customWidth="1"/>
    <col min="8983" max="8983" width="4.26953125" style="2" customWidth="1"/>
    <col min="8984" max="9213" width="11.54296875" style="2" customWidth="1"/>
    <col min="9214" max="9221" width="11" style="2"/>
    <col min="9222" max="9222" width="3.26953125" style="2" customWidth="1"/>
    <col min="9223" max="9223" width="5" style="2" customWidth="1"/>
    <col min="9224" max="9224" width="8.08984375" style="2" customWidth="1"/>
    <col min="9225" max="9225" width="5.36328125" style="2" customWidth="1"/>
    <col min="9226" max="9226" width="3.54296875" style="2" customWidth="1"/>
    <col min="9227" max="9227" width="21.26953125" style="2" customWidth="1"/>
    <col min="9228" max="9228" width="5.81640625" style="2" customWidth="1"/>
    <col min="9229" max="9229" width="3.6328125" style="2" customWidth="1"/>
    <col min="9230" max="9230" width="9.36328125" style="2" customWidth="1"/>
    <col min="9231" max="9231" width="9.453125" style="2" customWidth="1"/>
    <col min="9232" max="9232" width="1.6328125" style="2" customWidth="1"/>
    <col min="9233" max="9233" width="11.26953125" style="2" customWidth="1"/>
    <col min="9234" max="9234" width="9.08984375" style="2" customWidth="1"/>
    <col min="9235" max="9236" width="8.54296875" style="2" customWidth="1"/>
    <col min="9237" max="9237" width="6.6328125" style="2" customWidth="1"/>
    <col min="9238" max="9238" width="20.1796875" style="2" customWidth="1"/>
    <col min="9239" max="9239" width="4.26953125" style="2" customWidth="1"/>
    <col min="9240" max="9469" width="11.54296875" style="2" customWidth="1"/>
    <col min="9470" max="9477" width="11" style="2"/>
    <col min="9478" max="9478" width="3.26953125" style="2" customWidth="1"/>
    <col min="9479" max="9479" width="5" style="2" customWidth="1"/>
    <col min="9480" max="9480" width="8.08984375" style="2" customWidth="1"/>
    <col min="9481" max="9481" width="5.36328125" style="2" customWidth="1"/>
    <col min="9482" max="9482" width="3.54296875" style="2" customWidth="1"/>
    <col min="9483" max="9483" width="21.26953125" style="2" customWidth="1"/>
    <col min="9484" max="9484" width="5.81640625" style="2" customWidth="1"/>
    <col min="9485" max="9485" width="3.6328125" style="2" customWidth="1"/>
    <col min="9486" max="9486" width="9.36328125" style="2" customWidth="1"/>
    <col min="9487" max="9487" width="9.453125" style="2" customWidth="1"/>
    <col min="9488" max="9488" width="1.6328125" style="2" customWidth="1"/>
    <col min="9489" max="9489" width="11.26953125" style="2" customWidth="1"/>
    <col min="9490" max="9490" width="9.08984375" style="2" customWidth="1"/>
    <col min="9491" max="9492" width="8.54296875" style="2" customWidth="1"/>
    <col min="9493" max="9493" width="6.6328125" style="2" customWidth="1"/>
    <col min="9494" max="9494" width="20.1796875" style="2" customWidth="1"/>
    <col min="9495" max="9495" width="4.26953125" style="2" customWidth="1"/>
    <col min="9496" max="9725" width="11.54296875" style="2" customWidth="1"/>
    <col min="9726" max="9733" width="11" style="2"/>
    <col min="9734" max="9734" width="3.26953125" style="2" customWidth="1"/>
    <col min="9735" max="9735" width="5" style="2" customWidth="1"/>
    <col min="9736" max="9736" width="8.08984375" style="2" customWidth="1"/>
    <col min="9737" max="9737" width="5.36328125" style="2" customWidth="1"/>
    <col min="9738" max="9738" width="3.54296875" style="2" customWidth="1"/>
    <col min="9739" max="9739" width="21.26953125" style="2" customWidth="1"/>
    <col min="9740" max="9740" width="5.81640625" style="2" customWidth="1"/>
    <col min="9741" max="9741" width="3.6328125" style="2" customWidth="1"/>
    <col min="9742" max="9742" width="9.36328125" style="2" customWidth="1"/>
    <col min="9743" max="9743" width="9.453125" style="2" customWidth="1"/>
    <col min="9744" max="9744" width="1.6328125" style="2" customWidth="1"/>
    <col min="9745" max="9745" width="11.26953125" style="2" customWidth="1"/>
    <col min="9746" max="9746" width="9.08984375" style="2" customWidth="1"/>
    <col min="9747" max="9748" width="8.54296875" style="2" customWidth="1"/>
    <col min="9749" max="9749" width="6.6328125" style="2" customWidth="1"/>
    <col min="9750" max="9750" width="20.1796875" style="2" customWidth="1"/>
    <col min="9751" max="9751" width="4.26953125" style="2" customWidth="1"/>
    <col min="9752" max="9981" width="11.54296875" style="2" customWidth="1"/>
    <col min="9982" max="9989" width="11" style="2"/>
    <col min="9990" max="9990" width="3.26953125" style="2" customWidth="1"/>
    <col min="9991" max="9991" width="5" style="2" customWidth="1"/>
    <col min="9992" max="9992" width="8.08984375" style="2" customWidth="1"/>
    <col min="9993" max="9993" width="5.36328125" style="2" customWidth="1"/>
    <col min="9994" max="9994" width="3.54296875" style="2" customWidth="1"/>
    <col min="9995" max="9995" width="21.26953125" style="2" customWidth="1"/>
    <col min="9996" max="9996" width="5.81640625" style="2" customWidth="1"/>
    <col min="9997" max="9997" width="3.6328125" style="2" customWidth="1"/>
    <col min="9998" max="9998" width="9.36328125" style="2" customWidth="1"/>
    <col min="9999" max="9999" width="9.453125" style="2" customWidth="1"/>
    <col min="10000" max="10000" width="1.6328125" style="2" customWidth="1"/>
    <col min="10001" max="10001" width="11.26953125" style="2" customWidth="1"/>
    <col min="10002" max="10002" width="9.08984375" style="2" customWidth="1"/>
    <col min="10003" max="10004" width="8.54296875" style="2" customWidth="1"/>
    <col min="10005" max="10005" width="6.6328125" style="2" customWidth="1"/>
    <col min="10006" max="10006" width="20.1796875" style="2" customWidth="1"/>
    <col min="10007" max="10007" width="4.26953125" style="2" customWidth="1"/>
    <col min="10008" max="10237" width="11.54296875" style="2" customWidth="1"/>
    <col min="10238" max="10245" width="11" style="2"/>
    <col min="10246" max="10246" width="3.26953125" style="2" customWidth="1"/>
    <col min="10247" max="10247" width="5" style="2" customWidth="1"/>
    <col min="10248" max="10248" width="8.08984375" style="2" customWidth="1"/>
    <col min="10249" max="10249" width="5.36328125" style="2" customWidth="1"/>
    <col min="10250" max="10250" width="3.54296875" style="2" customWidth="1"/>
    <col min="10251" max="10251" width="21.26953125" style="2" customWidth="1"/>
    <col min="10252" max="10252" width="5.81640625" style="2" customWidth="1"/>
    <col min="10253" max="10253" width="3.6328125" style="2" customWidth="1"/>
    <col min="10254" max="10254" width="9.36328125" style="2" customWidth="1"/>
    <col min="10255" max="10255" width="9.453125" style="2" customWidth="1"/>
    <col min="10256" max="10256" width="1.6328125" style="2" customWidth="1"/>
    <col min="10257" max="10257" width="11.26953125" style="2" customWidth="1"/>
    <col min="10258" max="10258" width="9.08984375" style="2" customWidth="1"/>
    <col min="10259" max="10260" width="8.54296875" style="2" customWidth="1"/>
    <col min="10261" max="10261" width="6.6328125" style="2" customWidth="1"/>
    <col min="10262" max="10262" width="20.1796875" style="2" customWidth="1"/>
    <col min="10263" max="10263" width="4.26953125" style="2" customWidth="1"/>
    <col min="10264" max="10493" width="11.54296875" style="2" customWidth="1"/>
    <col min="10494" max="10501" width="11" style="2"/>
    <col min="10502" max="10502" width="3.26953125" style="2" customWidth="1"/>
    <col min="10503" max="10503" width="5" style="2" customWidth="1"/>
    <col min="10504" max="10504" width="8.08984375" style="2" customWidth="1"/>
    <col min="10505" max="10505" width="5.36328125" style="2" customWidth="1"/>
    <col min="10506" max="10506" width="3.54296875" style="2" customWidth="1"/>
    <col min="10507" max="10507" width="21.26953125" style="2" customWidth="1"/>
    <col min="10508" max="10508" width="5.81640625" style="2" customWidth="1"/>
    <col min="10509" max="10509" width="3.6328125" style="2" customWidth="1"/>
    <col min="10510" max="10510" width="9.36328125" style="2" customWidth="1"/>
    <col min="10511" max="10511" width="9.453125" style="2" customWidth="1"/>
    <col min="10512" max="10512" width="1.6328125" style="2" customWidth="1"/>
    <col min="10513" max="10513" width="11.26953125" style="2" customWidth="1"/>
    <col min="10514" max="10514" width="9.08984375" style="2" customWidth="1"/>
    <col min="10515" max="10516" width="8.54296875" style="2" customWidth="1"/>
    <col min="10517" max="10517" width="6.6328125" style="2" customWidth="1"/>
    <col min="10518" max="10518" width="20.1796875" style="2" customWidth="1"/>
    <col min="10519" max="10519" width="4.26953125" style="2" customWidth="1"/>
    <col min="10520" max="10749" width="11.54296875" style="2" customWidth="1"/>
    <col min="10750" max="10757" width="11" style="2"/>
    <col min="10758" max="10758" width="3.26953125" style="2" customWidth="1"/>
    <col min="10759" max="10759" width="5" style="2" customWidth="1"/>
    <col min="10760" max="10760" width="8.08984375" style="2" customWidth="1"/>
    <col min="10761" max="10761" width="5.36328125" style="2" customWidth="1"/>
    <col min="10762" max="10762" width="3.54296875" style="2" customWidth="1"/>
    <col min="10763" max="10763" width="21.26953125" style="2" customWidth="1"/>
    <col min="10764" max="10764" width="5.81640625" style="2" customWidth="1"/>
    <col min="10765" max="10765" width="3.6328125" style="2" customWidth="1"/>
    <col min="10766" max="10766" width="9.36328125" style="2" customWidth="1"/>
    <col min="10767" max="10767" width="9.453125" style="2" customWidth="1"/>
    <col min="10768" max="10768" width="1.6328125" style="2" customWidth="1"/>
    <col min="10769" max="10769" width="11.26953125" style="2" customWidth="1"/>
    <col min="10770" max="10770" width="9.08984375" style="2" customWidth="1"/>
    <col min="10771" max="10772" width="8.54296875" style="2" customWidth="1"/>
    <col min="10773" max="10773" width="6.6328125" style="2" customWidth="1"/>
    <col min="10774" max="10774" width="20.1796875" style="2" customWidth="1"/>
    <col min="10775" max="10775" width="4.26953125" style="2" customWidth="1"/>
    <col min="10776" max="11005" width="11.54296875" style="2" customWidth="1"/>
    <col min="11006" max="11013" width="11" style="2"/>
    <col min="11014" max="11014" width="3.26953125" style="2" customWidth="1"/>
    <col min="11015" max="11015" width="5" style="2" customWidth="1"/>
    <col min="11016" max="11016" width="8.08984375" style="2" customWidth="1"/>
    <col min="11017" max="11017" width="5.36328125" style="2" customWidth="1"/>
    <col min="11018" max="11018" width="3.54296875" style="2" customWidth="1"/>
    <col min="11019" max="11019" width="21.26953125" style="2" customWidth="1"/>
    <col min="11020" max="11020" width="5.81640625" style="2" customWidth="1"/>
    <col min="11021" max="11021" width="3.6328125" style="2" customWidth="1"/>
    <col min="11022" max="11022" width="9.36328125" style="2" customWidth="1"/>
    <col min="11023" max="11023" width="9.453125" style="2" customWidth="1"/>
    <col min="11024" max="11024" width="1.6328125" style="2" customWidth="1"/>
    <col min="11025" max="11025" width="11.26953125" style="2" customWidth="1"/>
    <col min="11026" max="11026" width="9.08984375" style="2" customWidth="1"/>
    <col min="11027" max="11028" width="8.54296875" style="2" customWidth="1"/>
    <col min="11029" max="11029" width="6.6328125" style="2" customWidth="1"/>
    <col min="11030" max="11030" width="20.1796875" style="2" customWidth="1"/>
    <col min="11031" max="11031" width="4.26953125" style="2" customWidth="1"/>
    <col min="11032" max="11261" width="11.54296875" style="2" customWidth="1"/>
    <col min="11262" max="11269" width="11" style="2"/>
    <col min="11270" max="11270" width="3.26953125" style="2" customWidth="1"/>
    <col min="11271" max="11271" width="5" style="2" customWidth="1"/>
    <col min="11272" max="11272" width="8.08984375" style="2" customWidth="1"/>
    <col min="11273" max="11273" width="5.36328125" style="2" customWidth="1"/>
    <col min="11274" max="11274" width="3.54296875" style="2" customWidth="1"/>
    <col min="11275" max="11275" width="21.26953125" style="2" customWidth="1"/>
    <col min="11276" max="11276" width="5.81640625" style="2" customWidth="1"/>
    <col min="11277" max="11277" width="3.6328125" style="2" customWidth="1"/>
    <col min="11278" max="11278" width="9.36328125" style="2" customWidth="1"/>
    <col min="11279" max="11279" width="9.453125" style="2" customWidth="1"/>
    <col min="11280" max="11280" width="1.6328125" style="2" customWidth="1"/>
    <col min="11281" max="11281" width="11.26953125" style="2" customWidth="1"/>
    <col min="11282" max="11282" width="9.08984375" style="2" customWidth="1"/>
    <col min="11283" max="11284" width="8.54296875" style="2" customWidth="1"/>
    <col min="11285" max="11285" width="6.6328125" style="2" customWidth="1"/>
    <col min="11286" max="11286" width="20.1796875" style="2" customWidth="1"/>
    <col min="11287" max="11287" width="4.26953125" style="2" customWidth="1"/>
    <col min="11288" max="11517" width="11.54296875" style="2" customWidth="1"/>
    <col min="11518" max="11525" width="11" style="2"/>
    <col min="11526" max="11526" width="3.26953125" style="2" customWidth="1"/>
    <col min="11527" max="11527" width="5" style="2" customWidth="1"/>
    <col min="11528" max="11528" width="8.08984375" style="2" customWidth="1"/>
    <col min="11529" max="11529" width="5.36328125" style="2" customWidth="1"/>
    <col min="11530" max="11530" width="3.54296875" style="2" customWidth="1"/>
    <col min="11531" max="11531" width="21.26953125" style="2" customWidth="1"/>
    <col min="11532" max="11532" width="5.81640625" style="2" customWidth="1"/>
    <col min="11533" max="11533" width="3.6328125" style="2" customWidth="1"/>
    <col min="11534" max="11534" width="9.36328125" style="2" customWidth="1"/>
    <col min="11535" max="11535" width="9.453125" style="2" customWidth="1"/>
    <col min="11536" max="11536" width="1.6328125" style="2" customWidth="1"/>
    <col min="11537" max="11537" width="11.26953125" style="2" customWidth="1"/>
    <col min="11538" max="11538" width="9.08984375" style="2" customWidth="1"/>
    <col min="11539" max="11540" width="8.54296875" style="2" customWidth="1"/>
    <col min="11541" max="11541" width="6.6328125" style="2" customWidth="1"/>
    <col min="11542" max="11542" width="20.1796875" style="2" customWidth="1"/>
    <col min="11543" max="11543" width="4.26953125" style="2" customWidth="1"/>
    <col min="11544" max="11773" width="11.54296875" style="2" customWidth="1"/>
    <col min="11774" max="11781" width="11" style="2"/>
    <col min="11782" max="11782" width="3.26953125" style="2" customWidth="1"/>
    <col min="11783" max="11783" width="5" style="2" customWidth="1"/>
    <col min="11784" max="11784" width="8.08984375" style="2" customWidth="1"/>
    <col min="11785" max="11785" width="5.36328125" style="2" customWidth="1"/>
    <col min="11786" max="11786" width="3.54296875" style="2" customWidth="1"/>
    <col min="11787" max="11787" width="21.26953125" style="2" customWidth="1"/>
    <col min="11788" max="11788" width="5.81640625" style="2" customWidth="1"/>
    <col min="11789" max="11789" width="3.6328125" style="2" customWidth="1"/>
    <col min="11790" max="11790" width="9.36328125" style="2" customWidth="1"/>
    <col min="11791" max="11791" width="9.453125" style="2" customWidth="1"/>
    <col min="11792" max="11792" width="1.6328125" style="2" customWidth="1"/>
    <col min="11793" max="11793" width="11.26953125" style="2" customWidth="1"/>
    <col min="11794" max="11794" width="9.08984375" style="2" customWidth="1"/>
    <col min="11795" max="11796" width="8.54296875" style="2" customWidth="1"/>
    <col min="11797" max="11797" width="6.6328125" style="2" customWidth="1"/>
    <col min="11798" max="11798" width="20.1796875" style="2" customWidth="1"/>
    <col min="11799" max="11799" width="4.26953125" style="2" customWidth="1"/>
    <col min="11800" max="12029" width="11.54296875" style="2" customWidth="1"/>
    <col min="12030" max="12037" width="11" style="2"/>
    <col min="12038" max="12038" width="3.26953125" style="2" customWidth="1"/>
    <col min="12039" max="12039" width="5" style="2" customWidth="1"/>
    <col min="12040" max="12040" width="8.08984375" style="2" customWidth="1"/>
    <col min="12041" max="12041" width="5.36328125" style="2" customWidth="1"/>
    <col min="12042" max="12042" width="3.54296875" style="2" customWidth="1"/>
    <col min="12043" max="12043" width="21.26953125" style="2" customWidth="1"/>
    <col min="12044" max="12044" width="5.81640625" style="2" customWidth="1"/>
    <col min="12045" max="12045" width="3.6328125" style="2" customWidth="1"/>
    <col min="12046" max="12046" width="9.36328125" style="2" customWidth="1"/>
    <col min="12047" max="12047" width="9.453125" style="2" customWidth="1"/>
    <col min="12048" max="12048" width="1.6328125" style="2" customWidth="1"/>
    <col min="12049" max="12049" width="11.26953125" style="2" customWidth="1"/>
    <col min="12050" max="12050" width="9.08984375" style="2" customWidth="1"/>
    <col min="12051" max="12052" width="8.54296875" style="2" customWidth="1"/>
    <col min="12053" max="12053" width="6.6328125" style="2" customWidth="1"/>
    <col min="12054" max="12054" width="20.1796875" style="2" customWidth="1"/>
    <col min="12055" max="12055" width="4.26953125" style="2" customWidth="1"/>
    <col min="12056" max="12285" width="11.54296875" style="2" customWidth="1"/>
    <col min="12286" max="12293" width="11" style="2"/>
    <col min="12294" max="12294" width="3.26953125" style="2" customWidth="1"/>
    <col min="12295" max="12295" width="5" style="2" customWidth="1"/>
    <col min="12296" max="12296" width="8.08984375" style="2" customWidth="1"/>
    <col min="12297" max="12297" width="5.36328125" style="2" customWidth="1"/>
    <col min="12298" max="12298" width="3.54296875" style="2" customWidth="1"/>
    <col min="12299" max="12299" width="21.26953125" style="2" customWidth="1"/>
    <col min="12300" max="12300" width="5.81640625" style="2" customWidth="1"/>
    <col min="12301" max="12301" width="3.6328125" style="2" customWidth="1"/>
    <col min="12302" max="12302" width="9.36328125" style="2" customWidth="1"/>
    <col min="12303" max="12303" width="9.453125" style="2" customWidth="1"/>
    <col min="12304" max="12304" width="1.6328125" style="2" customWidth="1"/>
    <col min="12305" max="12305" width="11.26953125" style="2" customWidth="1"/>
    <col min="12306" max="12306" width="9.08984375" style="2" customWidth="1"/>
    <col min="12307" max="12308" width="8.54296875" style="2" customWidth="1"/>
    <col min="12309" max="12309" width="6.6328125" style="2" customWidth="1"/>
    <col min="12310" max="12310" width="20.1796875" style="2" customWidth="1"/>
    <col min="12311" max="12311" width="4.26953125" style="2" customWidth="1"/>
    <col min="12312" max="12541" width="11.54296875" style="2" customWidth="1"/>
    <col min="12542" max="12549" width="11" style="2"/>
    <col min="12550" max="12550" width="3.26953125" style="2" customWidth="1"/>
    <col min="12551" max="12551" width="5" style="2" customWidth="1"/>
    <col min="12552" max="12552" width="8.08984375" style="2" customWidth="1"/>
    <col min="12553" max="12553" width="5.36328125" style="2" customWidth="1"/>
    <col min="12554" max="12554" width="3.54296875" style="2" customWidth="1"/>
    <col min="12555" max="12555" width="21.26953125" style="2" customWidth="1"/>
    <col min="12556" max="12556" width="5.81640625" style="2" customWidth="1"/>
    <col min="12557" max="12557" width="3.6328125" style="2" customWidth="1"/>
    <col min="12558" max="12558" width="9.36328125" style="2" customWidth="1"/>
    <col min="12559" max="12559" width="9.453125" style="2" customWidth="1"/>
    <col min="12560" max="12560" width="1.6328125" style="2" customWidth="1"/>
    <col min="12561" max="12561" width="11.26953125" style="2" customWidth="1"/>
    <col min="12562" max="12562" width="9.08984375" style="2" customWidth="1"/>
    <col min="12563" max="12564" width="8.54296875" style="2" customWidth="1"/>
    <col min="12565" max="12565" width="6.6328125" style="2" customWidth="1"/>
    <col min="12566" max="12566" width="20.1796875" style="2" customWidth="1"/>
    <col min="12567" max="12567" width="4.26953125" style="2" customWidth="1"/>
    <col min="12568" max="12797" width="11.54296875" style="2" customWidth="1"/>
    <col min="12798" max="12805" width="11" style="2"/>
    <col min="12806" max="12806" width="3.26953125" style="2" customWidth="1"/>
    <col min="12807" max="12807" width="5" style="2" customWidth="1"/>
    <col min="12808" max="12808" width="8.08984375" style="2" customWidth="1"/>
    <col min="12809" max="12809" width="5.36328125" style="2" customWidth="1"/>
    <col min="12810" max="12810" width="3.54296875" style="2" customWidth="1"/>
    <col min="12811" max="12811" width="21.26953125" style="2" customWidth="1"/>
    <col min="12812" max="12812" width="5.81640625" style="2" customWidth="1"/>
    <col min="12813" max="12813" width="3.6328125" style="2" customWidth="1"/>
    <col min="12814" max="12814" width="9.36328125" style="2" customWidth="1"/>
    <col min="12815" max="12815" width="9.453125" style="2" customWidth="1"/>
    <col min="12816" max="12816" width="1.6328125" style="2" customWidth="1"/>
    <col min="12817" max="12817" width="11.26953125" style="2" customWidth="1"/>
    <col min="12818" max="12818" width="9.08984375" style="2" customWidth="1"/>
    <col min="12819" max="12820" width="8.54296875" style="2" customWidth="1"/>
    <col min="12821" max="12821" width="6.6328125" style="2" customWidth="1"/>
    <col min="12822" max="12822" width="20.1796875" style="2" customWidth="1"/>
    <col min="12823" max="12823" width="4.26953125" style="2" customWidth="1"/>
    <col min="12824" max="13053" width="11.54296875" style="2" customWidth="1"/>
    <col min="13054" max="13061" width="11" style="2"/>
    <col min="13062" max="13062" width="3.26953125" style="2" customWidth="1"/>
    <col min="13063" max="13063" width="5" style="2" customWidth="1"/>
    <col min="13064" max="13064" width="8.08984375" style="2" customWidth="1"/>
    <col min="13065" max="13065" width="5.36328125" style="2" customWidth="1"/>
    <col min="13066" max="13066" width="3.54296875" style="2" customWidth="1"/>
    <col min="13067" max="13067" width="21.26953125" style="2" customWidth="1"/>
    <col min="13068" max="13068" width="5.81640625" style="2" customWidth="1"/>
    <col min="13069" max="13069" width="3.6328125" style="2" customWidth="1"/>
    <col min="13070" max="13070" width="9.36328125" style="2" customWidth="1"/>
    <col min="13071" max="13071" width="9.453125" style="2" customWidth="1"/>
    <col min="13072" max="13072" width="1.6328125" style="2" customWidth="1"/>
    <col min="13073" max="13073" width="11.26953125" style="2" customWidth="1"/>
    <col min="13074" max="13074" width="9.08984375" style="2" customWidth="1"/>
    <col min="13075" max="13076" width="8.54296875" style="2" customWidth="1"/>
    <col min="13077" max="13077" width="6.6328125" style="2" customWidth="1"/>
    <col min="13078" max="13078" width="20.1796875" style="2" customWidth="1"/>
    <col min="13079" max="13079" width="4.26953125" style="2" customWidth="1"/>
    <col min="13080" max="13309" width="11.54296875" style="2" customWidth="1"/>
    <col min="13310" max="13317" width="11" style="2"/>
    <col min="13318" max="13318" width="3.26953125" style="2" customWidth="1"/>
    <col min="13319" max="13319" width="5" style="2" customWidth="1"/>
    <col min="13320" max="13320" width="8.08984375" style="2" customWidth="1"/>
    <col min="13321" max="13321" width="5.36328125" style="2" customWidth="1"/>
    <col min="13322" max="13322" width="3.54296875" style="2" customWidth="1"/>
    <col min="13323" max="13323" width="21.26953125" style="2" customWidth="1"/>
    <col min="13324" max="13324" width="5.81640625" style="2" customWidth="1"/>
    <col min="13325" max="13325" width="3.6328125" style="2" customWidth="1"/>
    <col min="13326" max="13326" width="9.36328125" style="2" customWidth="1"/>
    <col min="13327" max="13327" width="9.453125" style="2" customWidth="1"/>
    <col min="13328" max="13328" width="1.6328125" style="2" customWidth="1"/>
    <col min="13329" max="13329" width="11.26953125" style="2" customWidth="1"/>
    <col min="13330" max="13330" width="9.08984375" style="2" customWidth="1"/>
    <col min="13331" max="13332" width="8.54296875" style="2" customWidth="1"/>
    <col min="13333" max="13333" width="6.6328125" style="2" customWidth="1"/>
    <col min="13334" max="13334" width="20.1796875" style="2" customWidth="1"/>
    <col min="13335" max="13335" width="4.26953125" style="2" customWidth="1"/>
    <col min="13336" max="13565" width="11.54296875" style="2" customWidth="1"/>
    <col min="13566" max="13573" width="11" style="2"/>
    <col min="13574" max="13574" width="3.26953125" style="2" customWidth="1"/>
    <col min="13575" max="13575" width="5" style="2" customWidth="1"/>
    <col min="13576" max="13576" width="8.08984375" style="2" customWidth="1"/>
    <col min="13577" max="13577" width="5.36328125" style="2" customWidth="1"/>
    <col min="13578" max="13578" width="3.54296875" style="2" customWidth="1"/>
    <col min="13579" max="13579" width="21.26953125" style="2" customWidth="1"/>
    <col min="13580" max="13580" width="5.81640625" style="2" customWidth="1"/>
    <col min="13581" max="13581" width="3.6328125" style="2" customWidth="1"/>
    <col min="13582" max="13582" width="9.36328125" style="2" customWidth="1"/>
    <col min="13583" max="13583" width="9.453125" style="2" customWidth="1"/>
    <col min="13584" max="13584" width="1.6328125" style="2" customWidth="1"/>
    <col min="13585" max="13585" width="11.26953125" style="2" customWidth="1"/>
    <col min="13586" max="13586" width="9.08984375" style="2" customWidth="1"/>
    <col min="13587" max="13588" width="8.54296875" style="2" customWidth="1"/>
    <col min="13589" max="13589" width="6.6328125" style="2" customWidth="1"/>
    <col min="13590" max="13590" width="20.1796875" style="2" customWidth="1"/>
    <col min="13591" max="13591" width="4.26953125" style="2" customWidth="1"/>
    <col min="13592" max="13821" width="11.54296875" style="2" customWidth="1"/>
    <col min="13822" max="13829" width="11" style="2"/>
    <col min="13830" max="13830" width="3.26953125" style="2" customWidth="1"/>
    <col min="13831" max="13831" width="5" style="2" customWidth="1"/>
    <col min="13832" max="13832" width="8.08984375" style="2" customWidth="1"/>
    <col min="13833" max="13833" width="5.36328125" style="2" customWidth="1"/>
    <col min="13834" max="13834" width="3.54296875" style="2" customWidth="1"/>
    <col min="13835" max="13835" width="21.26953125" style="2" customWidth="1"/>
    <col min="13836" max="13836" width="5.81640625" style="2" customWidth="1"/>
    <col min="13837" max="13837" width="3.6328125" style="2" customWidth="1"/>
    <col min="13838" max="13838" width="9.36328125" style="2" customWidth="1"/>
    <col min="13839" max="13839" width="9.453125" style="2" customWidth="1"/>
    <col min="13840" max="13840" width="1.6328125" style="2" customWidth="1"/>
    <col min="13841" max="13841" width="11.26953125" style="2" customWidth="1"/>
    <col min="13842" max="13842" width="9.08984375" style="2" customWidth="1"/>
    <col min="13843" max="13844" width="8.54296875" style="2" customWidth="1"/>
    <col min="13845" max="13845" width="6.6328125" style="2" customWidth="1"/>
    <col min="13846" max="13846" width="20.1796875" style="2" customWidth="1"/>
    <col min="13847" max="13847" width="4.26953125" style="2" customWidth="1"/>
    <col min="13848" max="14077" width="11.54296875" style="2" customWidth="1"/>
    <col min="14078" max="14085" width="11" style="2"/>
    <col min="14086" max="14086" width="3.26953125" style="2" customWidth="1"/>
    <col min="14087" max="14087" width="5" style="2" customWidth="1"/>
    <col min="14088" max="14088" width="8.08984375" style="2" customWidth="1"/>
    <col min="14089" max="14089" width="5.36328125" style="2" customWidth="1"/>
    <col min="14090" max="14090" width="3.54296875" style="2" customWidth="1"/>
    <col min="14091" max="14091" width="21.26953125" style="2" customWidth="1"/>
    <col min="14092" max="14092" width="5.81640625" style="2" customWidth="1"/>
    <col min="14093" max="14093" width="3.6328125" style="2" customWidth="1"/>
    <col min="14094" max="14094" width="9.36328125" style="2" customWidth="1"/>
    <col min="14095" max="14095" width="9.453125" style="2" customWidth="1"/>
    <col min="14096" max="14096" width="1.6328125" style="2" customWidth="1"/>
    <col min="14097" max="14097" width="11.26953125" style="2" customWidth="1"/>
    <col min="14098" max="14098" width="9.08984375" style="2" customWidth="1"/>
    <col min="14099" max="14100" width="8.54296875" style="2" customWidth="1"/>
    <col min="14101" max="14101" width="6.6328125" style="2" customWidth="1"/>
    <col min="14102" max="14102" width="20.1796875" style="2" customWidth="1"/>
    <col min="14103" max="14103" width="4.26953125" style="2" customWidth="1"/>
    <col min="14104" max="14333" width="11.54296875" style="2" customWidth="1"/>
    <col min="14334" max="14341" width="11" style="2"/>
    <col min="14342" max="14342" width="3.26953125" style="2" customWidth="1"/>
    <col min="14343" max="14343" width="5" style="2" customWidth="1"/>
    <col min="14344" max="14344" width="8.08984375" style="2" customWidth="1"/>
    <col min="14345" max="14345" width="5.36328125" style="2" customWidth="1"/>
    <col min="14346" max="14346" width="3.54296875" style="2" customWidth="1"/>
    <col min="14347" max="14347" width="21.26953125" style="2" customWidth="1"/>
    <col min="14348" max="14348" width="5.81640625" style="2" customWidth="1"/>
    <col min="14349" max="14349" width="3.6328125" style="2" customWidth="1"/>
    <col min="14350" max="14350" width="9.36328125" style="2" customWidth="1"/>
    <col min="14351" max="14351" width="9.453125" style="2" customWidth="1"/>
    <col min="14352" max="14352" width="1.6328125" style="2" customWidth="1"/>
    <col min="14353" max="14353" width="11.26953125" style="2" customWidth="1"/>
    <col min="14354" max="14354" width="9.08984375" style="2" customWidth="1"/>
    <col min="14355" max="14356" width="8.54296875" style="2" customWidth="1"/>
    <col min="14357" max="14357" width="6.6328125" style="2" customWidth="1"/>
    <col min="14358" max="14358" width="20.1796875" style="2" customWidth="1"/>
    <col min="14359" max="14359" width="4.26953125" style="2" customWidth="1"/>
    <col min="14360" max="14589" width="11.54296875" style="2" customWidth="1"/>
    <col min="14590" max="14597" width="11" style="2"/>
    <col min="14598" max="14598" width="3.26953125" style="2" customWidth="1"/>
    <col min="14599" max="14599" width="5" style="2" customWidth="1"/>
    <col min="14600" max="14600" width="8.08984375" style="2" customWidth="1"/>
    <col min="14601" max="14601" width="5.36328125" style="2" customWidth="1"/>
    <col min="14602" max="14602" width="3.54296875" style="2" customWidth="1"/>
    <col min="14603" max="14603" width="21.26953125" style="2" customWidth="1"/>
    <col min="14604" max="14604" width="5.81640625" style="2" customWidth="1"/>
    <col min="14605" max="14605" width="3.6328125" style="2" customWidth="1"/>
    <col min="14606" max="14606" width="9.36328125" style="2" customWidth="1"/>
    <col min="14607" max="14607" width="9.453125" style="2" customWidth="1"/>
    <col min="14608" max="14608" width="1.6328125" style="2" customWidth="1"/>
    <col min="14609" max="14609" width="11.26953125" style="2" customWidth="1"/>
    <col min="14610" max="14610" width="9.08984375" style="2" customWidth="1"/>
    <col min="14611" max="14612" width="8.54296875" style="2" customWidth="1"/>
    <col min="14613" max="14613" width="6.6328125" style="2" customWidth="1"/>
    <col min="14614" max="14614" width="20.1796875" style="2" customWidth="1"/>
    <col min="14615" max="14615" width="4.26953125" style="2" customWidth="1"/>
    <col min="14616" max="14845" width="11.54296875" style="2" customWidth="1"/>
    <col min="14846" max="14853" width="11" style="2"/>
    <col min="14854" max="14854" width="3.26953125" style="2" customWidth="1"/>
    <col min="14855" max="14855" width="5" style="2" customWidth="1"/>
    <col min="14856" max="14856" width="8.08984375" style="2" customWidth="1"/>
    <col min="14857" max="14857" width="5.36328125" style="2" customWidth="1"/>
    <col min="14858" max="14858" width="3.54296875" style="2" customWidth="1"/>
    <col min="14859" max="14859" width="21.26953125" style="2" customWidth="1"/>
    <col min="14860" max="14860" width="5.81640625" style="2" customWidth="1"/>
    <col min="14861" max="14861" width="3.6328125" style="2" customWidth="1"/>
    <col min="14862" max="14862" width="9.36328125" style="2" customWidth="1"/>
    <col min="14863" max="14863" width="9.453125" style="2" customWidth="1"/>
    <col min="14864" max="14864" width="1.6328125" style="2" customWidth="1"/>
    <col min="14865" max="14865" width="11.26953125" style="2" customWidth="1"/>
    <col min="14866" max="14866" width="9.08984375" style="2" customWidth="1"/>
    <col min="14867" max="14868" width="8.54296875" style="2" customWidth="1"/>
    <col min="14869" max="14869" width="6.6328125" style="2" customWidth="1"/>
    <col min="14870" max="14870" width="20.1796875" style="2" customWidth="1"/>
    <col min="14871" max="14871" width="4.26953125" style="2" customWidth="1"/>
    <col min="14872" max="15101" width="11.54296875" style="2" customWidth="1"/>
    <col min="15102" max="15109" width="11" style="2"/>
    <col min="15110" max="15110" width="3.26953125" style="2" customWidth="1"/>
    <col min="15111" max="15111" width="5" style="2" customWidth="1"/>
    <col min="15112" max="15112" width="8.08984375" style="2" customWidth="1"/>
    <col min="15113" max="15113" width="5.36328125" style="2" customWidth="1"/>
    <col min="15114" max="15114" width="3.54296875" style="2" customWidth="1"/>
    <col min="15115" max="15115" width="21.26953125" style="2" customWidth="1"/>
    <col min="15116" max="15116" width="5.81640625" style="2" customWidth="1"/>
    <col min="15117" max="15117" width="3.6328125" style="2" customWidth="1"/>
    <col min="15118" max="15118" width="9.36328125" style="2" customWidth="1"/>
    <col min="15119" max="15119" width="9.453125" style="2" customWidth="1"/>
    <col min="15120" max="15120" width="1.6328125" style="2" customWidth="1"/>
    <col min="15121" max="15121" width="11.26953125" style="2" customWidth="1"/>
    <col min="15122" max="15122" width="9.08984375" style="2" customWidth="1"/>
    <col min="15123" max="15124" width="8.54296875" style="2" customWidth="1"/>
    <col min="15125" max="15125" width="6.6328125" style="2" customWidth="1"/>
    <col min="15126" max="15126" width="20.1796875" style="2" customWidth="1"/>
    <col min="15127" max="15127" width="4.26953125" style="2" customWidth="1"/>
    <col min="15128" max="15357" width="11.54296875" style="2" customWidth="1"/>
    <col min="15358" max="15365" width="11" style="2"/>
    <col min="15366" max="15366" width="3.26953125" style="2" customWidth="1"/>
    <col min="15367" max="15367" width="5" style="2" customWidth="1"/>
    <col min="15368" max="15368" width="8.08984375" style="2" customWidth="1"/>
    <col min="15369" max="15369" width="5.36328125" style="2" customWidth="1"/>
    <col min="15370" max="15370" width="3.54296875" style="2" customWidth="1"/>
    <col min="15371" max="15371" width="21.26953125" style="2" customWidth="1"/>
    <col min="15372" max="15372" width="5.81640625" style="2" customWidth="1"/>
    <col min="15373" max="15373" width="3.6328125" style="2" customWidth="1"/>
    <col min="15374" max="15374" width="9.36328125" style="2" customWidth="1"/>
    <col min="15375" max="15375" width="9.453125" style="2" customWidth="1"/>
    <col min="15376" max="15376" width="1.6328125" style="2" customWidth="1"/>
    <col min="15377" max="15377" width="11.26953125" style="2" customWidth="1"/>
    <col min="15378" max="15378" width="9.08984375" style="2" customWidth="1"/>
    <col min="15379" max="15380" width="8.54296875" style="2" customWidth="1"/>
    <col min="15381" max="15381" width="6.6328125" style="2" customWidth="1"/>
    <col min="15382" max="15382" width="20.1796875" style="2" customWidth="1"/>
    <col min="15383" max="15383" width="4.26953125" style="2" customWidth="1"/>
    <col min="15384" max="15613" width="11.54296875" style="2" customWidth="1"/>
    <col min="15614" max="15621" width="11" style="2"/>
    <col min="15622" max="15622" width="3.26953125" style="2" customWidth="1"/>
    <col min="15623" max="15623" width="5" style="2" customWidth="1"/>
    <col min="15624" max="15624" width="8.08984375" style="2" customWidth="1"/>
    <col min="15625" max="15625" width="5.36328125" style="2" customWidth="1"/>
    <col min="15626" max="15626" width="3.54296875" style="2" customWidth="1"/>
    <col min="15627" max="15627" width="21.26953125" style="2" customWidth="1"/>
    <col min="15628" max="15628" width="5.81640625" style="2" customWidth="1"/>
    <col min="15629" max="15629" width="3.6328125" style="2" customWidth="1"/>
    <col min="15630" max="15630" width="9.36328125" style="2" customWidth="1"/>
    <col min="15631" max="15631" width="9.453125" style="2" customWidth="1"/>
    <col min="15632" max="15632" width="1.6328125" style="2" customWidth="1"/>
    <col min="15633" max="15633" width="11.26953125" style="2" customWidth="1"/>
    <col min="15634" max="15634" width="9.08984375" style="2" customWidth="1"/>
    <col min="15635" max="15636" width="8.54296875" style="2" customWidth="1"/>
    <col min="15637" max="15637" width="6.6328125" style="2" customWidth="1"/>
    <col min="15638" max="15638" width="20.1796875" style="2" customWidth="1"/>
    <col min="15639" max="15639" width="4.26953125" style="2" customWidth="1"/>
    <col min="15640" max="15869" width="11.54296875" style="2" customWidth="1"/>
    <col min="15870" max="15877" width="11" style="2"/>
    <col min="15878" max="15878" width="3.26953125" style="2" customWidth="1"/>
    <col min="15879" max="15879" width="5" style="2" customWidth="1"/>
    <col min="15880" max="15880" width="8.08984375" style="2" customWidth="1"/>
    <col min="15881" max="15881" width="5.36328125" style="2" customWidth="1"/>
    <col min="15882" max="15882" width="3.54296875" style="2" customWidth="1"/>
    <col min="15883" max="15883" width="21.26953125" style="2" customWidth="1"/>
    <col min="15884" max="15884" width="5.81640625" style="2" customWidth="1"/>
    <col min="15885" max="15885" width="3.6328125" style="2" customWidth="1"/>
    <col min="15886" max="15886" width="9.36328125" style="2" customWidth="1"/>
    <col min="15887" max="15887" width="9.453125" style="2" customWidth="1"/>
    <col min="15888" max="15888" width="1.6328125" style="2" customWidth="1"/>
    <col min="15889" max="15889" width="11.26953125" style="2" customWidth="1"/>
    <col min="15890" max="15890" width="9.08984375" style="2" customWidth="1"/>
    <col min="15891" max="15892" width="8.54296875" style="2" customWidth="1"/>
    <col min="15893" max="15893" width="6.6328125" style="2" customWidth="1"/>
    <col min="15894" max="15894" width="20.1796875" style="2" customWidth="1"/>
    <col min="15895" max="15895" width="4.26953125" style="2" customWidth="1"/>
    <col min="15896" max="16125" width="11.54296875" style="2" customWidth="1"/>
    <col min="16126" max="16133" width="11" style="2"/>
    <col min="16134" max="16134" width="3.26953125" style="2" customWidth="1"/>
    <col min="16135" max="16135" width="5" style="2" customWidth="1"/>
    <col min="16136" max="16136" width="8.08984375" style="2" customWidth="1"/>
    <col min="16137" max="16137" width="5.36328125" style="2" customWidth="1"/>
    <col min="16138" max="16138" width="3.54296875" style="2" customWidth="1"/>
    <col min="16139" max="16139" width="21.26953125" style="2" customWidth="1"/>
    <col min="16140" max="16140" width="5.81640625" style="2" customWidth="1"/>
    <col min="16141" max="16141" width="3.6328125" style="2" customWidth="1"/>
    <col min="16142" max="16142" width="9.36328125" style="2" customWidth="1"/>
    <col min="16143" max="16143" width="9.453125" style="2" customWidth="1"/>
    <col min="16144" max="16144" width="1.6328125" style="2" customWidth="1"/>
    <col min="16145" max="16145" width="11.26953125" style="2" customWidth="1"/>
    <col min="16146" max="16146" width="9.08984375" style="2" customWidth="1"/>
    <col min="16147" max="16148" width="8.54296875" style="2" customWidth="1"/>
    <col min="16149" max="16149" width="6.6328125" style="2" customWidth="1"/>
    <col min="16150" max="16150" width="20.1796875" style="2" customWidth="1"/>
    <col min="16151" max="16151" width="4.26953125" style="2" customWidth="1"/>
    <col min="16152" max="16381" width="11.54296875" style="2" customWidth="1"/>
    <col min="16382" max="16384" width="11" style="2"/>
  </cols>
  <sheetData>
    <row r="1" spans="1:253" ht="12.75" customHeight="1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5"/>
      <c r="T1" s="20"/>
      <c r="U1" s="130"/>
      <c r="V1" s="130"/>
    </row>
    <row r="2" spans="1:253" ht="41" customHeight="1">
      <c r="A2" s="3"/>
      <c r="B2" s="175" t="s">
        <v>54</v>
      </c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5"/>
      <c r="T2" s="20"/>
      <c r="U2" s="130"/>
      <c r="V2" s="130"/>
      <c r="W2" s="121" t="s">
        <v>3915</v>
      </c>
    </row>
    <row r="3" spans="1:253" ht="20" customHeight="1">
      <c r="A3" s="3"/>
      <c r="B3" s="21" t="s">
        <v>0</v>
      </c>
      <c r="C3" s="22"/>
      <c r="D3" s="22"/>
      <c r="E3" s="23"/>
      <c r="F3" s="25" t="s">
        <v>1</v>
      </c>
      <c r="G3" s="26"/>
      <c r="H3" s="27"/>
      <c r="I3" s="28"/>
      <c r="J3" s="27"/>
      <c r="K3" s="29"/>
      <c r="L3" s="6"/>
      <c r="M3" s="37" t="s">
        <v>2</v>
      </c>
      <c r="N3" s="38"/>
      <c r="O3" s="38" t="s">
        <v>3</v>
      </c>
      <c r="P3" s="39"/>
      <c r="S3" s="5"/>
      <c r="T3" s="20"/>
      <c r="U3" s="130"/>
      <c r="V3" s="130"/>
      <c r="W3" s="121" t="str">
        <f>VLOOKUP(F3,Customer!A:C,2,0)</f>
        <v>1200001169</v>
      </c>
    </row>
    <row r="4" spans="1:253" ht="20" customHeight="1">
      <c r="A4" s="3"/>
      <c r="B4" s="21" t="s">
        <v>4</v>
      </c>
      <c r="C4" s="23"/>
      <c r="D4" s="23"/>
      <c r="E4" s="23"/>
      <c r="F4" s="30" t="s">
        <v>5</v>
      </c>
      <c r="G4" s="23"/>
      <c r="H4" s="23"/>
      <c r="I4" s="23"/>
      <c r="J4" s="23"/>
      <c r="K4" s="31"/>
      <c r="L4" s="6"/>
      <c r="M4" s="37" t="s">
        <v>6</v>
      </c>
      <c r="N4" s="38"/>
      <c r="O4" s="38" t="s">
        <v>7</v>
      </c>
      <c r="P4" s="39"/>
      <c r="S4" s="5"/>
      <c r="T4" s="20"/>
      <c r="U4" s="130"/>
      <c r="V4" s="130"/>
    </row>
    <row r="5" spans="1:253" ht="20" customHeight="1">
      <c r="A5" s="3"/>
      <c r="B5" s="21" t="s">
        <v>8</v>
      </c>
      <c r="C5" s="23"/>
      <c r="D5" s="23"/>
      <c r="E5" s="23"/>
      <c r="F5" s="30" t="s">
        <v>9</v>
      </c>
      <c r="G5" s="23"/>
      <c r="H5" s="23"/>
      <c r="I5" s="23"/>
      <c r="J5" s="23"/>
      <c r="K5" s="31"/>
      <c r="L5" s="6"/>
      <c r="M5" s="6"/>
      <c r="N5" s="7"/>
      <c r="O5" s="6"/>
      <c r="P5" s="6"/>
      <c r="Q5" s="4"/>
      <c r="R5" s="4"/>
      <c r="S5" s="8"/>
      <c r="T5" s="122"/>
      <c r="U5" s="131"/>
      <c r="V5" s="131"/>
    </row>
    <row r="6" spans="1:253" ht="20" customHeight="1">
      <c r="A6" s="3"/>
      <c r="B6" s="21" t="s">
        <v>10</v>
      </c>
      <c r="C6" s="23"/>
      <c r="D6" s="23"/>
      <c r="E6" s="23"/>
      <c r="F6" s="30" t="s">
        <v>11</v>
      </c>
      <c r="G6" s="23"/>
      <c r="H6" s="23"/>
      <c r="I6" s="23"/>
      <c r="J6" s="23"/>
      <c r="K6" s="31"/>
      <c r="L6" s="6"/>
      <c r="M6" s="176" t="s">
        <v>12</v>
      </c>
      <c r="N6" s="177"/>
      <c r="O6" s="177"/>
      <c r="P6" s="178"/>
      <c r="Q6" s="4"/>
      <c r="R6" s="4"/>
      <c r="S6" s="8"/>
      <c r="T6" s="122"/>
      <c r="U6" s="131"/>
      <c r="V6" s="131"/>
    </row>
    <row r="7" spans="1:253" ht="20" customHeight="1">
      <c r="A7" s="3"/>
      <c r="B7" s="21" t="s">
        <v>13</v>
      </c>
      <c r="C7" s="23"/>
      <c r="D7" s="23"/>
      <c r="E7" s="23"/>
      <c r="F7" s="30" t="s">
        <v>14</v>
      </c>
      <c r="G7" s="23"/>
      <c r="H7" s="23"/>
      <c r="I7" s="23"/>
      <c r="J7" s="23"/>
      <c r="K7" s="31"/>
      <c r="L7" s="6"/>
      <c r="M7" s="40" t="s">
        <v>15</v>
      </c>
      <c r="N7" s="41"/>
      <c r="O7" s="42" t="s">
        <v>16</v>
      </c>
      <c r="P7" s="43"/>
      <c r="Q7" s="2"/>
      <c r="R7" s="9"/>
      <c r="S7" s="8"/>
      <c r="T7" s="122"/>
      <c r="U7" s="131"/>
      <c r="V7" s="131"/>
    </row>
    <row r="8" spans="1:253" ht="20" customHeight="1">
      <c r="A8" s="3"/>
      <c r="B8" s="21" t="s">
        <v>17</v>
      </c>
      <c r="C8" s="23"/>
      <c r="D8" s="23"/>
      <c r="E8" s="23"/>
      <c r="F8" s="32" t="s">
        <v>18</v>
      </c>
      <c r="G8" s="24"/>
      <c r="H8" s="23"/>
      <c r="I8" s="22"/>
      <c r="J8" s="23"/>
      <c r="K8" s="31"/>
      <c r="L8" s="6"/>
      <c r="M8" s="44" t="s">
        <v>19</v>
      </c>
      <c r="N8" s="45"/>
      <c r="O8" s="46" t="s">
        <v>20</v>
      </c>
      <c r="P8" s="47"/>
      <c r="Q8" s="2"/>
      <c r="R8" s="10"/>
      <c r="S8" s="11"/>
      <c r="T8" s="72"/>
      <c r="U8" s="130"/>
      <c r="V8" s="130"/>
      <c r="AA8" s="2"/>
      <c r="AB8" s="2"/>
    </row>
    <row r="9" spans="1:253" ht="20" customHeight="1">
      <c r="A9" s="3"/>
      <c r="B9" s="21" t="s">
        <v>21</v>
      </c>
      <c r="C9" s="23"/>
      <c r="D9" s="23"/>
      <c r="E9" s="23"/>
      <c r="F9" s="33"/>
      <c r="G9" s="34"/>
      <c r="H9" s="34"/>
      <c r="I9" s="35"/>
      <c r="J9" s="34"/>
      <c r="K9" s="36"/>
      <c r="L9" s="6"/>
      <c r="M9" s="48" t="s">
        <v>22</v>
      </c>
      <c r="N9" s="49"/>
      <c r="O9" s="50" t="s">
        <v>23</v>
      </c>
      <c r="P9" s="51"/>
      <c r="Q9" s="2"/>
      <c r="R9" s="12"/>
      <c r="S9" s="11"/>
      <c r="T9" s="72"/>
      <c r="U9" s="130"/>
      <c r="V9" s="130"/>
      <c r="AA9" s="2"/>
      <c r="AB9" s="2"/>
    </row>
    <row r="10" spans="1:253" ht="7.5" customHeight="1">
      <c r="A10" s="3"/>
      <c r="S10" s="5"/>
      <c r="T10" s="20"/>
      <c r="U10" s="130"/>
      <c r="V10" s="130"/>
    </row>
    <row r="11" spans="1:253" ht="38.5" customHeight="1">
      <c r="A11" s="3"/>
      <c r="B11" s="52" t="s">
        <v>24</v>
      </c>
      <c r="C11" s="179" t="s">
        <v>25</v>
      </c>
      <c r="D11" s="179"/>
      <c r="E11" s="179"/>
      <c r="F11" s="180" t="s">
        <v>26</v>
      </c>
      <c r="G11" s="180"/>
      <c r="H11" s="180"/>
      <c r="I11" s="180"/>
      <c r="J11" s="180"/>
      <c r="K11" s="53" t="s">
        <v>51</v>
      </c>
      <c r="L11" s="180" t="s">
        <v>27</v>
      </c>
      <c r="M11" s="180"/>
      <c r="N11" s="53" t="s">
        <v>53</v>
      </c>
      <c r="O11" s="180" t="s">
        <v>28</v>
      </c>
      <c r="P11" s="180"/>
      <c r="Q11" s="180"/>
      <c r="R11" s="53" t="s">
        <v>52</v>
      </c>
      <c r="S11" s="5"/>
      <c r="T11" s="20"/>
      <c r="U11" s="146" t="s">
        <v>3917</v>
      </c>
      <c r="V11" s="146" t="s">
        <v>3918</v>
      </c>
      <c r="W11" s="147" t="s">
        <v>3920</v>
      </c>
      <c r="X11" s="121" t="s">
        <v>3921</v>
      </c>
      <c r="Y11" s="121" t="s">
        <v>3922</v>
      </c>
      <c r="Z11" s="148" t="s">
        <v>3923</v>
      </c>
      <c r="AB11" s="2"/>
      <c r="AC11" s="2"/>
      <c r="AD11" s="2"/>
    </row>
    <row r="12" spans="1:253" ht="20" customHeight="1">
      <c r="A12" s="3"/>
      <c r="B12" s="54"/>
      <c r="C12" s="149" t="s">
        <v>29</v>
      </c>
      <c r="D12" s="149"/>
      <c r="E12" s="149"/>
      <c r="F12" s="173"/>
      <c r="G12" s="173"/>
      <c r="H12" s="173"/>
      <c r="I12" s="173"/>
      <c r="J12" s="173"/>
      <c r="K12" s="55"/>
      <c r="L12" s="174"/>
      <c r="M12" s="174"/>
      <c r="N12" s="55"/>
      <c r="O12" s="155" t="s">
        <v>30</v>
      </c>
      <c r="P12" s="155"/>
      <c r="Q12" s="155"/>
      <c r="R12" s="56"/>
      <c r="S12" s="5"/>
      <c r="T12" s="20"/>
      <c r="AA12" s="2"/>
      <c r="AD12" s="2"/>
    </row>
    <row r="13" spans="1:253" ht="20" customHeight="1">
      <c r="A13" s="3"/>
      <c r="B13" s="162">
        <v>1</v>
      </c>
      <c r="C13" s="163" t="s">
        <v>31</v>
      </c>
      <c r="D13" s="163"/>
      <c r="E13" s="163"/>
      <c r="F13" s="158" t="s">
        <v>3090</v>
      </c>
      <c r="G13" s="159"/>
      <c r="H13" s="159"/>
      <c r="I13" s="159"/>
      <c r="J13" s="160"/>
      <c r="K13" s="57">
        <v>10</v>
      </c>
      <c r="L13" s="157"/>
      <c r="M13" s="157"/>
      <c r="N13" s="164" t="str">
        <f>U13&amp;"-"&amp;V13</f>
        <v>100-120</v>
      </c>
      <c r="O13" s="156" t="s">
        <v>32</v>
      </c>
      <c r="P13" s="156"/>
      <c r="Q13" s="156"/>
      <c r="R13" s="157" t="s">
        <v>33</v>
      </c>
      <c r="S13" s="11"/>
      <c r="T13" s="72"/>
      <c r="U13" s="130">
        <v>100</v>
      </c>
      <c r="V13" s="130">
        <v>120</v>
      </c>
      <c r="W13" s="6" t="str">
        <f>C13</f>
        <v>WIPING FILLER</v>
      </c>
      <c r="X13" s="6" t="str">
        <f>F13</f>
        <v>PSV-76000 SB HC MY VN</v>
      </c>
      <c r="Y13" s="6">
        <f>K13</f>
        <v>10</v>
      </c>
      <c r="Z13" s="128" t="str">
        <f>O13</f>
        <v>WIPING</v>
      </c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</row>
    <row r="14" spans="1:253" ht="20" customHeight="1">
      <c r="A14" s="3"/>
      <c r="B14" s="162"/>
      <c r="C14" s="163"/>
      <c r="D14" s="163"/>
      <c r="E14" s="163"/>
      <c r="F14" s="158" t="s">
        <v>3090</v>
      </c>
      <c r="G14" s="159"/>
      <c r="H14" s="159"/>
      <c r="I14" s="159"/>
      <c r="J14" s="160"/>
      <c r="K14" s="57">
        <v>10</v>
      </c>
      <c r="L14" s="157"/>
      <c r="M14" s="157"/>
      <c r="N14" s="164"/>
      <c r="O14" s="156"/>
      <c r="P14" s="156"/>
      <c r="Q14" s="156"/>
      <c r="R14" s="157"/>
      <c r="S14" s="11"/>
      <c r="T14" s="72"/>
      <c r="U14" s="130"/>
      <c r="V14" s="130"/>
      <c r="X14" s="6" t="str">
        <f t="shared" ref="X14:X71" si="0">F14</f>
        <v>PSV-76000 SB HC MY VN</v>
      </c>
      <c r="Y14" s="6">
        <f t="shared" ref="Y14:Y71" si="1">K14</f>
        <v>10</v>
      </c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</row>
    <row r="15" spans="1:253" ht="20" customHeight="1">
      <c r="A15" s="3"/>
      <c r="B15" s="162"/>
      <c r="C15" s="163"/>
      <c r="D15" s="163"/>
      <c r="E15" s="163"/>
      <c r="F15" s="158" t="s">
        <v>3090</v>
      </c>
      <c r="G15" s="159"/>
      <c r="H15" s="159"/>
      <c r="I15" s="159"/>
      <c r="J15" s="160"/>
      <c r="K15" s="57">
        <v>60</v>
      </c>
      <c r="L15" s="157"/>
      <c r="M15" s="157"/>
      <c r="N15" s="164"/>
      <c r="O15" s="156"/>
      <c r="P15" s="156"/>
      <c r="Q15" s="156"/>
      <c r="R15" s="157"/>
      <c r="S15" s="11"/>
      <c r="T15" s="72"/>
      <c r="U15" s="130"/>
      <c r="V15" s="130"/>
      <c r="X15" s="6" t="str">
        <f t="shared" si="0"/>
        <v>PSV-76000 SB HC MY VN</v>
      </c>
      <c r="Y15" s="6">
        <f t="shared" si="1"/>
        <v>60</v>
      </c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</row>
    <row r="16" spans="1:253" ht="20" customHeight="1">
      <c r="A16" s="3"/>
      <c r="B16" s="162"/>
      <c r="C16" s="163"/>
      <c r="D16" s="163"/>
      <c r="E16" s="163"/>
      <c r="F16" s="161" t="s">
        <v>3231</v>
      </c>
      <c r="G16" s="161"/>
      <c r="H16" s="161"/>
      <c r="I16" s="161"/>
      <c r="J16" s="161"/>
      <c r="K16" s="57">
        <v>20</v>
      </c>
      <c r="L16" s="157"/>
      <c r="M16" s="157"/>
      <c r="N16" s="164"/>
      <c r="O16" s="156"/>
      <c r="P16" s="156"/>
      <c r="Q16" s="156"/>
      <c r="R16" s="157"/>
      <c r="S16" s="11"/>
      <c r="T16" s="72"/>
      <c r="U16" s="130"/>
      <c r="V16" s="130"/>
      <c r="X16" s="6" t="str">
        <f t="shared" si="0"/>
        <v>THPU-71306 01 KD VN</v>
      </c>
      <c r="Y16" s="6">
        <f t="shared" si="1"/>
        <v>20</v>
      </c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</row>
    <row r="17" spans="1:253" ht="20" customHeight="1">
      <c r="A17" s="3"/>
      <c r="B17" s="162"/>
      <c r="C17" s="163"/>
      <c r="D17" s="163"/>
      <c r="E17" s="163"/>
      <c r="F17" s="161" t="s">
        <v>3231</v>
      </c>
      <c r="G17" s="161"/>
      <c r="H17" s="161"/>
      <c r="I17" s="161"/>
      <c r="J17" s="161"/>
      <c r="K17" s="57">
        <v>20</v>
      </c>
      <c r="L17" s="157"/>
      <c r="M17" s="157"/>
      <c r="N17" s="164"/>
      <c r="O17" s="156"/>
      <c r="P17" s="156"/>
      <c r="Q17" s="156"/>
      <c r="R17" s="157"/>
      <c r="S17" s="11"/>
      <c r="T17" s="72"/>
      <c r="U17" s="130"/>
      <c r="V17" s="130"/>
      <c r="X17" s="6" t="str">
        <f t="shared" si="0"/>
        <v>THPU-71306 01 KD VN</v>
      </c>
      <c r="Y17" s="6">
        <f t="shared" si="1"/>
        <v>20</v>
      </c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</row>
    <row r="18" spans="1:253" ht="20" customHeight="1">
      <c r="A18" s="3"/>
      <c r="B18" s="88"/>
      <c r="C18" s="149" t="s">
        <v>29</v>
      </c>
      <c r="D18" s="149"/>
      <c r="E18" s="149"/>
      <c r="F18" s="173"/>
      <c r="G18" s="173"/>
      <c r="H18" s="173"/>
      <c r="I18" s="173"/>
      <c r="J18" s="173"/>
      <c r="K18" s="89"/>
      <c r="L18" s="174"/>
      <c r="M18" s="174"/>
      <c r="N18" s="89"/>
      <c r="O18" s="155" t="s">
        <v>30</v>
      </c>
      <c r="P18" s="155"/>
      <c r="Q18" s="155"/>
      <c r="R18" s="56"/>
      <c r="S18" s="5"/>
      <c r="T18" s="20"/>
      <c r="U18" s="130"/>
      <c r="V18" s="130"/>
      <c r="X18" s="6">
        <f t="shared" si="0"/>
        <v>0</v>
      </c>
      <c r="Y18" s="6">
        <f t="shared" si="1"/>
        <v>0</v>
      </c>
      <c r="AA18" s="2"/>
      <c r="AD18" s="2"/>
    </row>
    <row r="19" spans="1:253" ht="20" customHeight="1">
      <c r="A19" s="3"/>
      <c r="B19" s="162">
        <v>2</v>
      </c>
      <c r="C19" s="163" t="s">
        <v>34</v>
      </c>
      <c r="D19" s="163"/>
      <c r="E19" s="163"/>
      <c r="F19" s="158" t="s">
        <v>3090</v>
      </c>
      <c r="G19" s="159"/>
      <c r="H19" s="159"/>
      <c r="I19" s="159"/>
      <c r="J19" s="160"/>
      <c r="K19" s="57">
        <v>10</v>
      </c>
      <c r="L19" s="157" t="s">
        <v>35</v>
      </c>
      <c r="M19" s="157"/>
      <c r="N19" s="164" t="str">
        <f>U19&amp;"-"&amp;V19</f>
        <v>100-120</v>
      </c>
      <c r="O19" s="156" t="s">
        <v>36</v>
      </c>
      <c r="P19" s="156"/>
      <c r="Q19" s="156"/>
      <c r="R19" s="157" t="s">
        <v>37</v>
      </c>
      <c r="S19" s="11"/>
      <c r="T19" s="72"/>
      <c r="U19" s="130">
        <v>100</v>
      </c>
      <c r="V19" s="130">
        <v>120</v>
      </c>
      <c r="W19" s="6" t="str">
        <f>C19</f>
        <v>SANDING SEALER</v>
      </c>
      <c r="X19" s="6" t="str">
        <f t="shared" si="0"/>
        <v>PSV-76000 SB HC MY VN</v>
      </c>
      <c r="Y19" s="6">
        <f t="shared" si="1"/>
        <v>10</v>
      </c>
      <c r="Z19" s="128" t="str">
        <f>O19</f>
        <v>SPRAY</v>
      </c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</row>
    <row r="20" spans="1:253" ht="20" customHeight="1">
      <c r="A20" s="3"/>
      <c r="B20" s="162"/>
      <c r="C20" s="163"/>
      <c r="D20" s="163"/>
      <c r="E20" s="163"/>
      <c r="F20" s="158" t="s">
        <v>3090</v>
      </c>
      <c r="G20" s="159"/>
      <c r="H20" s="159"/>
      <c r="I20" s="159"/>
      <c r="J20" s="160"/>
      <c r="K20" s="57">
        <v>10</v>
      </c>
      <c r="L20" s="157"/>
      <c r="M20" s="157"/>
      <c r="N20" s="164"/>
      <c r="O20" s="156"/>
      <c r="P20" s="156"/>
      <c r="Q20" s="156"/>
      <c r="R20" s="157"/>
      <c r="S20" s="11"/>
      <c r="T20" s="72"/>
      <c r="U20" s="130"/>
      <c r="V20" s="130"/>
      <c r="X20" s="6" t="str">
        <f t="shared" si="0"/>
        <v>PSV-76000 SB HC MY VN</v>
      </c>
      <c r="Y20" s="6">
        <f t="shared" si="1"/>
        <v>10</v>
      </c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</row>
    <row r="21" spans="1:253" ht="20" customHeight="1">
      <c r="A21" s="3"/>
      <c r="B21" s="162"/>
      <c r="C21" s="163"/>
      <c r="D21" s="163"/>
      <c r="E21" s="163"/>
      <c r="F21" s="158" t="s">
        <v>3090</v>
      </c>
      <c r="G21" s="159"/>
      <c r="H21" s="159"/>
      <c r="I21" s="159"/>
      <c r="J21" s="160"/>
      <c r="K21" s="57">
        <v>60</v>
      </c>
      <c r="L21" s="157"/>
      <c r="M21" s="157"/>
      <c r="N21" s="164"/>
      <c r="O21" s="156"/>
      <c r="P21" s="156"/>
      <c r="Q21" s="156"/>
      <c r="R21" s="157"/>
      <c r="S21" s="11"/>
      <c r="T21" s="72"/>
      <c r="U21" s="130"/>
      <c r="V21" s="130"/>
      <c r="X21" s="6" t="str">
        <f t="shared" si="0"/>
        <v>PSV-76000 SB HC MY VN</v>
      </c>
      <c r="Y21" s="6">
        <f t="shared" si="1"/>
        <v>60</v>
      </c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</row>
    <row r="22" spans="1:253" ht="20" customHeight="1">
      <c r="A22" s="3"/>
      <c r="B22" s="162"/>
      <c r="C22" s="163"/>
      <c r="D22" s="163"/>
      <c r="E22" s="163"/>
      <c r="F22" s="161" t="s">
        <v>3231</v>
      </c>
      <c r="G22" s="161"/>
      <c r="H22" s="161"/>
      <c r="I22" s="161"/>
      <c r="J22" s="161"/>
      <c r="K22" s="57">
        <v>20</v>
      </c>
      <c r="L22" s="157"/>
      <c r="M22" s="157"/>
      <c r="N22" s="164"/>
      <c r="O22" s="156"/>
      <c r="P22" s="156"/>
      <c r="Q22" s="156"/>
      <c r="R22" s="157"/>
      <c r="S22" s="11"/>
      <c r="T22" s="72"/>
      <c r="U22" s="130"/>
      <c r="V22" s="130"/>
      <c r="X22" s="6" t="str">
        <f t="shared" si="0"/>
        <v>THPU-71306 01 KD VN</v>
      </c>
      <c r="Y22" s="6">
        <f t="shared" si="1"/>
        <v>20</v>
      </c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</row>
    <row r="23" spans="1:253" ht="20" customHeight="1">
      <c r="A23" s="3"/>
      <c r="B23" s="162"/>
      <c r="C23" s="163"/>
      <c r="D23" s="163"/>
      <c r="E23" s="163"/>
      <c r="F23" s="161" t="s">
        <v>3231</v>
      </c>
      <c r="G23" s="161"/>
      <c r="H23" s="161"/>
      <c r="I23" s="161"/>
      <c r="J23" s="161"/>
      <c r="K23" s="57">
        <v>20</v>
      </c>
      <c r="L23" s="157"/>
      <c r="M23" s="157"/>
      <c r="N23" s="164"/>
      <c r="O23" s="156"/>
      <c r="P23" s="156"/>
      <c r="Q23" s="156"/>
      <c r="R23" s="157"/>
      <c r="S23" s="11"/>
      <c r="T23" s="72"/>
      <c r="U23" s="130"/>
      <c r="V23" s="130"/>
      <c r="X23" s="6" t="str">
        <f t="shared" si="0"/>
        <v>THPU-71306 01 KD VN</v>
      </c>
      <c r="Y23" s="6">
        <f t="shared" si="1"/>
        <v>20</v>
      </c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</row>
    <row r="24" spans="1:253" ht="20" customHeight="1">
      <c r="A24" s="3"/>
      <c r="B24" s="54"/>
      <c r="C24" s="149" t="s">
        <v>29</v>
      </c>
      <c r="D24" s="149"/>
      <c r="E24" s="149"/>
      <c r="F24" s="171"/>
      <c r="G24" s="171"/>
      <c r="H24" s="171"/>
      <c r="I24" s="171"/>
      <c r="J24" s="171"/>
      <c r="K24" s="58"/>
      <c r="L24" s="172"/>
      <c r="M24" s="172"/>
      <c r="N24" s="59"/>
      <c r="O24" s="155" t="s">
        <v>38</v>
      </c>
      <c r="P24" s="155"/>
      <c r="Q24" s="155"/>
      <c r="R24" s="60"/>
      <c r="S24" s="11"/>
      <c r="T24" s="72"/>
      <c r="U24" s="130"/>
      <c r="V24" s="130"/>
      <c r="X24" s="6">
        <f t="shared" si="0"/>
        <v>0</v>
      </c>
      <c r="Y24" s="6">
        <f t="shared" si="1"/>
        <v>0</v>
      </c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</row>
    <row r="25" spans="1:253" ht="20" customHeight="1">
      <c r="A25" s="3"/>
      <c r="B25" s="166">
        <v>3</v>
      </c>
      <c r="C25" s="163" t="s">
        <v>39</v>
      </c>
      <c r="D25" s="163"/>
      <c r="E25" s="163"/>
      <c r="F25" s="158" t="s">
        <v>3090</v>
      </c>
      <c r="G25" s="159"/>
      <c r="H25" s="159"/>
      <c r="I25" s="159"/>
      <c r="J25" s="160"/>
      <c r="K25" s="57">
        <v>10</v>
      </c>
      <c r="L25" s="157" t="s">
        <v>40</v>
      </c>
      <c r="M25" s="157"/>
      <c r="N25" s="164" t="str">
        <f>U25&amp;"-"&amp;V25</f>
        <v>100-120</v>
      </c>
      <c r="O25" s="156" t="s">
        <v>32</v>
      </c>
      <c r="P25" s="156"/>
      <c r="Q25" s="156"/>
      <c r="R25" s="157" t="s">
        <v>42</v>
      </c>
      <c r="S25" s="11"/>
      <c r="T25" s="72"/>
      <c r="U25" s="130">
        <v>100</v>
      </c>
      <c r="V25" s="130">
        <v>120</v>
      </c>
      <c r="W25" s="6" t="str">
        <f>C25</f>
        <v>TOP COAT COLOR</v>
      </c>
      <c r="X25" s="6" t="str">
        <f t="shared" si="0"/>
        <v>PSV-76000 SB HC MY VN</v>
      </c>
      <c r="Y25" s="6">
        <f t="shared" si="1"/>
        <v>10</v>
      </c>
      <c r="Z25" s="128" t="str">
        <f>O25</f>
        <v>WIPING</v>
      </c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  <c r="IN25" s="2"/>
      <c r="IO25" s="2"/>
      <c r="IP25" s="2"/>
      <c r="IQ25" s="2"/>
      <c r="IR25" s="2"/>
      <c r="IS25" s="2"/>
    </row>
    <row r="26" spans="1:253" ht="20" customHeight="1">
      <c r="A26" s="3"/>
      <c r="B26" s="167"/>
      <c r="C26" s="163"/>
      <c r="D26" s="163"/>
      <c r="E26" s="163"/>
      <c r="F26" s="158" t="s">
        <v>3090</v>
      </c>
      <c r="G26" s="159"/>
      <c r="H26" s="159"/>
      <c r="I26" s="159"/>
      <c r="J26" s="160"/>
      <c r="K26" s="57">
        <v>10</v>
      </c>
      <c r="L26" s="157"/>
      <c r="M26" s="157"/>
      <c r="N26" s="164"/>
      <c r="O26" s="156"/>
      <c r="P26" s="156"/>
      <c r="Q26" s="156"/>
      <c r="R26" s="157"/>
      <c r="S26" s="11"/>
      <c r="T26" s="72"/>
      <c r="U26" s="130"/>
      <c r="V26" s="130"/>
      <c r="X26" s="6" t="str">
        <f t="shared" si="0"/>
        <v>PSV-76000 SB HC MY VN</v>
      </c>
      <c r="Y26" s="6">
        <f t="shared" si="1"/>
        <v>10</v>
      </c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</row>
    <row r="27" spans="1:253" ht="20" customHeight="1">
      <c r="A27" s="3"/>
      <c r="B27" s="167"/>
      <c r="C27" s="163"/>
      <c r="D27" s="163"/>
      <c r="E27" s="163"/>
      <c r="F27" s="158" t="s">
        <v>3090</v>
      </c>
      <c r="G27" s="159"/>
      <c r="H27" s="159"/>
      <c r="I27" s="159"/>
      <c r="J27" s="160"/>
      <c r="K27" s="57">
        <v>60</v>
      </c>
      <c r="L27" s="157"/>
      <c r="M27" s="157"/>
      <c r="N27" s="164"/>
      <c r="O27" s="156"/>
      <c r="P27" s="156"/>
      <c r="Q27" s="156"/>
      <c r="R27" s="157"/>
      <c r="S27" s="11"/>
      <c r="T27" s="72"/>
      <c r="U27" s="130"/>
      <c r="V27" s="130"/>
      <c r="X27" s="6" t="str">
        <f t="shared" si="0"/>
        <v>PSV-76000 SB HC MY VN</v>
      </c>
      <c r="Y27" s="6">
        <f t="shared" si="1"/>
        <v>60</v>
      </c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</row>
    <row r="28" spans="1:253" ht="20" customHeight="1">
      <c r="A28" s="3"/>
      <c r="B28" s="167"/>
      <c r="C28" s="163"/>
      <c r="D28" s="163"/>
      <c r="E28" s="163"/>
      <c r="F28" s="161" t="s">
        <v>3231</v>
      </c>
      <c r="G28" s="161"/>
      <c r="H28" s="161"/>
      <c r="I28" s="161"/>
      <c r="J28" s="161"/>
      <c r="K28" s="57">
        <v>20</v>
      </c>
      <c r="L28" s="157"/>
      <c r="M28" s="157"/>
      <c r="N28" s="164"/>
      <c r="O28" s="156"/>
      <c r="P28" s="156"/>
      <c r="Q28" s="156"/>
      <c r="R28" s="157"/>
      <c r="S28" s="11"/>
      <c r="T28" s="72"/>
      <c r="U28" s="130"/>
      <c r="V28" s="130"/>
      <c r="X28" s="6" t="str">
        <f t="shared" si="0"/>
        <v>THPU-71306 01 KD VN</v>
      </c>
      <c r="Y28" s="6">
        <f t="shared" si="1"/>
        <v>20</v>
      </c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</row>
    <row r="29" spans="1:253" ht="20" customHeight="1">
      <c r="A29" s="3"/>
      <c r="B29" s="168"/>
      <c r="C29" s="163"/>
      <c r="D29" s="163"/>
      <c r="E29" s="163"/>
      <c r="F29" s="161" t="s">
        <v>3231</v>
      </c>
      <c r="G29" s="161"/>
      <c r="H29" s="161"/>
      <c r="I29" s="161"/>
      <c r="J29" s="161"/>
      <c r="K29" s="57">
        <v>20</v>
      </c>
      <c r="L29" s="157"/>
      <c r="M29" s="157"/>
      <c r="N29" s="164"/>
      <c r="O29" s="156"/>
      <c r="P29" s="156"/>
      <c r="Q29" s="156"/>
      <c r="R29" s="157"/>
      <c r="S29" s="11"/>
      <c r="T29" s="72"/>
      <c r="U29" s="130"/>
      <c r="V29" s="130"/>
      <c r="X29" s="6" t="str">
        <f t="shared" si="0"/>
        <v>THPU-71306 01 KD VN</v>
      </c>
      <c r="Y29" s="6">
        <f t="shared" si="1"/>
        <v>20</v>
      </c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</row>
    <row r="30" spans="1:253" ht="20" customHeight="1">
      <c r="A30" s="3"/>
      <c r="B30" s="88"/>
      <c r="C30" s="149" t="s">
        <v>29</v>
      </c>
      <c r="D30" s="149"/>
      <c r="E30" s="149"/>
      <c r="F30" s="150"/>
      <c r="G30" s="151"/>
      <c r="H30" s="151"/>
      <c r="I30" s="151"/>
      <c r="J30" s="151"/>
      <c r="K30" s="152"/>
      <c r="L30" s="153"/>
      <c r="M30" s="154"/>
      <c r="N30" s="87"/>
      <c r="O30" s="155" t="s">
        <v>38</v>
      </c>
      <c r="P30" s="155"/>
      <c r="Q30" s="155"/>
      <c r="R30" s="60"/>
      <c r="S30" s="11"/>
      <c r="T30" s="72"/>
      <c r="U30" s="130"/>
      <c r="V30" s="130"/>
      <c r="X30" s="6">
        <f t="shared" si="0"/>
        <v>0</v>
      </c>
      <c r="Y30" s="6">
        <f t="shared" si="1"/>
        <v>0</v>
      </c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  <c r="IN30" s="2"/>
      <c r="IO30" s="2"/>
      <c r="IP30" s="2"/>
      <c r="IQ30" s="2"/>
      <c r="IR30" s="2"/>
      <c r="IS30" s="2"/>
    </row>
    <row r="31" spans="1:253" ht="20" customHeight="1">
      <c r="A31" s="3"/>
      <c r="B31" s="162">
        <v>4</v>
      </c>
      <c r="C31" s="163" t="s">
        <v>39</v>
      </c>
      <c r="D31" s="163"/>
      <c r="E31" s="163"/>
      <c r="F31" s="158" t="s">
        <v>3090</v>
      </c>
      <c r="G31" s="159"/>
      <c r="H31" s="159"/>
      <c r="I31" s="159"/>
      <c r="J31" s="160"/>
      <c r="K31" s="57">
        <v>10</v>
      </c>
      <c r="L31" s="157" t="s">
        <v>40</v>
      </c>
      <c r="M31" s="157"/>
      <c r="N31" s="165" t="s">
        <v>41</v>
      </c>
      <c r="O31" s="156" t="s">
        <v>36</v>
      </c>
      <c r="P31" s="156"/>
      <c r="Q31" s="156"/>
      <c r="R31" s="157" t="s">
        <v>42</v>
      </c>
      <c r="S31" s="11"/>
      <c r="T31" s="72"/>
      <c r="U31" s="130">
        <v>100</v>
      </c>
      <c r="V31" s="130">
        <v>120</v>
      </c>
      <c r="W31" s="6" t="str">
        <f>C31</f>
        <v>TOP COAT COLOR</v>
      </c>
      <c r="X31" s="6" t="str">
        <f t="shared" si="0"/>
        <v>PSV-76000 SB HC MY VN</v>
      </c>
      <c r="Y31" s="6">
        <f t="shared" si="1"/>
        <v>10</v>
      </c>
      <c r="Z31" s="128" t="str">
        <f>O31</f>
        <v>SPRAY</v>
      </c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</row>
    <row r="32" spans="1:253" ht="20" customHeight="1">
      <c r="A32" s="3"/>
      <c r="B32" s="162"/>
      <c r="C32" s="163"/>
      <c r="D32" s="163"/>
      <c r="E32" s="163"/>
      <c r="F32" s="158" t="s">
        <v>3090</v>
      </c>
      <c r="G32" s="159"/>
      <c r="H32" s="159"/>
      <c r="I32" s="159"/>
      <c r="J32" s="160"/>
      <c r="K32" s="57">
        <v>10</v>
      </c>
      <c r="L32" s="157"/>
      <c r="M32" s="157"/>
      <c r="N32" s="165"/>
      <c r="O32" s="156"/>
      <c r="P32" s="156"/>
      <c r="Q32" s="156"/>
      <c r="R32" s="157"/>
      <c r="S32" s="11"/>
      <c r="T32" s="72"/>
      <c r="U32" s="130"/>
      <c r="V32" s="130"/>
      <c r="X32" s="6" t="str">
        <f t="shared" si="0"/>
        <v>PSV-76000 SB HC MY VN</v>
      </c>
      <c r="Y32" s="6">
        <f t="shared" si="1"/>
        <v>10</v>
      </c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  <c r="IS32" s="2"/>
    </row>
    <row r="33" spans="1:253" ht="20" customHeight="1">
      <c r="A33" s="3"/>
      <c r="B33" s="162"/>
      <c r="C33" s="163"/>
      <c r="D33" s="163"/>
      <c r="E33" s="163"/>
      <c r="F33" s="158" t="s">
        <v>3090</v>
      </c>
      <c r="G33" s="159"/>
      <c r="H33" s="159"/>
      <c r="I33" s="159"/>
      <c r="J33" s="160"/>
      <c r="K33" s="57">
        <v>60</v>
      </c>
      <c r="L33" s="157"/>
      <c r="M33" s="157"/>
      <c r="N33" s="165"/>
      <c r="O33" s="156"/>
      <c r="P33" s="156"/>
      <c r="Q33" s="156"/>
      <c r="R33" s="157"/>
      <c r="S33" s="11"/>
      <c r="T33" s="72"/>
      <c r="U33" s="130"/>
      <c r="V33" s="130"/>
      <c r="X33" s="6" t="str">
        <f t="shared" si="0"/>
        <v>PSV-76000 SB HC MY VN</v>
      </c>
      <c r="Y33" s="6">
        <f t="shared" si="1"/>
        <v>60</v>
      </c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</row>
    <row r="34" spans="1:253" ht="20" customHeight="1">
      <c r="A34" s="3"/>
      <c r="B34" s="162"/>
      <c r="C34" s="163"/>
      <c r="D34" s="163"/>
      <c r="E34" s="163"/>
      <c r="F34" s="161" t="s">
        <v>3231</v>
      </c>
      <c r="G34" s="161"/>
      <c r="H34" s="161"/>
      <c r="I34" s="161"/>
      <c r="J34" s="161"/>
      <c r="K34" s="57">
        <v>20</v>
      </c>
      <c r="L34" s="157"/>
      <c r="M34" s="157"/>
      <c r="N34" s="165"/>
      <c r="O34" s="156"/>
      <c r="P34" s="156"/>
      <c r="Q34" s="156"/>
      <c r="R34" s="157"/>
      <c r="S34" s="11"/>
      <c r="T34" s="72"/>
      <c r="U34" s="130"/>
      <c r="V34" s="130"/>
      <c r="X34" s="6" t="str">
        <f t="shared" si="0"/>
        <v>THPU-71306 01 KD VN</v>
      </c>
      <c r="Y34" s="6">
        <f t="shared" si="1"/>
        <v>20</v>
      </c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</row>
    <row r="35" spans="1:253" ht="20" customHeight="1">
      <c r="A35" s="3"/>
      <c r="B35" s="162"/>
      <c r="C35" s="163"/>
      <c r="D35" s="163"/>
      <c r="E35" s="163"/>
      <c r="F35" s="161" t="s">
        <v>3231</v>
      </c>
      <c r="G35" s="161"/>
      <c r="H35" s="161"/>
      <c r="I35" s="161"/>
      <c r="J35" s="161"/>
      <c r="K35" s="57">
        <v>20</v>
      </c>
      <c r="L35" s="157"/>
      <c r="M35" s="157"/>
      <c r="N35" s="165"/>
      <c r="O35" s="156"/>
      <c r="P35" s="156"/>
      <c r="Q35" s="156"/>
      <c r="R35" s="157"/>
      <c r="S35" s="11"/>
      <c r="T35" s="72"/>
      <c r="U35" s="130"/>
      <c r="V35" s="130"/>
      <c r="X35" s="6" t="str">
        <f t="shared" si="0"/>
        <v>THPU-71306 01 KD VN</v>
      </c>
      <c r="Y35" s="6">
        <f t="shared" si="1"/>
        <v>20</v>
      </c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</row>
    <row r="36" spans="1:253" ht="20" customHeight="1">
      <c r="A36" s="3"/>
      <c r="B36" s="88"/>
      <c r="C36" s="149" t="s">
        <v>29</v>
      </c>
      <c r="D36" s="149"/>
      <c r="E36" s="149"/>
      <c r="F36" s="150"/>
      <c r="G36" s="151"/>
      <c r="H36" s="151"/>
      <c r="I36" s="151"/>
      <c r="J36" s="151"/>
      <c r="K36" s="152"/>
      <c r="L36" s="153"/>
      <c r="M36" s="154"/>
      <c r="N36" s="87"/>
      <c r="O36" s="155" t="s">
        <v>38</v>
      </c>
      <c r="P36" s="155"/>
      <c r="Q36" s="155"/>
      <c r="R36" s="60"/>
      <c r="S36" s="11"/>
      <c r="T36" s="72"/>
      <c r="U36" s="130"/>
      <c r="V36" s="130"/>
      <c r="X36" s="6">
        <f t="shared" si="0"/>
        <v>0</v>
      </c>
      <c r="Y36" s="6">
        <f t="shared" si="1"/>
        <v>0</v>
      </c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  <c r="IQ36" s="2"/>
      <c r="IR36" s="2"/>
      <c r="IS36" s="2"/>
    </row>
    <row r="37" spans="1:253" ht="20" customHeight="1">
      <c r="A37" s="3"/>
      <c r="B37" s="162">
        <v>5</v>
      </c>
      <c r="C37" s="163" t="s">
        <v>39</v>
      </c>
      <c r="D37" s="163"/>
      <c r="E37" s="163"/>
      <c r="F37" s="158" t="s">
        <v>3090</v>
      </c>
      <c r="G37" s="159"/>
      <c r="H37" s="159"/>
      <c r="I37" s="159"/>
      <c r="J37" s="160"/>
      <c r="K37" s="57">
        <v>10</v>
      </c>
      <c r="L37" s="157" t="s">
        <v>40</v>
      </c>
      <c r="M37" s="157"/>
      <c r="N37" s="164" t="str">
        <f>U37&amp;"-"&amp;V37</f>
        <v>100-120</v>
      </c>
      <c r="O37" s="156" t="s">
        <v>32</v>
      </c>
      <c r="P37" s="156"/>
      <c r="Q37" s="156"/>
      <c r="R37" s="157" t="s">
        <v>42</v>
      </c>
      <c r="S37" s="11"/>
      <c r="T37" s="72"/>
      <c r="U37" s="130">
        <v>100</v>
      </c>
      <c r="V37" s="130">
        <v>120</v>
      </c>
      <c r="W37" s="6" t="str">
        <f>C37</f>
        <v>TOP COAT COLOR</v>
      </c>
      <c r="X37" s="6" t="str">
        <f t="shared" si="0"/>
        <v>PSV-76000 SB HC MY VN</v>
      </c>
      <c r="Y37" s="6">
        <f t="shared" si="1"/>
        <v>10</v>
      </c>
      <c r="Z37" s="128" t="str">
        <f>O37</f>
        <v>WIPING</v>
      </c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/>
    </row>
    <row r="38" spans="1:253" ht="20" customHeight="1">
      <c r="A38" s="3"/>
      <c r="B38" s="162"/>
      <c r="C38" s="163"/>
      <c r="D38" s="163"/>
      <c r="E38" s="163"/>
      <c r="F38" s="158" t="s">
        <v>3090</v>
      </c>
      <c r="G38" s="159"/>
      <c r="H38" s="159"/>
      <c r="I38" s="159"/>
      <c r="J38" s="160"/>
      <c r="K38" s="57">
        <v>10</v>
      </c>
      <c r="L38" s="157"/>
      <c r="M38" s="157"/>
      <c r="N38" s="164"/>
      <c r="O38" s="156"/>
      <c r="P38" s="156"/>
      <c r="Q38" s="156"/>
      <c r="R38" s="157"/>
      <c r="S38" s="11"/>
      <c r="T38" s="72"/>
      <c r="U38" s="130"/>
      <c r="V38" s="130"/>
      <c r="X38" s="6" t="str">
        <f t="shared" si="0"/>
        <v>PSV-76000 SB HC MY VN</v>
      </c>
      <c r="Y38" s="6">
        <f t="shared" si="1"/>
        <v>10</v>
      </c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</row>
    <row r="39" spans="1:253" ht="20" customHeight="1">
      <c r="A39" s="3"/>
      <c r="B39" s="162"/>
      <c r="C39" s="163"/>
      <c r="D39" s="163"/>
      <c r="E39" s="163"/>
      <c r="F39" s="158" t="s">
        <v>3090</v>
      </c>
      <c r="G39" s="159"/>
      <c r="H39" s="159"/>
      <c r="I39" s="159"/>
      <c r="J39" s="160"/>
      <c r="K39" s="57">
        <v>60</v>
      </c>
      <c r="L39" s="157"/>
      <c r="M39" s="157"/>
      <c r="N39" s="164"/>
      <c r="O39" s="156"/>
      <c r="P39" s="156"/>
      <c r="Q39" s="156"/>
      <c r="R39" s="157"/>
      <c r="S39" s="11"/>
      <c r="T39" s="72"/>
      <c r="U39" s="130"/>
      <c r="V39" s="130"/>
      <c r="X39" s="6" t="str">
        <f t="shared" si="0"/>
        <v>PSV-76000 SB HC MY VN</v>
      </c>
      <c r="Y39" s="6">
        <f t="shared" si="1"/>
        <v>60</v>
      </c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</row>
    <row r="40" spans="1:253" ht="20" customHeight="1">
      <c r="A40" s="3"/>
      <c r="B40" s="162"/>
      <c r="C40" s="163"/>
      <c r="D40" s="163"/>
      <c r="E40" s="163"/>
      <c r="F40" s="161" t="s">
        <v>3231</v>
      </c>
      <c r="G40" s="161"/>
      <c r="H40" s="161"/>
      <c r="I40" s="161"/>
      <c r="J40" s="161"/>
      <c r="K40" s="57">
        <v>20</v>
      </c>
      <c r="L40" s="157"/>
      <c r="M40" s="157"/>
      <c r="N40" s="164"/>
      <c r="O40" s="156"/>
      <c r="P40" s="156"/>
      <c r="Q40" s="156"/>
      <c r="R40" s="157"/>
      <c r="S40" s="11"/>
      <c r="T40" s="72"/>
      <c r="U40" s="130"/>
      <c r="V40" s="130"/>
      <c r="X40" s="6" t="str">
        <f t="shared" si="0"/>
        <v>THPU-71306 01 KD VN</v>
      </c>
      <c r="Y40" s="6">
        <f t="shared" si="1"/>
        <v>20</v>
      </c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</row>
    <row r="41" spans="1:253" ht="20" customHeight="1">
      <c r="A41" s="3"/>
      <c r="B41" s="162"/>
      <c r="C41" s="163"/>
      <c r="D41" s="163"/>
      <c r="E41" s="163"/>
      <c r="F41" s="161" t="s">
        <v>3231</v>
      </c>
      <c r="G41" s="161"/>
      <c r="H41" s="161"/>
      <c r="I41" s="161"/>
      <c r="J41" s="161"/>
      <c r="K41" s="57">
        <v>20</v>
      </c>
      <c r="L41" s="157"/>
      <c r="M41" s="157"/>
      <c r="N41" s="164"/>
      <c r="O41" s="156"/>
      <c r="P41" s="156"/>
      <c r="Q41" s="156"/>
      <c r="R41" s="157"/>
      <c r="S41" s="11"/>
      <c r="T41" s="72"/>
      <c r="U41" s="130"/>
      <c r="V41" s="130"/>
      <c r="X41" s="6" t="str">
        <f t="shared" si="0"/>
        <v>THPU-71306 01 KD VN</v>
      </c>
      <c r="Y41" s="6">
        <f t="shared" si="1"/>
        <v>20</v>
      </c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</row>
    <row r="42" spans="1:253" ht="20" customHeight="1">
      <c r="A42" s="3"/>
      <c r="B42" s="88"/>
      <c r="C42" s="149" t="s">
        <v>29</v>
      </c>
      <c r="D42" s="149"/>
      <c r="E42" s="149"/>
      <c r="F42" s="150"/>
      <c r="G42" s="151"/>
      <c r="H42" s="151"/>
      <c r="I42" s="151"/>
      <c r="J42" s="151"/>
      <c r="K42" s="152"/>
      <c r="L42" s="153"/>
      <c r="M42" s="154"/>
      <c r="N42" s="87"/>
      <c r="O42" s="155" t="s">
        <v>38</v>
      </c>
      <c r="P42" s="155"/>
      <c r="Q42" s="155"/>
      <c r="R42" s="60"/>
      <c r="S42" s="11"/>
      <c r="T42" s="72"/>
      <c r="U42" s="130"/>
      <c r="V42" s="130"/>
      <c r="X42" s="6">
        <f t="shared" si="0"/>
        <v>0</v>
      </c>
      <c r="Y42" s="6">
        <f t="shared" si="1"/>
        <v>0</v>
      </c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</row>
    <row r="43" spans="1:253" ht="20" customHeight="1">
      <c r="A43" s="3"/>
      <c r="B43" s="162">
        <v>6</v>
      </c>
      <c r="C43" s="163" t="s">
        <v>56</v>
      </c>
      <c r="D43" s="163"/>
      <c r="E43" s="163"/>
      <c r="F43" s="158" t="s">
        <v>3090</v>
      </c>
      <c r="G43" s="159"/>
      <c r="H43" s="159"/>
      <c r="I43" s="159"/>
      <c r="J43" s="160"/>
      <c r="K43" s="57">
        <v>10</v>
      </c>
      <c r="L43" s="157" t="s">
        <v>40</v>
      </c>
      <c r="M43" s="157"/>
      <c r="N43" s="164" t="str">
        <f>U43&amp;"-"&amp;V43</f>
        <v>100-120</v>
      </c>
      <c r="O43" s="156" t="s">
        <v>36</v>
      </c>
      <c r="P43" s="156"/>
      <c r="Q43" s="156"/>
      <c r="R43" s="157" t="s">
        <v>42</v>
      </c>
      <c r="S43" s="11"/>
      <c r="T43" s="72"/>
      <c r="U43" s="130">
        <v>100</v>
      </c>
      <c r="V43" s="130">
        <v>120</v>
      </c>
      <c r="W43" s="6" t="str">
        <f>C43</f>
        <v xml:space="preserve">STAIN + EQUALIZER/ STAIN + SỬA GỖ </v>
      </c>
      <c r="X43" s="6" t="str">
        <f t="shared" si="0"/>
        <v>PSV-76000 SB HC MY VN</v>
      </c>
      <c r="Y43" s="6">
        <f t="shared" si="1"/>
        <v>10</v>
      </c>
      <c r="Z43" s="128" t="str">
        <f>O43</f>
        <v>SPRAY</v>
      </c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</row>
    <row r="44" spans="1:253" ht="20" customHeight="1">
      <c r="A44" s="3"/>
      <c r="B44" s="162"/>
      <c r="C44" s="163"/>
      <c r="D44" s="163"/>
      <c r="E44" s="163"/>
      <c r="F44" s="158" t="s">
        <v>3090</v>
      </c>
      <c r="G44" s="159"/>
      <c r="H44" s="159"/>
      <c r="I44" s="159"/>
      <c r="J44" s="160"/>
      <c r="K44" s="57">
        <v>10</v>
      </c>
      <c r="L44" s="157"/>
      <c r="M44" s="157"/>
      <c r="N44" s="164"/>
      <c r="O44" s="156"/>
      <c r="P44" s="156"/>
      <c r="Q44" s="156"/>
      <c r="R44" s="157"/>
      <c r="S44" s="11"/>
      <c r="T44" s="72"/>
      <c r="U44" s="130"/>
      <c r="V44" s="130"/>
      <c r="X44" s="6" t="str">
        <f t="shared" si="0"/>
        <v>PSV-76000 SB HC MY VN</v>
      </c>
      <c r="Y44" s="6">
        <f t="shared" si="1"/>
        <v>10</v>
      </c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</row>
    <row r="45" spans="1:253" ht="20" customHeight="1">
      <c r="A45" s="3"/>
      <c r="B45" s="162"/>
      <c r="C45" s="163"/>
      <c r="D45" s="163"/>
      <c r="E45" s="163"/>
      <c r="F45" s="158" t="s">
        <v>3090</v>
      </c>
      <c r="G45" s="159"/>
      <c r="H45" s="159"/>
      <c r="I45" s="159"/>
      <c r="J45" s="160"/>
      <c r="K45" s="57">
        <v>60</v>
      </c>
      <c r="L45" s="157"/>
      <c r="M45" s="157"/>
      <c r="N45" s="164"/>
      <c r="O45" s="156"/>
      <c r="P45" s="156"/>
      <c r="Q45" s="156"/>
      <c r="R45" s="157"/>
      <c r="S45" s="11"/>
      <c r="T45" s="72"/>
      <c r="U45" s="130"/>
      <c r="V45" s="130"/>
      <c r="X45" s="6" t="str">
        <f t="shared" si="0"/>
        <v>PSV-76000 SB HC MY VN</v>
      </c>
      <c r="Y45" s="6">
        <f t="shared" si="1"/>
        <v>60</v>
      </c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</row>
    <row r="46" spans="1:253" ht="20" customHeight="1">
      <c r="A46" s="3"/>
      <c r="B46" s="162"/>
      <c r="C46" s="163"/>
      <c r="D46" s="163"/>
      <c r="E46" s="163"/>
      <c r="F46" s="161" t="s">
        <v>3231</v>
      </c>
      <c r="G46" s="161"/>
      <c r="H46" s="161"/>
      <c r="I46" s="161"/>
      <c r="J46" s="161"/>
      <c r="K46" s="57">
        <v>20</v>
      </c>
      <c r="L46" s="157"/>
      <c r="M46" s="157"/>
      <c r="N46" s="164"/>
      <c r="O46" s="156"/>
      <c r="P46" s="156"/>
      <c r="Q46" s="156"/>
      <c r="R46" s="157"/>
      <c r="S46" s="11"/>
      <c r="T46" s="72"/>
      <c r="U46" s="130"/>
      <c r="V46" s="130"/>
      <c r="X46" s="6" t="str">
        <f t="shared" si="0"/>
        <v>THPU-71306 01 KD VN</v>
      </c>
      <c r="Y46" s="6">
        <f t="shared" si="1"/>
        <v>20</v>
      </c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</row>
    <row r="47" spans="1:253" ht="20" customHeight="1">
      <c r="A47" s="3"/>
      <c r="B47" s="162"/>
      <c r="C47" s="163"/>
      <c r="D47" s="163"/>
      <c r="E47" s="163"/>
      <c r="F47" s="161" t="s">
        <v>3231</v>
      </c>
      <c r="G47" s="161"/>
      <c r="H47" s="161"/>
      <c r="I47" s="161"/>
      <c r="J47" s="161"/>
      <c r="K47" s="57">
        <v>20</v>
      </c>
      <c r="L47" s="157"/>
      <c r="M47" s="157"/>
      <c r="N47" s="164"/>
      <c r="O47" s="156"/>
      <c r="P47" s="156"/>
      <c r="Q47" s="156"/>
      <c r="R47" s="157"/>
      <c r="S47" s="11"/>
      <c r="T47" s="72"/>
      <c r="U47" s="130"/>
      <c r="V47" s="130"/>
      <c r="X47" s="6" t="str">
        <f t="shared" si="0"/>
        <v>THPU-71306 01 KD VN</v>
      </c>
      <c r="Y47" s="6">
        <f t="shared" si="1"/>
        <v>20</v>
      </c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</row>
    <row r="48" spans="1:253" ht="20" customHeight="1">
      <c r="A48" s="3"/>
      <c r="B48" s="88"/>
      <c r="C48" s="149" t="s">
        <v>29</v>
      </c>
      <c r="D48" s="149"/>
      <c r="E48" s="149"/>
      <c r="F48" s="150"/>
      <c r="G48" s="151"/>
      <c r="H48" s="151"/>
      <c r="I48" s="151"/>
      <c r="J48" s="151"/>
      <c r="K48" s="152"/>
      <c r="L48" s="153"/>
      <c r="M48" s="154"/>
      <c r="N48" s="87"/>
      <c r="O48" s="155" t="s">
        <v>38</v>
      </c>
      <c r="P48" s="155"/>
      <c r="Q48" s="155"/>
      <c r="R48" s="60"/>
      <c r="S48" s="11"/>
      <c r="T48" s="72"/>
      <c r="U48" s="130"/>
      <c r="V48" s="130"/>
      <c r="X48" s="6">
        <f t="shared" si="0"/>
        <v>0</v>
      </c>
      <c r="Y48" s="6">
        <f t="shared" si="1"/>
        <v>0</v>
      </c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</row>
    <row r="49" spans="1:253" ht="20" customHeight="1">
      <c r="A49" s="3"/>
      <c r="B49" s="162">
        <v>7</v>
      </c>
      <c r="C49" s="163" t="s">
        <v>39</v>
      </c>
      <c r="D49" s="163"/>
      <c r="E49" s="163"/>
      <c r="F49" s="158" t="s">
        <v>3090</v>
      </c>
      <c r="G49" s="159"/>
      <c r="H49" s="159"/>
      <c r="I49" s="159"/>
      <c r="J49" s="160"/>
      <c r="K49" s="57">
        <v>10</v>
      </c>
      <c r="L49" s="157" t="s">
        <v>40</v>
      </c>
      <c r="M49" s="157"/>
      <c r="N49" s="164" t="str">
        <f>U49&amp;"-"&amp;V49</f>
        <v>100-120</v>
      </c>
      <c r="O49" s="156" t="s">
        <v>32</v>
      </c>
      <c r="P49" s="156"/>
      <c r="Q49" s="156"/>
      <c r="R49" s="157" t="s">
        <v>42</v>
      </c>
      <c r="S49" s="11"/>
      <c r="T49" s="72"/>
      <c r="U49" s="130">
        <v>100</v>
      </c>
      <c r="V49" s="130">
        <v>120</v>
      </c>
      <c r="W49" s="6" t="str">
        <f>C49</f>
        <v>TOP COAT COLOR</v>
      </c>
      <c r="X49" s="6" t="str">
        <f t="shared" si="0"/>
        <v>PSV-76000 SB HC MY VN</v>
      </c>
      <c r="Y49" s="6">
        <f t="shared" si="1"/>
        <v>10</v>
      </c>
      <c r="Z49" s="128" t="str">
        <f>O49</f>
        <v>WIPING</v>
      </c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  <c r="IS49" s="2"/>
    </row>
    <row r="50" spans="1:253" ht="20" customHeight="1">
      <c r="A50" s="3"/>
      <c r="B50" s="162"/>
      <c r="C50" s="163"/>
      <c r="D50" s="163"/>
      <c r="E50" s="163"/>
      <c r="F50" s="158" t="s">
        <v>3090</v>
      </c>
      <c r="G50" s="159"/>
      <c r="H50" s="159"/>
      <c r="I50" s="159"/>
      <c r="J50" s="160"/>
      <c r="K50" s="57">
        <v>10</v>
      </c>
      <c r="L50" s="157"/>
      <c r="M50" s="157"/>
      <c r="N50" s="164"/>
      <c r="O50" s="156"/>
      <c r="P50" s="156"/>
      <c r="Q50" s="156"/>
      <c r="R50" s="157"/>
      <c r="S50" s="11"/>
      <c r="T50" s="72"/>
      <c r="U50" s="130"/>
      <c r="V50" s="130"/>
      <c r="X50" s="6" t="str">
        <f t="shared" si="0"/>
        <v>PSV-76000 SB HC MY VN</v>
      </c>
      <c r="Y50" s="6">
        <f t="shared" si="1"/>
        <v>10</v>
      </c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2"/>
      <c r="IQ50" s="2"/>
      <c r="IR50" s="2"/>
      <c r="IS50" s="2"/>
    </row>
    <row r="51" spans="1:253" ht="20" customHeight="1">
      <c r="A51" s="3"/>
      <c r="B51" s="162"/>
      <c r="C51" s="163"/>
      <c r="D51" s="163"/>
      <c r="E51" s="163"/>
      <c r="F51" s="158" t="s">
        <v>3090</v>
      </c>
      <c r="G51" s="159"/>
      <c r="H51" s="159"/>
      <c r="I51" s="159"/>
      <c r="J51" s="160"/>
      <c r="K51" s="57">
        <v>60</v>
      </c>
      <c r="L51" s="157"/>
      <c r="M51" s="157"/>
      <c r="N51" s="164"/>
      <c r="O51" s="156"/>
      <c r="P51" s="156"/>
      <c r="Q51" s="156"/>
      <c r="R51" s="157"/>
      <c r="S51" s="11"/>
      <c r="T51" s="72"/>
      <c r="U51" s="130"/>
      <c r="V51" s="130"/>
      <c r="X51" s="6" t="str">
        <f t="shared" si="0"/>
        <v>PSV-76000 SB HC MY VN</v>
      </c>
      <c r="Y51" s="6">
        <f t="shared" si="1"/>
        <v>60</v>
      </c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  <c r="IN51" s="2"/>
      <c r="IO51" s="2"/>
      <c r="IP51" s="2"/>
      <c r="IQ51" s="2"/>
      <c r="IR51" s="2"/>
      <c r="IS51" s="2"/>
    </row>
    <row r="52" spans="1:253" ht="20" customHeight="1">
      <c r="A52" s="3"/>
      <c r="B52" s="162"/>
      <c r="C52" s="163"/>
      <c r="D52" s="163"/>
      <c r="E52" s="163"/>
      <c r="F52" s="161" t="s">
        <v>3231</v>
      </c>
      <c r="G52" s="161"/>
      <c r="H52" s="161"/>
      <c r="I52" s="161"/>
      <c r="J52" s="161"/>
      <c r="K52" s="57">
        <v>20</v>
      </c>
      <c r="L52" s="157"/>
      <c r="M52" s="157"/>
      <c r="N52" s="164"/>
      <c r="O52" s="156"/>
      <c r="P52" s="156"/>
      <c r="Q52" s="156"/>
      <c r="R52" s="157"/>
      <c r="S52" s="11"/>
      <c r="T52" s="72"/>
      <c r="U52" s="130"/>
      <c r="V52" s="130"/>
      <c r="X52" s="6" t="str">
        <f t="shared" si="0"/>
        <v>THPU-71306 01 KD VN</v>
      </c>
      <c r="Y52" s="6">
        <f t="shared" si="1"/>
        <v>20</v>
      </c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  <c r="IN52" s="2"/>
      <c r="IO52" s="2"/>
      <c r="IP52" s="2"/>
      <c r="IQ52" s="2"/>
      <c r="IR52" s="2"/>
      <c r="IS52" s="2"/>
    </row>
    <row r="53" spans="1:253" ht="20" customHeight="1">
      <c r="A53" s="3"/>
      <c r="B53" s="162"/>
      <c r="C53" s="163"/>
      <c r="D53" s="163"/>
      <c r="E53" s="163"/>
      <c r="F53" s="161" t="s">
        <v>3231</v>
      </c>
      <c r="G53" s="161"/>
      <c r="H53" s="161"/>
      <c r="I53" s="161"/>
      <c r="J53" s="161"/>
      <c r="K53" s="57">
        <v>20</v>
      </c>
      <c r="L53" s="157"/>
      <c r="M53" s="157"/>
      <c r="N53" s="164"/>
      <c r="O53" s="156"/>
      <c r="P53" s="156"/>
      <c r="Q53" s="156"/>
      <c r="R53" s="157"/>
      <c r="S53" s="11"/>
      <c r="T53" s="72"/>
      <c r="U53" s="130"/>
      <c r="V53" s="130"/>
      <c r="X53" s="6" t="str">
        <f t="shared" si="0"/>
        <v>THPU-71306 01 KD VN</v>
      </c>
      <c r="Y53" s="6">
        <f t="shared" si="1"/>
        <v>20</v>
      </c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  <c r="IR53" s="2"/>
      <c r="IS53" s="2"/>
    </row>
    <row r="54" spans="1:253" ht="20" customHeight="1">
      <c r="A54" s="3"/>
      <c r="B54" s="88"/>
      <c r="C54" s="149" t="s">
        <v>29</v>
      </c>
      <c r="D54" s="149"/>
      <c r="E54" s="149"/>
      <c r="F54" s="150"/>
      <c r="G54" s="151"/>
      <c r="H54" s="151"/>
      <c r="I54" s="151"/>
      <c r="J54" s="151"/>
      <c r="K54" s="152"/>
      <c r="L54" s="153"/>
      <c r="M54" s="154"/>
      <c r="N54" s="87"/>
      <c r="O54" s="155" t="s">
        <v>38</v>
      </c>
      <c r="P54" s="155"/>
      <c r="Q54" s="155"/>
      <c r="R54" s="60"/>
      <c r="S54" s="11"/>
      <c r="T54" s="72"/>
      <c r="U54" s="130"/>
      <c r="V54" s="130"/>
      <c r="X54" s="6">
        <f t="shared" si="0"/>
        <v>0</v>
      </c>
      <c r="Y54" s="6">
        <f t="shared" si="1"/>
        <v>0</v>
      </c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  <c r="IL54" s="2"/>
      <c r="IM54" s="2"/>
      <c r="IN54" s="2"/>
      <c r="IO54" s="2"/>
      <c r="IP54" s="2"/>
      <c r="IQ54" s="2"/>
      <c r="IR54" s="2"/>
      <c r="IS54" s="2"/>
    </row>
    <row r="55" spans="1:253" ht="20" customHeight="1">
      <c r="A55" s="3"/>
      <c r="B55" s="162">
        <v>8</v>
      </c>
      <c r="C55" s="163" t="s">
        <v>58</v>
      </c>
      <c r="D55" s="163"/>
      <c r="E55" s="163"/>
      <c r="F55" s="158" t="s">
        <v>3090</v>
      </c>
      <c r="G55" s="159"/>
      <c r="H55" s="159"/>
      <c r="I55" s="159"/>
      <c r="J55" s="160"/>
      <c r="K55" s="57">
        <v>10</v>
      </c>
      <c r="L55" s="157" t="s">
        <v>40</v>
      </c>
      <c r="M55" s="157"/>
      <c r="N55" s="164" t="str">
        <f>U55&amp;"-"&amp;V55</f>
        <v>100-120</v>
      </c>
      <c r="O55" s="156" t="s">
        <v>36</v>
      </c>
      <c r="P55" s="156"/>
      <c r="Q55" s="156"/>
      <c r="R55" s="157" t="s">
        <v>42</v>
      </c>
      <c r="S55" s="11"/>
      <c r="T55" s="72"/>
      <c r="U55" s="130">
        <v>100</v>
      </c>
      <c r="V55" s="130">
        <v>120</v>
      </c>
      <c r="W55" s="6" t="str">
        <f>C55</f>
        <v>GLAZE</v>
      </c>
      <c r="X55" s="6" t="str">
        <f t="shared" si="0"/>
        <v>PSV-76000 SB HC MY VN</v>
      </c>
      <c r="Y55" s="6">
        <f t="shared" si="1"/>
        <v>10</v>
      </c>
      <c r="Z55" s="128" t="str">
        <f>O55</f>
        <v>SPRAY</v>
      </c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  <c r="IL55" s="2"/>
      <c r="IM55" s="2"/>
      <c r="IN55" s="2"/>
      <c r="IO55" s="2"/>
      <c r="IP55" s="2"/>
      <c r="IQ55" s="2"/>
      <c r="IR55" s="2"/>
      <c r="IS55" s="2"/>
    </row>
    <row r="56" spans="1:253" ht="20" customHeight="1">
      <c r="A56" s="3"/>
      <c r="B56" s="162"/>
      <c r="C56" s="163"/>
      <c r="D56" s="163"/>
      <c r="E56" s="163"/>
      <c r="F56" s="158" t="s">
        <v>3090</v>
      </c>
      <c r="G56" s="159"/>
      <c r="H56" s="159"/>
      <c r="I56" s="159"/>
      <c r="J56" s="160"/>
      <c r="K56" s="57">
        <v>10</v>
      </c>
      <c r="L56" s="157"/>
      <c r="M56" s="157"/>
      <c r="N56" s="164"/>
      <c r="O56" s="156"/>
      <c r="P56" s="156"/>
      <c r="Q56" s="156"/>
      <c r="R56" s="157"/>
      <c r="S56" s="11"/>
      <c r="T56" s="72"/>
      <c r="U56" s="130"/>
      <c r="V56" s="130"/>
      <c r="X56" s="6" t="str">
        <f t="shared" si="0"/>
        <v>PSV-76000 SB HC MY VN</v>
      </c>
      <c r="Y56" s="6">
        <f t="shared" si="1"/>
        <v>10</v>
      </c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  <c r="IR56" s="2"/>
      <c r="IS56" s="2"/>
    </row>
    <row r="57" spans="1:253" ht="20" customHeight="1">
      <c r="A57" s="3"/>
      <c r="B57" s="162"/>
      <c r="C57" s="163"/>
      <c r="D57" s="163"/>
      <c r="E57" s="163"/>
      <c r="F57" s="158" t="s">
        <v>3090</v>
      </c>
      <c r="G57" s="159"/>
      <c r="H57" s="159"/>
      <c r="I57" s="159"/>
      <c r="J57" s="160"/>
      <c r="K57" s="57">
        <v>60</v>
      </c>
      <c r="L57" s="157"/>
      <c r="M57" s="157"/>
      <c r="N57" s="164"/>
      <c r="O57" s="156"/>
      <c r="P57" s="156"/>
      <c r="Q57" s="156"/>
      <c r="R57" s="157"/>
      <c r="S57" s="11"/>
      <c r="T57" s="72"/>
      <c r="U57" s="130"/>
      <c r="V57" s="130"/>
      <c r="X57" s="6" t="str">
        <f t="shared" si="0"/>
        <v>PSV-76000 SB HC MY VN</v>
      </c>
      <c r="Y57" s="6">
        <f t="shared" si="1"/>
        <v>60</v>
      </c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</row>
    <row r="58" spans="1:253" ht="20" customHeight="1">
      <c r="A58" s="3"/>
      <c r="B58" s="162"/>
      <c r="C58" s="163"/>
      <c r="D58" s="163"/>
      <c r="E58" s="163"/>
      <c r="F58" s="161" t="s">
        <v>3231</v>
      </c>
      <c r="G58" s="161"/>
      <c r="H58" s="161"/>
      <c r="I58" s="161"/>
      <c r="J58" s="161"/>
      <c r="K58" s="57">
        <v>20</v>
      </c>
      <c r="L58" s="157"/>
      <c r="M58" s="157"/>
      <c r="N58" s="164"/>
      <c r="O58" s="156"/>
      <c r="P58" s="156"/>
      <c r="Q58" s="156"/>
      <c r="R58" s="157"/>
      <c r="S58" s="11"/>
      <c r="T58" s="72"/>
      <c r="U58" s="130"/>
      <c r="V58" s="130"/>
      <c r="X58" s="6" t="str">
        <f t="shared" si="0"/>
        <v>THPU-71306 01 KD VN</v>
      </c>
      <c r="Y58" s="6">
        <f t="shared" si="1"/>
        <v>20</v>
      </c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  <c r="IL58" s="2"/>
      <c r="IM58" s="2"/>
      <c r="IN58" s="2"/>
      <c r="IO58" s="2"/>
      <c r="IP58" s="2"/>
      <c r="IQ58" s="2"/>
      <c r="IR58" s="2"/>
      <c r="IS58" s="2"/>
    </row>
    <row r="59" spans="1:253" ht="20" customHeight="1">
      <c r="A59" s="3"/>
      <c r="B59" s="162"/>
      <c r="C59" s="163"/>
      <c r="D59" s="163"/>
      <c r="E59" s="163"/>
      <c r="F59" s="161" t="s">
        <v>3231</v>
      </c>
      <c r="G59" s="161"/>
      <c r="H59" s="161"/>
      <c r="I59" s="161"/>
      <c r="J59" s="161"/>
      <c r="K59" s="57">
        <v>20</v>
      </c>
      <c r="L59" s="157"/>
      <c r="M59" s="157"/>
      <c r="N59" s="164"/>
      <c r="O59" s="156"/>
      <c r="P59" s="156"/>
      <c r="Q59" s="156"/>
      <c r="R59" s="157"/>
      <c r="S59" s="11"/>
      <c r="T59" s="72"/>
      <c r="U59" s="130"/>
      <c r="V59" s="130"/>
      <c r="X59" s="6" t="str">
        <f t="shared" si="0"/>
        <v>THPU-71306 01 KD VN</v>
      </c>
      <c r="Y59" s="6">
        <f t="shared" si="1"/>
        <v>20</v>
      </c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  <c r="IR59" s="2"/>
      <c r="IS59" s="2"/>
    </row>
    <row r="60" spans="1:253" ht="20" customHeight="1">
      <c r="A60" s="3"/>
      <c r="B60" s="88"/>
      <c r="C60" s="149" t="s">
        <v>29</v>
      </c>
      <c r="D60" s="149"/>
      <c r="E60" s="149"/>
      <c r="F60" s="150"/>
      <c r="G60" s="151"/>
      <c r="H60" s="151"/>
      <c r="I60" s="151"/>
      <c r="J60" s="151"/>
      <c r="K60" s="152"/>
      <c r="L60" s="153"/>
      <c r="M60" s="154"/>
      <c r="N60" s="87"/>
      <c r="O60" s="155" t="s">
        <v>38</v>
      </c>
      <c r="P60" s="155"/>
      <c r="Q60" s="155"/>
      <c r="R60" s="60"/>
      <c r="S60" s="11"/>
      <c r="T60" s="72"/>
      <c r="U60" s="130"/>
      <c r="V60" s="130"/>
      <c r="X60" s="6">
        <f t="shared" si="0"/>
        <v>0</v>
      </c>
      <c r="Y60" s="6">
        <f t="shared" si="1"/>
        <v>0</v>
      </c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/>
      <c r="IL60" s="2"/>
      <c r="IM60" s="2"/>
      <c r="IN60" s="2"/>
      <c r="IO60" s="2"/>
      <c r="IP60" s="2"/>
      <c r="IQ60" s="2"/>
      <c r="IR60" s="2"/>
      <c r="IS60" s="2"/>
    </row>
    <row r="61" spans="1:253" ht="20" customHeight="1">
      <c r="A61" s="3"/>
      <c r="B61" s="162">
        <v>9</v>
      </c>
      <c r="C61" s="163" t="s">
        <v>57</v>
      </c>
      <c r="D61" s="163"/>
      <c r="E61" s="163"/>
      <c r="F61" s="158" t="s">
        <v>3090</v>
      </c>
      <c r="G61" s="159"/>
      <c r="H61" s="159"/>
      <c r="I61" s="159"/>
      <c r="J61" s="160"/>
      <c r="K61" s="57">
        <v>10</v>
      </c>
      <c r="L61" s="157" t="s">
        <v>40</v>
      </c>
      <c r="M61" s="157"/>
      <c r="N61" s="164" t="str">
        <f>U61&amp;"-"&amp;V61</f>
        <v>100-120</v>
      </c>
      <c r="O61" s="156" t="s">
        <v>36</v>
      </c>
      <c r="P61" s="156"/>
      <c r="Q61" s="156"/>
      <c r="R61" s="157" t="s">
        <v>42</v>
      </c>
      <c r="S61" s="11"/>
      <c r="T61" s="72"/>
      <c r="U61" s="130">
        <v>100</v>
      </c>
      <c r="V61" s="130">
        <v>120</v>
      </c>
      <c r="W61" s="6" t="str">
        <f>C61</f>
        <v xml:space="preserve">SEALER/ LÓT TRONG </v>
      </c>
      <c r="X61" s="6" t="str">
        <f t="shared" si="0"/>
        <v>PSV-76000 SB HC MY VN</v>
      </c>
      <c r="Y61" s="6">
        <f t="shared" si="1"/>
        <v>10</v>
      </c>
      <c r="Z61" s="128" t="str">
        <f>O61</f>
        <v>SPRAY</v>
      </c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J61" s="2"/>
      <c r="IK61" s="2"/>
      <c r="IL61" s="2"/>
      <c r="IM61" s="2"/>
      <c r="IN61" s="2"/>
      <c r="IO61" s="2"/>
      <c r="IP61" s="2"/>
      <c r="IQ61" s="2"/>
      <c r="IR61" s="2"/>
      <c r="IS61" s="2"/>
    </row>
    <row r="62" spans="1:253" ht="20" customHeight="1">
      <c r="A62" s="3"/>
      <c r="B62" s="162"/>
      <c r="C62" s="163"/>
      <c r="D62" s="163"/>
      <c r="E62" s="163"/>
      <c r="F62" s="158" t="s">
        <v>3090</v>
      </c>
      <c r="G62" s="159"/>
      <c r="H62" s="159"/>
      <c r="I62" s="159"/>
      <c r="J62" s="160"/>
      <c r="K62" s="57">
        <v>10</v>
      </c>
      <c r="L62" s="157"/>
      <c r="M62" s="157"/>
      <c r="N62" s="164"/>
      <c r="O62" s="156"/>
      <c r="P62" s="156"/>
      <c r="Q62" s="156"/>
      <c r="R62" s="157"/>
      <c r="S62" s="11"/>
      <c r="T62" s="72"/>
      <c r="U62" s="130"/>
      <c r="V62" s="130"/>
      <c r="X62" s="6" t="str">
        <f t="shared" si="0"/>
        <v>PSV-76000 SB HC MY VN</v>
      </c>
      <c r="Y62" s="6">
        <f t="shared" si="1"/>
        <v>10</v>
      </c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/>
      <c r="IL62" s="2"/>
      <c r="IM62" s="2"/>
      <c r="IN62" s="2"/>
      <c r="IO62" s="2"/>
      <c r="IP62" s="2"/>
      <c r="IQ62" s="2"/>
      <c r="IR62" s="2"/>
      <c r="IS62" s="2"/>
    </row>
    <row r="63" spans="1:253" ht="20" customHeight="1">
      <c r="A63" s="3"/>
      <c r="B63" s="162"/>
      <c r="C63" s="163"/>
      <c r="D63" s="163"/>
      <c r="E63" s="163"/>
      <c r="F63" s="158" t="s">
        <v>3090</v>
      </c>
      <c r="G63" s="159"/>
      <c r="H63" s="159"/>
      <c r="I63" s="159"/>
      <c r="J63" s="160"/>
      <c r="K63" s="57">
        <v>60</v>
      </c>
      <c r="L63" s="157"/>
      <c r="M63" s="157"/>
      <c r="N63" s="164"/>
      <c r="O63" s="156"/>
      <c r="P63" s="156"/>
      <c r="Q63" s="156"/>
      <c r="R63" s="157"/>
      <c r="S63" s="11"/>
      <c r="T63" s="72"/>
      <c r="U63" s="130"/>
      <c r="V63" s="130"/>
      <c r="X63" s="6" t="str">
        <f t="shared" si="0"/>
        <v>PSV-76000 SB HC MY VN</v>
      </c>
      <c r="Y63" s="6">
        <f t="shared" si="1"/>
        <v>60</v>
      </c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  <c r="IS63" s="2"/>
    </row>
    <row r="64" spans="1:253" ht="20" customHeight="1">
      <c r="A64" s="3"/>
      <c r="B64" s="162"/>
      <c r="C64" s="163"/>
      <c r="D64" s="163"/>
      <c r="E64" s="163"/>
      <c r="F64" s="161" t="s">
        <v>3231</v>
      </c>
      <c r="G64" s="161"/>
      <c r="H64" s="161"/>
      <c r="I64" s="161"/>
      <c r="J64" s="161"/>
      <c r="K64" s="57">
        <v>20</v>
      </c>
      <c r="L64" s="157"/>
      <c r="M64" s="157"/>
      <c r="N64" s="164"/>
      <c r="O64" s="156"/>
      <c r="P64" s="156"/>
      <c r="Q64" s="156"/>
      <c r="R64" s="157"/>
      <c r="S64" s="11"/>
      <c r="T64" s="72"/>
      <c r="U64" s="130"/>
      <c r="V64" s="130"/>
      <c r="X64" s="6" t="str">
        <f t="shared" si="0"/>
        <v>THPU-71306 01 KD VN</v>
      </c>
      <c r="Y64" s="6">
        <f t="shared" si="1"/>
        <v>20</v>
      </c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/>
      <c r="IL64" s="2"/>
      <c r="IM64" s="2"/>
      <c r="IN64" s="2"/>
      <c r="IO64" s="2"/>
      <c r="IP64" s="2"/>
      <c r="IQ64" s="2"/>
      <c r="IR64" s="2"/>
      <c r="IS64" s="2"/>
    </row>
    <row r="65" spans="1:253" ht="20" customHeight="1">
      <c r="A65" s="3"/>
      <c r="B65" s="162"/>
      <c r="C65" s="163"/>
      <c r="D65" s="163"/>
      <c r="E65" s="163"/>
      <c r="F65" s="161" t="s">
        <v>3231</v>
      </c>
      <c r="G65" s="161"/>
      <c r="H65" s="161"/>
      <c r="I65" s="161"/>
      <c r="J65" s="161"/>
      <c r="K65" s="57">
        <v>20</v>
      </c>
      <c r="L65" s="157"/>
      <c r="M65" s="157"/>
      <c r="N65" s="164"/>
      <c r="O65" s="156"/>
      <c r="P65" s="156"/>
      <c r="Q65" s="156"/>
      <c r="R65" s="157"/>
      <c r="S65" s="11"/>
      <c r="T65" s="72"/>
      <c r="U65" s="130"/>
      <c r="V65" s="130"/>
      <c r="X65" s="6" t="str">
        <f t="shared" si="0"/>
        <v>THPU-71306 01 KD VN</v>
      </c>
      <c r="Y65" s="6">
        <f t="shared" si="1"/>
        <v>20</v>
      </c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  <c r="IL65" s="2"/>
      <c r="IM65" s="2"/>
      <c r="IN65" s="2"/>
      <c r="IO65" s="2"/>
      <c r="IP65" s="2"/>
      <c r="IQ65" s="2"/>
      <c r="IR65" s="2"/>
      <c r="IS65" s="2"/>
    </row>
    <row r="66" spans="1:253" ht="20" customHeight="1">
      <c r="A66" s="3"/>
      <c r="B66" s="88"/>
      <c r="C66" s="149" t="s">
        <v>29</v>
      </c>
      <c r="D66" s="149"/>
      <c r="E66" s="149"/>
      <c r="F66" s="150"/>
      <c r="G66" s="151"/>
      <c r="H66" s="151"/>
      <c r="I66" s="151"/>
      <c r="J66" s="151"/>
      <c r="K66" s="152"/>
      <c r="L66" s="153"/>
      <c r="M66" s="154"/>
      <c r="N66" s="87"/>
      <c r="O66" s="155" t="s">
        <v>38</v>
      </c>
      <c r="P66" s="155"/>
      <c r="Q66" s="155"/>
      <c r="R66" s="60"/>
      <c r="S66" s="11"/>
      <c r="T66" s="72"/>
      <c r="U66" s="130"/>
      <c r="V66" s="130"/>
      <c r="X66" s="6">
        <f t="shared" si="0"/>
        <v>0</v>
      </c>
      <c r="Y66" s="6">
        <f t="shared" si="1"/>
        <v>0</v>
      </c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/>
      <c r="IL66" s="2"/>
      <c r="IM66" s="2"/>
      <c r="IN66" s="2"/>
      <c r="IO66" s="2"/>
      <c r="IP66" s="2"/>
      <c r="IQ66" s="2"/>
      <c r="IR66" s="2"/>
      <c r="IS66" s="2"/>
    </row>
    <row r="67" spans="1:253" ht="20" customHeight="1">
      <c r="A67" s="3"/>
      <c r="B67" s="162">
        <v>10</v>
      </c>
      <c r="C67" s="163" t="s">
        <v>39</v>
      </c>
      <c r="D67" s="163"/>
      <c r="E67" s="163"/>
      <c r="F67" s="158" t="s">
        <v>3090</v>
      </c>
      <c r="G67" s="159"/>
      <c r="H67" s="159"/>
      <c r="I67" s="159"/>
      <c r="J67" s="160"/>
      <c r="K67" s="57">
        <v>10</v>
      </c>
      <c r="L67" s="157" t="s">
        <v>40</v>
      </c>
      <c r="M67" s="157"/>
      <c r="N67" s="164" t="str">
        <f>U67&amp;"-"&amp;V67</f>
        <v>100-120</v>
      </c>
      <c r="O67" s="156" t="s">
        <v>36</v>
      </c>
      <c r="P67" s="156"/>
      <c r="Q67" s="156"/>
      <c r="R67" s="157" t="s">
        <v>42</v>
      </c>
      <c r="S67" s="11"/>
      <c r="T67" s="72"/>
      <c r="U67" s="130">
        <v>100</v>
      </c>
      <c r="V67" s="130">
        <v>120</v>
      </c>
      <c r="W67" s="6" t="str">
        <f>C67</f>
        <v>TOP COAT COLOR</v>
      </c>
      <c r="X67" s="6" t="str">
        <f t="shared" si="0"/>
        <v>PSV-76000 SB HC MY VN</v>
      </c>
      <c r="Y67" s="6">
        <f t="shared" si="1"/>
        <v>10</v>
      </c>
      <c r="Z67" s="128" t="str">
        <f>O67</f>
        <v>SPRAY</v>
      </c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  <c r="IK67" s="2"/>
      <c r="IL67" s="2"/>
      <c r="IM67" s="2"/>
      <c r="IN67" s="2"/>
      <c r="IO67" s="2"/>
      <c r="IP67" s="2"/>
      <c r="IQ67" s="2"/>
      <c r="IR67" s="2"/>
      <c r="IS67" s="2"/>
    </row>
    <row r="68" spans="1:253" ht="20" customHeight="1">
      <c r="A68" s="3"/>
      <c r="B68" s="162"/>
      <c r="C68" s="163"/>
      <c r="D68" s="163"/>
      <c r="E68" s="163"/>
      <c r="F68" s="158" t="s">
        <v>3090</v>
      </c>
      <c r="G68" s="159"/>
      <c r="H68" s="159"/>
      <c r="I68" s="159"/>
      <c r="J68" s="160"/>
      <c r="K68" s="57">
        <v>10</v>
      </c>
      <c r="L68" s="157"/>
      <c r="M68" s="157"/>
      <c r="N68" s="164"/>
      <c r="O68" s="156"/>
      <c r="P68" s="156"/>
      <c r="Q68" s="156"/>
      <c r="R68" s="157"/>
      <c r="S68" s="11"/>
      <c r="T68" s="72"/>
      <c r="U68" s="130"/>
      <c r="V68" s="130"/>
      <c r="X68" s="6" t="str">
        <f t="shared" si="0"/>
        <v>PSV-76000 SB HC MY VN</v>
      </c>
      <c r="Y68" s="6">
        <f t="shared" si="1"/>
        <v>10</v>
      </c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/>
      <c r="IL68" s="2"/>
      <c r="IM68" s="2"/>
      <c r="IN68" s="2"/>
      <c r="IO68" s="2"/>
      <c r="IP68" s="2"/>
      <c r="IQ68" s="2"/>
      <c r="IR68" s="2"/>
      <c r="IS68" s="2"/>
    </row>
    <row r="69" spans="1:253" ht="20" customHeight="1">
      <c r="A69" s="3"/>
      <c r="B69" s="162"/>
      <c r="C69" s="163"/>
      <c r="D69" s="163"/>
      <c r="E69" s="163"/>
      <c r="F69" s="158" t="s">
        <v>3090</v>
      </c>
      <c r="G69" s="159"/>
      <c r="H69" s="159"/>
      <c r="I69" s="159"/>
      <c r="J69" s="160"/>
      <c r="K69" s="57">
        <v>60</v>
      </c>
      <c r="L69" s="157"/>
      <c r="M69" s="157"/>
      <c r="N69" s="164"/>
      <c r="O69" s="156"/>
      <c r="P69" s="156"/>
      <c r="Q69" s="156"/>
      <c r="R69" s="157"/>
      <c r="S69" s="11"/>
      <c r="T69" s="72"/>
      <c r="U69" s="130"/>
      <c r="V69" s="130"/>
      <c r="X69" s="6" t="str">
        <f t="shared" si="0"/>
        <v>PSV-76000 SB HC MY VN</v>
      </c>
      <c r="Y69" s="6">
        <f t="shared" si="1"/>
        <v>60</v>
      </c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  <c r="HW69" s="2"/>
      <c r="HX69" s="2"/>
      <c r="HY69" s="2"/>
      <c r="HZ69" s="2"/>
      <c r="IA69" s="2"/>
      <c r="IB69" s="2"/>
      <c r="IC69" s="2"/>
      <c r="ID69" s="2"/>
      <c r="IE69" s="2"/>
      <c r="IF69" s="2"/>
      <c r="IG69" s="2"/>
      <c r="IH69" s="2"/>
      <c r="II69" s="2"/>
      <c r="IJ69" s="2"/>
      <c r="IK69" s="2"/>
      <c r="IL69" s="2"/>
      <c r="IM69" s="2"/>
      <c r="IN69" s="2"/>
      <c r="IO69" s="2"/>
      <c r="IP69" s="2"/>
      <c r="IQ69" s="2"/>
      <c r="IR69" s="2"/>
      <c r="IS69" s="2"/>
    </row>
    <row r="70" spans="1:253" ht="20" customHeight="1">
      <c r="A70" s="3"/>
      <c r="B70" s="162"/>
      <c r="C70" s="163"/>
      <c r="D70" s="163"/>
      <c r="E70" s="163"/>
      <c r="F70" s="161" t="s">
        <v>3231</v>
      </c>
      <c r="G70" s="161"/>
      <c r="H70" s="161"/>
      <c r="I70" s="161"/>
      <c r="J70" s="161"/>
      <c r="K70" s="57">
        <v>20</v>
      </c>
      <c r="L70" s="157"/>
      <c r="M70" s="157"/>
      <c r="N70" s="164"/>
      <c r="O70" s="156"/>
      <c r="P70" s="156"/>
      <c r="Q70" s="156"/>
      <c r="R70" s="157"/>
      <c r="S70" s="11"/>
      <c r="T70" s="72"/>
      <c r="U70" s="130"/>
      <c r="V70" s="130"/>
      <c r="X70" s="6" t="str">
        <f t="shared" si="0"/>
        <v>THPU-71306 01 KD VN</v>
      </c>
      <c r="Y70" s="6">
        <f t="shared" si="1"/>
        <v>20</v>
      </c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/>
      <c r="IL70" s="2"/>
      <c r="IM70" s="2"/>
      <c r="IN70" s="2"/>
      <c r="IO70" s="2"/>
      <c r="IP70" s="2"/>
      <c r="IQ70" s="2"/>
      <c r="IR70" s="2"/>
      <c r="IS70" s="2"/>
    </row>
    <row r="71" spans="1:253" ht="20" customHeight="1">
      <c r="A71" s="3"/>
      <c r="B71" s="162"/>
      <c r="C71" s="163"/>
      <c r="D71" s="163"/>
      <c r="E71" s="163"/>
      <c r="F71" s="161" t="s">
        <v>3231</v>
      </c>
      <c r="G71" s="161"/>
      <c r="H71" s="161"/>
      <c r="I71" s="161"/>
      <c r="J71" s="161"/>
      <c r="K71" s="57">
        <v>20</v>
      </c>
      <c r="L71" s="157"/>
      <c r="M71" s="157"/>
      <c r="N71" s="164"/>
      <c r="O71" s="156"/>
      <c r="P71" s="156"/>
      <c r="Q71" s="156"/>
      <c r="R71" s="157"/>
      <c r="S71" s="11"/>
      <c r="T71" s="72"/>
      <c r="U71" s="130"/>
      <c r="V71" s="130"/>
      <c r="X71" s="6" t="str">
        <f t="shared" si="0"/>
        <v>THPU-71306 01 KD VN</v>
      </c>
      <c r="Y71" s="6">
        <f t="shared" si="1"/>
        <v>20</v>
      </c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/>
      <c r="IL71" s="2"/>
      <c r="IM71" s="2"/>
      <c r="IN71" s="2"/>
      <c r="IO71" s="2"/>
      <c r="IP71" s="2"/>
      <c r="IQ71" s="2"/>
      <c r="IR71" s="2"/>
      <c r="IS71" s="2"/>
    </row>
    <row r="72" spans="1:253" ht="20" customHeight="1">
      <c r="A72" s="3"/>
      <c r="B72" s="61" t="s">
        <v>47</v>
      </c>
      <c r="C72" s="62"/>
      <c r="D72" s="62"/>
      <c r="E72" s="62"/>
      <c r="F72" s="63"/>
      <c r="G72" s="63"/>
      <c r="H72" s="64"/>
      <c r="I72" s="64"/>
      <c r="J72" s="64"/>
      <c r="K72" s="65"/>
      <c r="L72" s="66"/>
      <c r="M72" s="66"/>
      <c r="N72" s="67"/>
      <c r="O72" s="68"/>
      <c r="P72" s="68"/>
      <c r="Q72" s="68"/>
      <c r="R72" s="69"/>
      <c r="S72" s="11"/>
      <c r="T72" s="72"/>
      <c r="U72" s="130"/>
      <c r="V72" s="130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/>
      <c r="IL72" s="2"/>
      <c r="IM72" s="2"/>
      <c r="IN72" s="2"/>
      <c r="IO72" s="2"/>
      <c r="IP72" s="2"/>
      <c r="IQ72" s="2"/>
      <c r="IR72" s="2"/>
      <c r="IS72" s="2"/>
    </row>
    <row r="73" spans="1:253" ht="20" customHeight="1">
      <c r="A73" s="3"/>
      <c r="B73" s="70" t="s">
        <v>48</v>
      </c>
      <c r="C73" s="71"/>
      <c r="D73" s="71"/>
      <c r="E73" s="71"/>
      <c r="F73" s="72"/>
      <c r="G73" s="72"/>
      <c r="H73" s="73"/>
      <c r="I73" s="73"/>
      <c r="J73" s="73"/>
      <c r="K73" s="74"/>
      <c r="L73" s="75"/>
      <c r="M73" s="75"/>
      <c r="N73" s="76"/>
      <c r="O73" s="77"/>
      <c r="P73" s="77"/>
      <c r="Q73" s="77"/>
      <c r="R73" s="78"/>
      <c r="S73" s="11"/>
      <c r="T73" s="72"/>
      <c r="U73" s="130"/>
      <c r="V73" s="130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/>
      <c r="IL73" s="2"/>
      <c r="IM73" s="2"/>
      <c r="IN73" s="2"/>
      <c r="IO73" s="2"/>
      <c r="IP73" s="2"/>
      <c r="IQ73" s="2"/>
      <c r="IR73" s="2"/>
      <c r="IS73" s="2"/>
    </row>
    <row r="74" spans="1:253" ht="20" customHeight="1">
      <c r="A74" s="3"/>
      <c r="B74" s="79" t="s">
        <v>49</v>
      </c>
      <c r="C74" s="71"/>
      <c r="D74" s="71"/>
      <c r="E74" s="71"/>
      <c r="F74" s="72"/>
      <c r="G74" s="72"/>
      <c r="H74" s="73"/>
      <c r="I74" s="73"/>
      <c r="J74" s="73"/>
      <c r="K74" s="74"/>
      <c r="L74" s="75"/>
      <c r="M74" s="75"/>
      <c r="N74" s="76"/>
      <c r="O74" s="77"/>
      <c r="P74" s="77"/>
      <c r="Q74" s="77"/>
      <c r="R74" s="78"/>
      <c r="S74" s="11"/>
      <c r="T74" s="72"/>
      <c r="U74" s="130"/>
      <c r="V74" s="130"/>
      <c r="X74" s="129"/>
      <c r="Y74" s="129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/>
      <c r="IL74" s="2"/>
      <c r="IM74" s="2"/>
      <c r="IN74" s="2"/>
      <c r="IO74" s="2"/>
      <c r="IP74" s="2"/>
      <c r="IQ74" s="2"/>
      <c r="IR74" s="2"/>
      <c r="IS74" s="2"/>
    </row>
    <row r="75" spans="1:253" s="1" customFormat="1" ht="20" customHeight="1">
      <c r="A75" s="13"/>
      <c r="B75" s="79" t="s">
        <v>50</v>
      </c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80"/>
      <c r="S75" s="5"/>
      <c r="T75" s="20"/>
      <c r="U75" s="130"/>
      <c r="V75" s="130"/>
      <c r="W75" s="127"/>
      <c r="X75" s="129"/>
      <c r="Y75" s="129"/>
      <c r="Z75" s="6"/>
    </row>
    <row r="76" spans="1:253" s="1" customFormat="1" ht="20" customHeight="1">
      <c r="A76" s="13"/>
      <c r="B76" s="81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80"/>
      <c r="S76" s="14"/>
      <c r="T76" s="20"/>
      <c r="U76" s="130"/>
      <c r="V76" s="130"/>
      <c r="W76" s="127"/>
      <c r="X76" s="6"/>
      <c r="Y76" s="6"/>
      <c r="Z76" s="6"/>
    </row>
    <row r="77" spans="1:253" s="1" customFormat="1" ht="20" customHeight="1">
      <c r="A77" s="13"/>
      <c r="B77" s="82"/>
      <c r="C77" s="83"/>
      <c r="D77" s="83"/>
      <c r="E77" s="83"/>
      <c r="F77" s="84"/>
      <c r="G77" s="84"/>
      <c r="H77" s="84"/>
      <c r="I77" s="84"/>
      <c r="J77" s="84"/>
      <c r="K77" s="85"/>
      <c r="L77" s="85"/>
      <c r="M77" s="84"/>
      <c r="N77" s="84"/>
      <c r="O77" s="84"/>
      <c r="P77" s="84"/>
      <c r="Q77" s="85"/>
      <c r="R77" s="86"/>
      <c r="S77" s="15"/>
      <c r="T77" s="123"/>
      <c r="U77" s="130"/>
      <c r="V77" s="130"/>
      <c r="W77" s="127"/>
      <c r="X77" s="6"/>
      <c r="Y77" s="6"/>
      <c r="Z77" s="6"/>
    </row>
    <row r="78" spans="1:253" s="1" customFormat="1" ht="20" customHeight="1">
      <c r="A78" s="13"/>
      <c r="B78" s="170" t="s">
        <v>43</v>
      </c>
      <c r="C78" s="170"/>
      <c r="D78" s="170"/>
      <c r="E78" s="170"/>
      <c r="F78" s="170"/>
      <c r="G78" s="170" t="s">
        <v>44</v>
      </c>
      <c r="H78" s="170"/>
      <c r="I78" s="170"/>
      <c r="J78" s="170"/>
      <c r="K78" s="170"/>
      <c r="L78" s="170"/>
      <c r="M78" s="170" t="s">
        <v>45</v>
      </c>
      <c r="N78" s="170"/>
      <c r="O78" s="170"/>
      <c r="P78" s="170" t="s">
        <v>46</v>
      </c>
      <c r="Q78" s="170"/>
      <c r="R78" s="170"/>
      <c r="S78" s="5"/>
      <c r="T78" s="20"/>
      <c r="U78" s="130"/>
      <c r="V78" s="130"/>
      <c r="W78" s="127"/>
      <c r="X78" s="6"/>
      <c r="Y78" s="6"/>
      <c r="Z78" s="6"/>
    </row>
    <row r="79" spans="1:253" s="1" customFormat="1" ht="35" customHeight="1">
      <c r="A79" s="13"/>
      <c r="B79" s="169"/>
      <c r="C79" s="169"/>
      <c r="D79" s="169"/>
      <c r="E79" s="169"/>
      <c r="F79" s="169"/>
      <c r="G79" s="169"/>
      <c r="H79" s="169"/>
      <c r="I79" s="169"/>
      <c r="J79" s="169"/>
      <c r="K79" s="169"/>
      <c r="L79" s="169"/>
      <c r="M79" s="170"/>
      <c r="N79" s="170"/>
      <c r="O79" s="170"/>
      <c r="P79" s="170"/>
      <c r="Q79" s="170"/>
      <c r="R79" s="170"/>
      <c r="S79" s="5"/>
      <c r="T79" s="20"/>
      <c r="U79" s="130"/>
      <c r="V79" s="130"/>
      <c r="W79" s="127"/>
      <c r="X79" s="6"/>
      <c r="Y79" s="6"/>
      <c r="Z79" s="6"/>
    </row>
    <row r="80" spans="1:253" s="1" customFormat="1" ht="35" customHeight="1">
      <c r="A80" s="13"/>
      <c r="B80" s="169"/>
      <c r="C80" s="169"/>
      <c r="D80" s="169"/>
      <c r="E80" s="169"/>
      <c r="F80" s="169"/>
      <c r="G80" s="169"/>
      <c r="H80" s="169"/>
      <c r="I80" s="169"/>
      <c r="J80" s="169"/>
      <c r="K80" s="169"/>
      <c r="L80" s="169"/>
      <c r="M80" s="170"/>
      <c r="N80" s="170"/>
      <c r="O80" s="170"/>
      <c r="P80" s="170"/>
      <c r="Q80" s="170"/>
      <c r="R80" s="170"/>
      <c r="S80" s="5"/>
      <c r="T80" s="20"/>
      <c r="U80" s="130"/>
      <c r="V80" s="130"/>
      <c r="W80" s="127"/>
      <c r="X80" s="6"/>
      <c r="Y80" s="6"/>
      <c r="Z80" s="6"/>
    </row>
    <row r="81" spans="1:26" s="1" customFormat="1" ht="35" customHeight="1">
      <c r="A81" s="13"/>
      <c r="B81" s="169"/>
      <c r="C81" s="169"/>
      <c r="D81" s="169"/>
      <c r="E81" s="169"/>
      <c r="F81" s="169"/>
      <c r="G81" s="169"/>
      <c r="H81" s="169"/>
      <c r="I81" s="169"/>
      <c r="J81" s="169"/>
      <c r="K81" s="169"/>
      <c r="L81" s="169"/>
      <c r="M81" s="170"/>
      <c r="N81" s="170"/>
      <c r="O81" s="170"/>
      <c r="P81" s="170"/>
      <c r="Q81" s="170"/>
      <c r="R81" s="170"/>
      <c r="S81" s="5"/>
      <c r="T81" s="20"/>
      <c r="U81" s="130"/>
      <c r="V81" s="130"/>
      <c r="W81" s="127"/>
      <c r="X81" s="6"/>
      <c r="Y81" s="6"/>
      <c r="Z81" s="6"/>
    </row>
    <row r="82" spans="1:26" s="1" customFormat="1">
      <c r="A82" s="16"/>
      <c r="B82" s="17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9"/>
      <c r="T82" s="20"/>
      <c r="U82" s="130"/>
      <c r="V82" s="130"/>
      <c r="W82" s="6"/>
      <c r="X82" s="6"/>
      <c r="Y82" s="6"/>
      <c r="Z82" s="6"/>
    </row>
  </sheetData>
  <sheetProtection selectLockedCells="1" selectUnlockedCells="1"/>
  <dataConsolidate/>
  <mergeCells count="164">
    <mergeCell ref="B2:R2"/>
    <mergeCell ref="M6:P6"/>
    <mergeCell ref="C12:E12"/>
    <mergeCell ref="F12:J12"/>
    <mergeCell ref="L12:M12"/>
    <mergeCell ref="O12:Q12"/>
    <mergeCell ref="C11:E11"/>
    <mergeCell ref="F11:J11"/>
    <mergeCell ref="L11:M11"/>
    <mergeCell ref="O11:Q11"/>
    <mergeCell ref="B19:B23"/>
    <mergeCell ref="C19:E23"/>
    <mergeCell ref="L19:M23"/>
    <mergeCell ref="N19:N23"/>
    <mergeCell ref="O19:Q23"/>
    <mergeCell ref="F16:J16"/>
    <mergeCell ref="C18:E18"/>
    <mergeCell ref="F18:J18"/>
    <mergeCell ref="L18:M18"/>
    <mergeCell ref="O18:Q18"/>
    <mergeCell ref="B13:B17"/>
    <mergeCell ref="C13:E17"/>
    <mergeCell ref="F13:J13"/>
    <mergeCell ref="L13:M17"/>
    <mergeCell ref="N13:N17"/>
    <mergeCell ref="F14:J14"/>
    <mergeCell ref="C67:E71"/>
    <mergeCell ref="F67:J67"/>
    <mergeCell ref="L67:M71"/>
    <mergeCell ref="N67:N71"/>
    <mergeCell ref="F70:J70"/>
    <mergeCell ref="O13:Q17"/>
    <mergeCell ref="R13:R17"/>
    <mergeCell ref="F15:J15"/>
    <mergeCell ref="F17:J17"/>
    <mergeCell ref="O25:Q29"/>
    <mergeCell ref="R25:R29"/>
    <mergeCell ref="L25:M29"/>
    <mergeCell ref="N25:N29"/>
    <mergeCell ref="O31:Q35"/>
    <mergeCell ref="R31:R35"/>
    <mergeCell ref="F32:J32"/>
    <mergeCell ref="F33:J33"/>
    <mergeCell ref="F34:J34"/>
    <mergeCell ref="F35:J35"/>
    <mergeCell ref="F45:J45"/>
    <mergeCell ref="F46:J46"/>
    <mergeCell ref="F47:J47"/>
    <mergeCell ref="R37:R41"/>
    <mergeCell ref="R61:R65"/>
    <mergeCell ref="B79:F81"/>
    <mergeCell ref="M79:O81"/>
    <mergeCell ref="P79:R81"/>
    <mergeCell ref="G78:L78"/>
    <mergeCell ref="G79:L81"/>
    <mergeCell ref="B78:F78"/>
    <mergeCell ref="M78:O78"/>
    <mergeCell ref="P78:R78"/>
    <mergeCell ref="R19:R23"/>
    <mergeCell ref="C24:E24"/>
    <mergeCell ref="F24:J24"/>
    <mergeCell ref="L24:M24"/>
    <mergeCell ref="O24:Q24"/>
    <mergeCell ref="O67:Q71"/>
    <mergeCell ref="R67:R71"/>
    <mergeCell ref="F68:J68"/>
    <mergeCell ref="F69:J69"/>
    <mergeCell ref="F71:J71"/>
    <mergeCell ref="F19:J19"/>
    <mergeCell ref="F22:J22"/>
    <mergeCell ref="F23:J23"/>
    <mergeCell ref="F21:J21"/>
    <mergeCell ref="F20:J20"/>
    <mergeCell ref="B67:B71"/>
    <mergeCell ref="B25:B29"/>
    <mergeCell ref="C25:E29"/>
    <mergeCell ref="C30:E30"/>
    <mergeCell ref="F30:K30"/>
    <mergeCell ref="L30:M30"/>
    <mergeCell ref="O30:Q30"/>
    <mergeCell ref="F25:J25"/>
    <mergeCell ref="F26:J26"/>
    <mergeCell ref="F27:J27"/>
    <mergeCell ref="F28:J28"/>
    <mergeCell ref="F29:J29"/>
    <mergeCell ref="B31:B35"/>
    <mergeCell ref="C31:E35"/>
    <mergeCell ref="F31:J31"/>
    <mergeCell ref="L31:M35"/>
    <mergeCell ref="N31:N35"/>
    <mergeCell ref="O49:Q53"/>
    <mergeCell ref="R49:R53"/>
    <mergeCell ref="F50:J50"/>
    <mergeCell ref="F51:J51"/>
    <mergeCell ref="F52:J52"/>
    <mergeCell ref="F53:J53"/>
    <mergeCell ref="B49:B53"/>
    <mergeCell ref="C49:E53"/>
    <mergeCell ref="F49:J49"/>
    <mergeCell ref="L49:M53"/>
    <mergeCell ref="N49:N53"/>
    <mergeCell ref="B37:B41"/>
    <mergeCell ref="C37:E41"/>
    <mergeCell ref="F37:J37"/>
    <mergeCell ref="L37:M41"/>
    <mergeCell ref="N37:N41"/>
    <mergeCell ref="O43:Q47"/>
    <mergeCell ref="R43:R47"/>
    <mergeCell ref="F44:J44"/>
    <mergeCell ref="B61:B65"/>
    <mergeCell ref="C61:E65"/>
    <mergeCell ref="F61:J61"/>
    <mergeCell ref="L61:M65"/>
    <mergeCell ref="N61:N65"/>
    <mergeCell ref="B43:B47"/>
    <mergeCell ref="C43:E47"/>
    <mergeCell ref="F43:J43"/>
    <mergeCell ref="L43:M47"/>
    <mergeCell ref="N43:N47"/>
    <mergeCell ref="R55:R59"/>
    <mergeCell ref="F56:J56"/>
    <mergeCell ref="F57:J57"/>
    <mergeCell ref="F58:J58"/>
    <mergeCell ref="F59:J59"/>
    <mergeCell ref="B55:B59"/>
    <mergeCell ref="C55:E59"/>
    <mergeCell ref="F55:J55"/>
    <mergeCell ref="L55:M59"/>
    <mergeCell ref="N55:N59"/>
    <mergeCell ref="C60:E60"/>
    <mergeCell ref="F60:K60"/>
    <mergeCell ref="L60:M60"/>
    <mergeCell ref="O60:Q60"/>
    <mergeCell ref="C66:E66"/>
    <mergeCell ref="F66:K66"/>
    <mergeCell ref="L66:M66"/>
    <mergeCell ref="O66:Q66"/>
    <mergeCell ref="O55:Q59"/>
    <mergeCell ref="O61:Q65"/>
    <mergeCell ref="F62:J62"/>
    <mergeCell ref="F63:J63"/>
    <mergeCell ref="F64:J64"/>
    <mergeCell ref="F65:J65"/>
    <mergeCell ref="C48:E48"/>
    <mergeCell ref="F48:K48"/>
    <mergeCell ref="L48:M48"/>
    <mergeCell ref="O48:Q48"/>
    <mergeCell ref="C54:E54"/>
    <mergeCell ref="F54:K54"/>
    <mergeCell ref="L54:M54"/>
    <mergeCell ref="O54:Q54"/>
    <mergeCell ref="C36:E36"/>
    <mergeCell ref="F36:K36"/>
    <mergeCell ref="L36:M36"/>
    <mergeCell ref="O36:Q36"/>
    <mergeCell ref="C42:E42"/>
    <mergeCell ref="F42:K42"/>
    <mergeCell ref="L42:M42"/>
    <mergeCell ref="O42:Q42"/>
    <mergeCell ref="O37:Q41"/>
    <mergeCell ref="F38:J38"/>
    <mergeCell ref="F39:J39"/>
    <mergeCell ref="F40:J40"/>
    <mergeCell ref="F41:J41"/>
  </mergeCells>
  <dataValidations count="1">
    <dataValidation type="list" allowBlank="1" showInputMessage="1" showErrorMessage="1" sqref="F3">
      <formula1>$A:$A</formula1>
    </dataValidation>
  </dataValidations>
  <pageMargins left="0.19685039370078741" right="0.19685039370078741" top="0.39370078740157483" bottom="0.59055118110236227" header="0.51181102362204722" footer="0.51181102362204722"/>
  <pageSetup paperSize="9" scale="70" firstPageNumber="0" orientation="portrait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>
          <x14:formula1>
            <xm:f>'Application Step Master'!$A:$A</xm:f>
          </x14:formula1>
          <xm:sqref>C67:E71 C19:E23 C25:E29 C31:E35 C37:E41 C43:E47 C13:E17 C55:E59 C61:E65 C49:E53</xm:sqref>
        </x14:dataValidation>
        <x14:dataValidation type="list" allowBlank="1" showInputMessage="1" showErrorMessage="1">
          <x14:formula1>
            <xm:f>quotation!$F:$F</xm:f>
          </x14:formula1>
          <xm:sqref>F13:J17 F19:J23 F25:J29 F31:J35 F37:J41 F43:J47 F67:J71 F55:J59 F61:J65 F49:J53</xm:sqref>
        </x14:dataValidation>
        <x14:dataValidation type="list" allowBlank="1" showInputMessage="1" showErrorMessage="1">
          <x14:formula1>
            <xm:f>'app-method'!$A:$A</xm:f>
          </x14:formula1>
          <xm:sqref>O13:Q17 O25:Q29 O37:Q41 O49:Q53</xm:sqref>
        </x14:dataValidation>
        <x14:dataValidation type="list" allowBlank="1" showInputMessage="1" showErrorMessage="1">
          <x14:formula1>
            <xm:f>'app-method'!$A:$A</xm:f>
          </x14:formula1>
          <xm:sqref>O19:Q23</xm:sqref>
        </x14:dataValidation>
        <x14:dataValidation type="list" allowBlank="1" showInputMessage="1" showErrorMessage="1">
          <x14:formula1>
            <xm:f>'app-method'!$A:$A</xm:f>
          </x14:formula1>
          <xm:sqref>O31:Q35</xm:sqref>
        </x14:dataValidation>
        <x14:dataValidation type="list" allowBlank="1" showInputMessage="1" showErrorMessage="1">
          <x14:formula1>
            <xm:f>'app-method'!$A:$A</xm:f>
          </x14:formula1>
          <xm:sqref>O43:Q47</xm:sqref>
        </x14:dataValidation>
        <x14:dataValidation type="list" allowBlank="1" showInputMessage="1" showErrorMessage="1">
          <x14:formula1>
            <xm:f>'app-method'!$A:$A</xm:f>
          </x14:formula1>
          <xm:sqref>O55:Q59</xm:sqref>
        </x14:dataValidation>
        <x14:dataValidation type="list" allowBlank="1" showInputMessage="1" showErrorMessage="1">
          <x14:formula1>
            <xm:f>'app-method'!$A:$A</xm:f>
          </x14:formula1>
          <xm:sqref>O61:Q65</xm:sqref>
        </x14:dataValidation>
        <x14:dataValidation type="list" allowBlank="1" showInputMessage="1" showErrorMessage="1">
          <x14:formula1>
            <xm:f>'app-method'!$A:$A</xm:f>
          </x14:formula1>
          <xm:sqref>O67:Q71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M65"/>
  <sheetViews>
    <sheetView tabSelected="1" zoomScaleNormal="100" workbookViewId="0">
      <selection activeCell="B6" sqref="B6"/>
    </sheetView>
  </sheetViews>
  <sheetFormatPr defaultRowHeight="12.5"/>
  <cols>
    <col min="1" max="1" width="16.6328125" style="93" customWidth="1"/>
    <col min="2" max="2" width="33.453125" style="91" bestFit="1" customWidth="1"/>
    <col min="3" max="4" width="8.7265625" style="91"/>
    <col min="5" max="5" width="8.7265625" style="145"/>
    <col min="6" max="6" width="8.7265625" style="91"/>
    <col min="7" max="7" width="20.54296875" style="91" bestFit="1" customWidth="1"/>
    <col min="8" max="9" width="8.7265625" style="91"/>
    <col min="10" max="11" width="8.7265625" style="141"/>
    <col min="12" max="12" width="11.1796875" style="91" bestFit="1" customWidth="1"/>
    <col min="13" max="14" width="10.1796875" style="91" customWidth="1"/>
    <col min="15" max="15" width="8.7265625" style="92"/>
    <col min="16" max="17" width="0" style="91" hidden="1" customWidth="1"/>
    <col min="18" max="18" width="33.90625" style="91" bestFit="1" customWidth="1"/>
    <col min="19" max="1024" width="8.7265625" style="91"/>
    <col min="1025" max="16384" width="8.7265625" style="90"/>
  </cols>
  <sheetData>
    <row r="1" spans="1:1027" ht="23.5" customHeight="1">
      <c r="A1" s="191" t="s">
        <v>86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17"/>
      <c r="N1" s="117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0"/>
      <c r="BF1" s="90"/>
      <c r="BG1" s="90"/>
      <c r="BH1" s="90"/>
      <c r="BI1" s="90"/>
      <c r="BJ1" s="90"/>
      <c r="BK1" s="90"/>
      <c r="BL1" s="90"/>
      <c r="BM1" s="90"/>
      <c r="BN1" s="90"/>
      <c r="BO1" s="90"/>
      <c r="BP1" s="90"/>
      <c r="BQ1" s="90"/>
      <c r="BR1" s="90"/>
      <c r="BS1" s="90"/>
      <c r="BT1" s="90"/>
      <c r="BU1" s="90"/>
      <c r="BV1" s="90"/>
      <c r="BW1" s="90"/>
      <c r="BX1" s="90"/>
      <c r="BY1" s="90"/>
      <c r="BZ1" s="90"/>
      <c r="CA1" s="90"/>
      <c r="CB1" s="90"/>
      <c r="CC1" s="90"/>
      <c r="CD1" s="90"/>
      <c r="CE1" s="90"/>
      <c r="CF1" s="90"/>
      <c r="CG1" s="90"/>
      <c r="CH1" s="90"/>
      <c r="CI1" s="90"/>
      <c r="CJ1" s="90"/>
      <c r="CK1" s="90"/>
      <c r="CL1" s="90"/>
      <c r="CM1" s="90"/>
      <c r="CN1" s="90"/>
      <c r="CO1" s="90"/>
      <c r="CP1" s="90"/>
      <c r="CQ1" s="90"/>
      <c r="CR1" s="90"/>
      <c r="CS1" s="90"/>
      <c r="CT1" s="90"/>
      <c r="CU1" s="90"/>
      <c r="CV1" s="90"/>
      <c r="CW1" s="90"/>
      <c r="CX1" s="90"/>
      <c r="CY1" s="90"/>
      <c r="CZ1" s="90"/>
      <c r="DA1" s="90"/>
      <c r="DB1" s="90"/>
      <c r="DC1" s="90"/>
      <c r="DD1" s="90"/>
      <c r="DE1" s="90"/>
      <c r="DF1" s="90"/>
      <c r="DG1" s="90"/>
      <c r="DH1" s="90"/>
      <c r="DI1" s="90"/>
      <c r="DJ1" s="90"/>
      <c r="DK1" s="90"/>
      <c r="DL1" s="90"/>
      <c r="DM1" s="90"/>
      <c r="DN1" s="90"/>
      <c r="DO1" s="90"/>
      <c r="DP1" s="90"/>
      <c r="DQ1" s="90"/>
      <c r="DR1" s="90"/>
      <c r="DS1" s="90"/>
      <c r="DT1" s="90"/>
      <c r="DU1" s="90"/>
      <c r="DV1" s="90"/>
      <c r="DW1" s="90"/>
      <c r="DX1" s="90"/>
      <c r="DY1" s="90"/>
      <c r="DZ1" s="90"/>
      <c r="EA1" s="90"/>
      <c r="EB1" s="90"/>
      <c r="EC1" s="90"/>
      <c r="ED1" s="90"/>
      <c r="EE1" s="90"/>
      <c r="EF1" s="90"/>
      <c r="EG1" s="90"/>
      <c r="EH1" s="90"/>
      <c r="EI1" s="90"/>
      <c r="EJ1" s="90"/>
      <c r="EK1" s="90"/>
      <c r="EL1" s="90"/>
      <c r="EM1" s="90"/>
      <c r="EN1" s="90"/>
      <c r="EO1" s="90"/>
      <c r="EP1" s="90"/>
      <c r="EQ1" s="90"/>
      <c r="ER1" s="90"/>
      <c r="ES1" s="90"/>
      <c r="ET1" s="90"/>
      <c r="EU1" s="90"/>
      <c r="EV1" s="90"/>
      <c r="EW1" s="90"/>
      <c r="EX1" s="90"/>
      <c r="EY1" s="90"/>
      <c r="EZ1" s="90"/>
      <c r="FA1" s="90"/>
      <c r="FB1" s="90"/>
      <c r="FC1" s="90"/>
      <c r="FD1" s="90"/>
      <c r="FE1" s="90"/>
      <c r="FF1" s="90"/>
      <c r="FG1" s="90"/>
      <c r="FH1" s="90"/>
      <c r="FI1" s="90"/>
      <c r="FJ1" s="90"/>
      <c r="FK1" s="90"/>
      <c r="FL1" s="90"/>
      <c r="FM1" s="90"/>
      <c r="FN1" s="90"/>
      <c r="FO1" s="90"/>
      <c r="FP1" s="90"/>
      <c r="FQ1" s="90"/>
      <c r="FR1" s="90"/>
      <c r="FS1" s="90"/>
      <c r="FT1" s="90"/>
      <c r="FU1" s="90"/>
      <c r="FV1" s="90"/>
      <c r="FW1" s="90"/>
      <c r="FX1" s="90"/>
      <c r="FY1" s="90"/>
      <c r="FZ1" s="90"/>
      <c r="GA1" s="90"/>
      <c r="GB1" s="90"/>
      <c r="GC1" s="90"/>
      <c r="GD1" s="90"/>
      <c r="GE1" s="90"/>
      <c r="GF1" s="90"/>
      <c r="GG1" s="90"/>
      <c r="GH1" s="90"/>
      <c r="GI1" s="90"/>
      <c r="GJ1" s="90"/>
      <c r="GK1" s="90"/>
      <c r="GL1" s="90"/>
      <c r="GM1" s="90"/>
      <c r="GN1" s="90"/>
      <c r="GO1" s="90"/>
      <c r="GP1" s="90"/>
      <c r="GQ1" s="90"/>
      <c r="GR1" s="90"/>
      <c r="GS1" s="90"/>
      <c r="GT1" s="90"/>
      <c r="GU1" s="90"/>
      <c r="GV1" s="90"/>
      <c r="GW1" s="90"/>
      <c r="GX1" s="90"/>
      <c r="GY1" s="90"/>
      <c r="GZ1" s="90"/>
      <c r="HA1" s="90"/>
      <c r="HB1" s="90"/>
      <c r="HC1" s="90"/>
      <c r="HD1" s="90"/>
      <c r="HE1" s="90"/>
      <c r="HF1" s="90"/>
      <c r="HG1" s="90"/>
      <c r="HH1" s="90"/>
      <c r="HI1" s="90"/>
      <c r="HJ1" s="90"/>
      <c r="HK1" s="90"/>
      <c r="HL1" s="90"/>
      <c r="HM1" s="90"/>
      <c r="HN1" s="90"/>
      <c r="HO1" s="90"/>
      <c r="HP1" s="90"/>
      <c r="HQ1" s="90"/>
      <c r="HR1" s="90"/>
      <c r="HS1" s="90"/>
      <c r="HT1" s="90"/>
      <c r="HU1" s="90"/>
      <c r="HV1" s="90"/>
      <c r="HW1" s="90"/>
      <c r="HX1" s="90"/>
      <c r="HY1" s="90"/>
      <c r="HZ1" s="90"/>
      <c r="IA1" s="90"/>
      <c r="IB1" s="90"/>
      <c r="IC1" s="90"/>
      <c r="ID1" s="90"/>
      <c r="IE1" s="90"/>
      <c r="IF1" s="90"/>
      <c r="IG1" s="90"/>
      <c r="IH1" s="90"/>
      <c r="II1" s="90"/>
      <c r="IJ1" s="90"/>
      <c r="IK1" s="90"/>
      <c r="IL1" s="90"/>
      <c r="IM1" s="90"/>
      <c r="IN1" s="90"/>
      <c r="IO1" s="90"/>
      <c r="IP1" s="90"/>
      <c r="IQ1" s="90"/>
      <c r="IR1" s="90"/>
      <c r="IS1" s="90"/>
      <c r="IT1" s="90"/>
      <c r="IU1" s="90"/>
      <c r="IV1" s="90"/>
      <c r="IW1" s="90"/>
      <c r="IX1" s="90"/>
      <c r="IY1" s="90"/>
      <c r="IZ1" s="90"/>
      <c r="JA1" s="90"/>
      <c r="JB1" s="90"/>
      <c r="JC1" s="90"/>
      <c r="JD1" s="90"/>
      <c r="JE1" s="90"/>
      <c r="JF1" s="90"/>
      <c r="JG1" s="90"/>
      <c r="JH1" s="90"/>
      <c r="JI1" s="90"/>
      <c r="JJ1" s="90"/>
      <c r="JK1" s="90"/>
      <c r="JL1" s="90"/>
      <c r="JM1" s="90"/>
      <c r="JN1" s="90"/>
      <c r="JO1" s="90"/>
      <c r="JP1" s="90"/>
      <c r="JQ1" s="90"/>
      <c r="JR1" s="90"/>
      <c r="JS1" s="90"/>
      <c r="JT1" s="90"/>
      <c r="JU1" s="90"/>
      <c r="JV1" s="90"/>
      <c r="JW1" s="90"/>
      <c r="JX1" s="90"/>
      <c r="JY1" s="90"/>
      <c r="JZ1" s="90"/>
      <c r="KA1" s="90"/>
      <c r="KB1" s="90"/>
      <c r="KC1" s="90"/>
      <c r="KD1" s="90"/>
      <c r="KE1" s="90"/>
      <c r="KF1" s="90"/>
      <c r="KG1" s="90"/>
      <c r="KH1" s="90"/>
      <c r="KI1" s="90"/>
      <c r="KJ1" s="90"/>
      <c r="KK1" s="90"/>
      <c r="KL1" s="90"/>
      <c r="KM1" s="90"/>
      <c r="KN1" s="90"/>
      <c r="KO1" s="90"/>
      <c r="KP1" s="90"/>
      <c r="KQ1" s="90"/>
      <c r="KR1" s="90"/>
      <c r="KS1" s="90"/>
      <c r="KT1" s="90"/>
      <c r="KU1" s="90"/>
      <c r="KV1" s="90"/>
      <c r="KW1" s="90"/>
      <c r="KX1" s="90"/>
      <c r="KY1" s="90"/>
      <c r="KZ1" s="90"/>
      <c r="LA1" s="90"/>
      <c r="LB1" s="90"/>
      <c r="LC1" s="90"/>
      <c r="LD1" s="90"/>
      <c r="LE1" s="90"/>
      <c r="LF1" s="90"/>
      <c r="LG1" s="90"/>
      <c r="LH1" s="90"/>
      <c r="LI1" s="90"/>
      <c r="LJ1" s="90"/>
      <c r="LK1" s="90"/>
      <c r="LL1" s="90"/>
      <c r="LM1" s="90"/>
      <c r="LN1" s="90"/>
      <c r="LO1" s="90"/>
      <c r="LP1" s="90"/>
      <c r="LQ1" s="90"/>
      <c r="LR1" s="90"/>
      <c r="LS1" s="90"/>
      <c r="LT1" s="90"/>
      <c r="LU1" s="90"/>
      <c r="LV1" s="90"/>
      <c r="LW1" s="90"/>
      <c r="LX1" s="90"/>
      <c r="LY1" s="90"/>
      <c r="LZ1" s="90"/>
      <c r="MA1" s="90"/>
      <c r="MB1" s="90"/>
      <c r="MC1" s="90"/>
      <c r="MD1" s="90"/>
      <c r="ME1" s="90"/>
      <c r="MF1" s="90"/>
      <c r="MG1" s="90"/>
      <c r="MH1" s="90"/>
      <c r="MI1" s="90"/>
      <c r="MJ1" s="90"/>
      <c r="MK1" s="90"/>
      <c r="ML1" s="90"/>
      <c r="MM1" s="90"/>
      <c r="MN1" s="90"/>
      <c r="MO1" s="90"/>
      <c r="MP1" s="90"/>
      <c r="MQ1" s="90"/>
      <c r="MR1" s="90"/>
      <c r="MS1" s="90"/>
      <c r="MT1" s="90"/>
      <c r="MU1" s="90"/>
      <c r="MV1" s="90"/>
      <c r="MW1" s="90"/>
      <c r="MX1" s="90"/>
      <c r="MY1" s="90"/>
      <c r="MZ1" s="90"/>
      <c r="NA1" s="90"/>
      <c r="NB1" s="90"/>
      <c r="NC1" s="90"/>
      <c r="ND1" s="90"/>
      <c r="NE1" s="90"/>
      <c r="NF1" s="90"/>
      <c r="NG1" s="90"/>
      <c r="NH1" s="90"/>
      <c r="NI1" s="90"/>
      <c r="NJ1" s="90"/>
      <c r="NK1" s="90"/>
      <c r="NL1" s="90"/>
      <c r="NM1" s="90"/>
      <c r="NN1" s="90"/>
      <c r="NO1" s="90"/>
      <c r="NP1" s="90"/>
      <c r="NQ1" s="90"/>
      <c r="NR1" s="90"/>
      <c r="NS1" s="90"/>
      <c r="NT1" s="90"/>
      <c r="NU1" s="90"/>
      <c r="NV1" s="90"/>
      <c r="NW1" s="90"/>
      <c r="NX1" s="90"/>
      <c r="NY1" s="90"/>
      <c r="NZ1" s="90"/>
      <c r="OA1" s="90"/>
      <c r="OB1" s="90"/>
      <c r="OC1" s="90"/>
      <c r="OD1" s="90"/>
      <c r="OE1" s="90"/>
      <c r="OF1" s="90"/>
      <c r="OG1" s="90"/>
      <c r="OH1" s="90"/>
      <c r="OI1" s="90"/>
      <c r="OJ1" s="90"/>
      <c r="OK1" s="90"/>
      <c r="OL1" s="90"/>
      <c r="OM1" s="90"/>
      <c r="ON1" s="90"/>
      <c r="OO1" s="90"/>
      <c r="OP1" s="90"/>
      <c r="OQ1" s="90"/>
      <c r="OR1" s="90"/>
      <c r="OS1" s="90"/>
      <c r="OT1" s="90"/>
      <c r="OU1" s="90"/>
      <c r="OV1" s="90"/>
      <c r="OW1" s="90"/>
      <c r="OX1" s="90"/>
      <c r="OY1" s="90"/>
      <c r="OZ1" s="90"/>
      <c r="PA1" s="90"/>
      <c r="PB1" s="90"/>
      <c r="PC1" s="90"/>
      <c r="PD1" s="90"/>
      <c r="PE1" s="90"/>
      <c r="PF1" s="90"/>
      <c r="PG1" s="90"/>
      <c r="PH1" s="90"/>
      <c r="PI1" s="90"/>
      <c r="PJ1" s="90"/>
      <c r="PK1" s="90"/>
      <c r="PL1" s="90"/>
      <c r="PM1" s="90"/>
      <c r="PN1" s="90"/>
      <c r="PO1" s="90"/>
      <c r="PP1" s="90"/>
      <c r="PQ1" s="90"/>
      <c r="PR1" s="90"/>
      <c r="PS1" s="90"/>
      <c r="PT1" s="90"/>
      <c r="PU1" s="90"/>
      <c r="PV1" s="90"/>
      <c r="PW1" s="90"/>
      <c r="PX1" s="90"/>
      <c r="PY1" s="90"/>
      <c r="PZ1" s="90"/>
      <c r="QA1" s="90"/>
      <c r="QB1" s="90"/>
      <c r="QC1" s="90"/>
      <c r="QD1" s="90"/>
      <c r="QE1" s="90"/>
      <c r="QF1" s="90"/>
      <c r="QG1" s="90"/>
      <c r="QH1" s="90"/>
      <c r="QI1" s="90"/>
      <c r="QJ1" s="90"/>
      <c r="QK1" s="90"/>
      <c r="QL1" s="90"/>
      <c r="QM1" s="90"/>
      <c r="QN1" s="90"/>
      <c r="QO1" s="90"/>
      <c r="QP1" s="90"/>
      <c r="QQ1" s="90"/>
      <c r="QR1" s="90"/>
      <c r="QS1" s="90"/>
      <c r="QT1" s="90"/>
      <c r="QU1" s="90"/>
      <c r="QV1" s="90"/>
      <c r="QW1" s="90"/>
      <c r="QX1" s="90"/>
      <c r="QY1" s="90"/>
      <c r="QZ1" s="90"/>
      <c r="RA1" s="90"/>
      <c r="RB1" s="90"/>
      <c r="RC1" s="90"/>
      <c r="RD1" s="90"/>
      <c r="RE1" s="90"/>
      <c r="RF1" s="90"/>
      <c r="RG1" s="90"/>
      <c r="RH1" s="90"/>
      <c r="RI1" s="90"/>
      <c r="RJ1" s="90"/>
      <c r="RK1" s="90"/>
      <c r="RL1" s="90"/>
      <c r="RM1" s="90"/>
      <c r="RN1" s="90"/>
      <c r="RO1" s="90"/>
      <c r="RP1" s="90"/>
      <c r="RQ1" s="90"/>
      <c r="RR1" s="90"/>
      <c r="RS1" s="90"/>
      <c r="RT1" s="90"/>
      <c r="RU1" s="90"/>
      <c r="RV1" s="90"/>
      <c r="RW1" s="90"/>
      <c r="RX1" s="90"/>
      <c r="RY1" s="90"/>
      <c r="RZ1" s="90"/>
      <c r="SA1" s="90"/>
      <c r="SB1" s="90"/>
      <c r="SC1" s="90"/>
      <c r="SD1" s="90"/>
      <c r="SE1" s="90"/>
      <c r="SF1" s="90"/>
      <c r="SG1" s="90"/>
      <c r="SH1" s="90"/>
      <c r="SI1" s="90"/>
      <c r="SJ1" s="90"/>
      <c r="SK1" s="90"/>
      <c r="SL1" s="90"/>
      <c r="SM1" s="90"/>
      <c r="SN1" s="90"/>
      <c r="SO1" s="90"/>
      <c r="SP1" s="90"/>
      <c r="SQ1" s="90"/>
      <c r="SR1" s="90"/>
      <c r="SS1" s="90"/>
      <c r="ST1" s="90"/>
      <c r="SU1" s="90"/>
      <c r="SV1" s="90"/>
      <c r="SW1" s="90"/>
      <c r="SX1" s="90"/>
      <c r="SY1" s="90"/>
      <c r="SZ1" s="90"/>
      <c r="TA1" s="90"/>
      <c r="TB1" s="90"/>
      <c r="TC1" s="90"/>
      <c r="TD1" s="90"/>
      <c r="TE1" s="90"/>
      <c r="TF1" s="90"/>
      <c r="TG1" s="90"/>
      <c r="TH1" s="90"/>
      <c r="TI1" s="90"/>
      <c r="TJ1" s="90"/>
      <c r="TK1" s="90"/>
      <c r="TL1" s="90"/>
      <c r="TM1" s="90"/>
      <c r="TN1" s="90"/>
      <c r="TO1" s="90"/>
      <c r="TP1" s="90"/>
      <c r="TQ1" s="90"/>
      <c r="TR1" s="90"/>
      <c r="TS1" s="90"/>
      <c r="TT1" s="90"/>
      <c r="TU1" s="90"/>
      <c r="TV1" s="90"/>
      <c r="TW1" s="90"/>
      <c r="TX1" s="90"/>
      <c r="TY1" s="90"/>
      <c r="TZ1" s="90"/>
      <c r="UA1" s="90"/>
      <c r="UB1" s="90"/>
      <c r="UC1" s="90"/>
      <c r="UD1" s="90"/>
      <c r="UE1" s="90"/>
      <c r="UF1" s="90"/>
      <c r="UG1" s="90"/>
      <c r="UH1" s="90"/>
      <c r="UI1" s="90"/>
      <c r="UJ1" s="90"/>
      <c r="UK1" s="90"/>
      <c r="UL1" s="90"/>
      <c r="UM1" s="90"/>
      <c r="UN1" s="90"/>
      <c r="UO1" s="90"/>
      <c r="UP1" s="90"/>
      <c r="UQ1" s="90"/>
      <c r="UR1" s="90"/>
      <c r="US1" s="90"/>
      <c r="UT1" s="90"/>
      <c r="UU1" s="90"/>
      <c r="UV1" s="90"/>
      <c r="UW1" s="90"/>
      <c r="UX1" s="90"/>
      <c r="UY1" s="90"/>
      <c r="UZ1" s="90"/>
      <c r="VA1" s="90"/>
      <c r="VB1" s="90"/>
      <c r="VC1" s="90"/>
      <c r="VD1" s="90"/>
      <c r="VE1" s="90"/>
      <c r="VF1" s="90"/>
      <c r="VG1" s="90"/>
      <c r="VH1" s="90"/>
      <c r="VI1" s="90"/>
      <c r="VJ1" s="90"/>
      <c r="VK1" s="90"/>
      <c r="VL1" s="90"/>
      <c r="VM1" s="90"/>
      <c r="VN1" s="90"/>
      <c r="VO1" s="90"/>
      <c r="VP1" s="90"/>
      <c r="VQ1" s="90"/>
      <c r="VR1" s="90"/>
      <c r="VS1" s="90"/>
      <c r="VT1" s="90"/>
      <c r="VU1" s="90"/>
      <c r="VV1" s="90"/>
      <c r="VW1" s="90"/>
      <c r="VX1" s="90"/>
      <c r="VY1" s="90"/>
      <c r="VZ1" s="90"/>
      <c r="WA1" s="90"/>
      <c r="WB1" s="90"/>
      <c r="WC1" s="90"/>
      <c r="WD1" s="90"/>
      <c r="WE1" s="90"/>
      <c r="WF1" s="90"/>
      <c r="WG1" s="90"/>
      <c r="WH1" s="90"/>
      <c r="WI1" s="90"/>
      <c r="WJ1" s="90"/>
      <c r="WK1" s="90"/>
      <c r="WL1" s="90"/>
      <c r="WM1" s="90"/>
      <c r="WN1" s="90"/>
      <c r="WO1" s="90"/>
      <c r="WP1" s="90"/>
      <c r="WQ1" s="90"/>
      <c r="WR1" s="90"/>
      <c r="WS1" s="90"/>
      <c r="WT1" s="90"/>
      <c r="WU1" s="90"/>
      <c r="WV1" s="90"/>
      <c r="WW1" s="90"/>
      <c r="WX1" s="90"/>
      <c r="WY1" s="90"/>
      <c r="WZ1" s="90"/>
      <c r="XA1" s="90"/>
      <c r="XB1" s="90"/>
      <c r="XC1" s="90"/>
      <c r="XD1" s="90"/>
      <c r="XE1" s="90"/>
      <c r="XF1" s="90"/>
      <c r="XG1" s="90"/>
      <c r="XH1" s="90"/>
      <c r="XI1" s="90"/>
      <c r="XJ1" s="90"/>
      <c r="XK1" s="90"/>
      <c r="XL1" s="90"/>
      <c r="XM1" s="90"/>
      <c r="XN1" s="90"/>
      <c r="XO1" s="90"/>
      <c r="XP1" s="90"/>
      <c r="XQ1" s="90"/>
      <c r="XR1" s="90"/>
      <c r="XS1" s="90"/>
      <c r="XT1" s="90"/>
      <c r="XU1" s="90"/>
      <c r="XV1" s="90"/>
      <c r="XW1" s="90"/>
      <c r="XX1" s="90"/>
      <c r="XY1" s="90"/>
      <c r="XZ1" s="90"/>
      <c r="YA1" s="90"/>
      <c r="YB1" s="90"/>
      <c r="YC1" s="90"/>
      <c r="YD1" s="90"/>
      <c r="YE1" s="90"/>
      <c r="YF1" s="90"/>
      <c r="YG1" s="90"/>
      <c r="YH1" s="90"/>
      <c r="YI1" s="90"/>
      <c r="YJ1" s="90"/>
      <c r="YK1" s="90"/>
      <c r="YL1" s="90"/>
      <c r="YM1" s="90"/>
      <c r="YN1" s="90"/>
      <c r="YO1" s="90"/>
      <c r="YP1" s="90"/>
      <c r="YQ1" s="90"/>
      <c r="YR1" s="90"/>
      <c r="YS1" s="90"/>
      <c r="YT1" s="90"/>
      <c r="YU1" s="90"/>
      <c r="YV1" s="90"/>
      <c r="YW1" s="90"/>
      <c r="YX1" s="90"/>
      <c r="YY1" s="90"/>
      <c r="YZ1" s="90"/>
      <c r="ZA1" s="90"/>
      <c r="ZB1" s="90"/>
      <c r="ZC1" s="90"/>
      <c r="ZD1" s="90"/>
      <c r="ZE1" s="90"/>
      <c r="ZF1" s="90"/>
      <c r="ZG1" s="90"/>
      <c r="ZH1" s="90"/>
      <c r="ZI1" s="90"/>
      <c r="ZJ1" s="90"/>
      <c r="ZK1" s="90"/>
      <c r="ZL1" s="90"/>
      <c r="ZM1" s="90"/>
      <c r="ZN1" s="90"/>
      <c r="ZO1" s="90"/>
      <c r="ZP1" s="90"/>
      <c r="ZQ1" s="90"/>
      <c r="ZR1" s="90"/>
      <c r="ZS1" s="90"/>
      <c r="ZT1" s="90"/>
      <c r="ZU1" s="90"/>
      <c r="ZV1" s="90"/>
      <c r="ZW1" s="90"/>
      <c r="ZX1" s="90"/>
      <c r="ZY1" s="90"/>
      <c r="ZZ1" s="90"/>
      <c r="AAA1" s="90"/>
      <c r="AAB1" s="90"/>
      <c r="AAC1" s="90"/>
      <c r="AAD1" s="90"/>
      <c r="AAE1" s="90"/>
      <c r="AAF1" s="90"/>
      <c r="AAG1" s="90"/>
      <c r="AAH1" s="90"/>
      <c r="AAI1" s="90"/>
      <c r="AAJ1" s="90"/>
      <c r="AAK1" s="90"/>
      <c r="AAL1" s="90"/>
      <c r="AAM1" s="90"/>
      <c r="AAN1" s="90"/>
      <c r="AAO1" s="90"/>
      <c r="AAP1" s="90"/>
      <c r="AAQ1" s="90"/>
      <c r="AAR1" s="90"/>
      <c r="AAS1" s="90"/>
      <c r="AAT1" s="90"/>
      <c r="AAU1" s="90"/>
      <c r="AAV1" s="90"/>
      <c r="AAW1" s="90"/>
      <c r="AAX1" s="90"/>
      <c r="AAY1" s="90"/>
      <c r="AAZ1" s="90"/>
      <c r="ABA1" s="90"/>
      <c r="ABB1" s="90"/>
      <c r="ABC1" s="90"/>
      <c r="ABD1" s="90"/>
      <c r="ABE1" s="90"/>
      <c r="ABF1" s="90"/>
      <c r="ABG1" s="90"/>
      <c r="ABH1" s="90"/>
      <c r="ABI1" s="90"/>
      <c r="ABJ1" s="90"/>
      <c r="ABK1" s="90"/>
      <c r="ABL1" s="90"/>
      <c r="ABM1" s="90"/>
      <c r="ABN1" s="90"/>
      <c r="ABO1" s="90"/>
      <c r="ABP1" s="90"/>
      <c r="ABQ1" s="90"/>
      <c r="ABR1" s="90"/>
      <c r="ABS1" s="90"/>
      <c r="ABT1" s="90"/>
      <c r="ABU1" s="90"/>
      <c r="ABV1" s="90"/>
      <c r="ABW1" s="90"/>
      <c r="ABX1" s="90"/>
      <c r="ABY1" s="90"/>
      <c r="ABZ1" s="90"/>
      <c r="ACA1" s="90"/>
      <c r="ACB1" s="90"/>
      <c r="ACC1" s="90"/>
      <c r="ACD1" s="90"/>
      <c r="ACE1" s="90"/>
      <c r="ACF1" s="90"/>
      <c r="ACG1" s="90"/>
      <c r="ACH1" s="90"/>
      <c r="ACI1" s="90"/>
      <c r="ACJ1" s="90"/>
      <c r="ACK1" s="90"/>
      <c r="ACL1" s="90"/>
      <c r="ACM1" s="90"/>
      <c r="ACN1" s="90"/>
      <c r="ACO1" s="90"/>
      <c r="ACP1" s="90"/>
      <c r="ACQ1" s="90"/>
      <c r="ACR1" s="90"/>
      <c r="ACS1" s="90"/>
      <c r="ACT1" s="90"/>
      <c r="ACU1" s="90"/>
      <c r="ACV1" s="90"/>
      <c r="ACW1" s="90"/>
      <c r="ACX1" s="90"/>
      <c r="ACY1" s="90"/>
      <c r="ACZ1" s="90"/>
      <c r="ADA1" s="90"/>
      <c r="ADB1" s="90"/>
      <c r="ADC1" s="90"/>
      <c r="ADD1" s="90"/>
      <c r="ADE1" s="90"/>
      <c r="ADF1" s="90"/>
      <c r="ADG1" s="90"/>
      <c r="ADH1" s="90"/>
      <c r="ADI1" s="90"/>
      <c r="ADJ1" s="90"/>
      <c r="ADK1" s="90"/>
      <c r="ADL1" s="90"/>
      <c r="ADM1" s="90"/>
      <c r="ADN1" s="90"/>
      <c r="ADO1" s="90"/>
      <c r="ADP1" s="90"/>
      <c r="ADQ1" s="90"/>
      <c r="ADR1" s="90"/>
      <c r="ADS1" s="90"/>
      <c r="ADT1" s="90"/>
      <c r="ADU1" s="90"/>
      <c r="ADV1" s="90"/>
      <c r="ADW1" s="90"/>
      <c r="ADX1" s="90"/>
      <c r="ADY1" s="90"/>
      <c r="ADZ1" s="90"/>
      <c r="AEA1" s="90"/>
      <c r="AEB1" s="90"/>
      <c r="AEC1" s="90"/>
      <c r="AED1" s="90"/>
      <c r="AEE1" s="90"/>
      <c r="AEF1" s="90"/>
      <c r="AEG1" s="90"/>
      <c r="AEH1" s="90"/>
      <c r="AEI1" s="90"/>
      <c r="AEJ1" s="90"/>
      <c r="AEK1" s="90"/>
      <c r="AEL1" s="90"/>
      <c r="AEM1" s="90"/>
      <c r="AEN1" s="90"/>
      <c r="AEO1" s="90"/>
      <c r="AEP1" s="90"/>
      <c r="AEQ1" s="90"/>
      <c r="AER1" s="90"/>
      <c r="AES1" s="90"/>
      <c r="AET1" s="90"/>
      <c r="AEU1" s="90"/>
      <c r="AEV1" s="90"/>
      <c r="AEW1" s="90"/>
      <c r="AEX1" s="90"/>
      <c r="AEY1" s="90"/>
      <c r="AEZ1" s="90"/>
      <c r="AFA1" s="90"/>
      <c r="AFB1" s="90"/>
      <c r="AFC1" s="90"/>
      <c r="AFD1" s="90"/>
      <c r="AFE1" s="90"/>
      <c r="AFF1" s="90"/>
      <c r="AFG1" s="90"/>
      <c r="AFH1" s="90"/>
      <c r="AFI1" s="90"/>
      <c r="AFJ1" s="90"/>
      <c r="AFK1" s="90"/>
      <c r="AFL1" s="90"/>
      <c r="AFM1" s="90"/>
      <c r="AFN1" s="90"/>
      <c r="AFO1" s="90"/>
      <c r="AFP1" s="90"/>
      <c r="AFQ1" s="90"/>
      <c r="AFR1" s="90"/>
      <c r="AFS1" s="90"/>
      <c r="AFT1" s="90"/>
      <c r="AFU1" s="90"/>
      <c r="AFV1" s="90"/>
      <c r="AFW1" s="90"/>
      <c r="AFX1" s="90"/>
      <c r="AFY1" s="90"/>
      <c r="AFZ1" s="90"/>
      <c r="AGA1" s="90"/>
      <c r="AGB1" s="90"/>
      <c r="AGC1" s="90"/>
      <c r="AGD1" s="90"/>
      <c r="AGE1" s="90"/>
      <c r="AGF1" s="90"/>
      <c r="AGG1" s="90"/>
      <c r="AGH1" s="90"/>
      <c r="AGI1" s="90"/>
      <c r="AGJ1" s="90"/>
      <c r="AGK1" s="90"/>
      <c r="AGL1" s="90"/>
      <c r="AGM1" s="90"/>
      <c r="AGN1" s="90"/>
      <c r="AGO1" s="90"/>
      <c r="AGP1" s="90"/>
      <c r="AGQ1" s="90"/>
      <c r="AGR1" s="90"/>
      <c r="AGS1" s="90"/>
      <c r="AGT1" s="90"/>
      <c r="AGU1" s="90"/>
      <c r="AGV1" s="90"/>
      <c r="AGW1" s="90"/>
      <c r="AGX1" s="90"/>
      <c r="AGY1" s="90"/>
      <c r="AGZ1" s="90"/>
      <c r="AHA1" s="90"/>
      <c r="AHB1" s="90"/>
      <c r="AHC1" s="90"/>
      <c r="AHD1" s="90"/>
      <c r="AHE1" s="90"/>
      <c r="AHF1" s="90"/>
      <c r="AHG1" s="90"/>
      <c r="AHH1" s="90"/>
      <c r="AHI1" s="90"/>
      <c r="AHJ1" s="90"/>
      <c r="AHK1" s="90"/>
      <c r="AHL1" s="90"/>
      <c r="AHM1" s="90"/>
      <c r="AHN1" s="90"/>
      <c r="AHO1" s="90"/>
      <c r="AHP1" s="90"/>
      <c r="AHQ1" s="90"/>
      <c r="AHR1" s="90"/>
      <c r="AHS1" s="90"/>
      <c r="AHT1" s="90"/>
      <c r="AHU1" s="90"/>
      <c r="AHV1" s="90"/>
      <c r="AHW1" s="90"/>
      <c r="AHX1" s="90"/>
      <c r="AHY1" s="90"/>
      <c r="AHZ1" s="90"/>
      <c r="AIA1" s="90"/>
      <c r="AIB1" s="90"/>
      <c r="AIC1" s="90"/>
      <c r="AID1" s="90"/>
      <c r="AIE1" s="90"/>
      <c r="AIF1" s="90"/>
      <c r="AIG1" s="90"/>
      <c r="AIH1" s="90"/>
      <c r="AII1" s="90"/>
      <c r="AIJ1" s="90"/>
      <c r="AIK1" s="90"/>
      <c r="AIL1" s="90"/>
      <c r="AIM1" s="90"/>
      <c r="AIN1" s="90"/>
      <c r="AIO1" s="90"/>
      <c r="AIP1" s="90"/>
      <c r="AIQ1" s="90"/>
      <c r="AIR1" s="90"/>
      <c r="AIS1" s="90"/>
      <c r="AIT1" s="90"/>
      <c r="AIU1" s="90"/>
      <c r="AIV1" s="90"/>
      <c r="AIW1" s="90"/>
      <c r="AIX1" s="90"/>
      <c r="AIY1" s="90"/>
      <c r="AIZ1" s="90"/>
      <c r="AJA1" s="90"/>
      <c r="AJB1" s="90"/>
      <c r="AJC1" s="90"/>
      <c r="AJD1" s="90"/>
      <c r="AJE1" s="90"/>
      <c r="AJF1" s="90"/>
      <c r="AJG1" s="90"/>
      <c r="AJH1" s="90"/>
      <c r="AJI1" s="90"/>
      <c r="AJJ1" s="90"/>
      <c r="AJK1" s="90"/>
      <c r="AJL1" s="90"/>
      <c r="AJM1" s="90"/>
      <c r="AJN1" s="90"/>
      <c r="AJO1" s="90"/>
      <c r="AJP1" s="90"/>
      <c r="AJQ1" s="90"/>
      <c r="AJR1" s="90"/>
      <c r="AJS1" s="90"/>
      <c r="AJT1" s="90"/>
      <c r="AJU1" s="90"/>
      <c r="AJV1" s="90"/>
      <c r="AJW1" s="90"/>
      <c r="AJX1" s="90"/>
      <c r="AJY1" s="90"/>
      <c r="AJZ1" s="90"/>
      <c r="AKA1" s="90"/>
      <c r="AKB1" s="90"/>
      <c r="AKC1" s="90"/>
      <c r="AKD1" s="90"/>
      <c r="AKE1" s="90"/>
      <c r="AKF1" s="90"/>
      <c r="AKG1" s="90"/>
      <c r="AKH1" s="90"/>
      <c r="AKI1" s="90"/>
      <c r="AKJ1" s="90"/>
      <c r="AKK1" s="90"/>
      <c r="AKL1" s="90"/>
      <c r="AKM1" s="90"/>
      <c r="AKN1" s="90"/>
      <c r="AKO1" s="90"/>
      <c r="AKP1" s="90"/>
      <c r="AKQ1" s="90"/>
      <c r="AKR1" s="90"/>
      <c r="AKS1" s="90"/>
      <c r="AKT1" s="90"/>
      <c r="AKU1" s="90"/>
      <c r="AKV1" s="90"/>
      <c r="AKW1" s="90"/>
      <c r="AKX1" s="90"/>
      <c r="AKY1" s="90"/>
      <c r="AKZ1" s="90"/>
      <c r="ALA1" s="90"/>
      <c r="ALB1" s="90"/>
      <c r="ALC1" s="90"/>
      <c r="ALD1" s="90"/>
      <c r="ALE1" s="90"/>
      <c r="ALF1" s="90"/>
      <c r="ALG1" s="90"/>
      <c r="ALH1" s="90"/>
      <c r="ALI1" s="90"/>
      <c r="ALJ1" s="90"/>
      <c r="ALK1" s="90"/>
      <c r="ALL1" s="90"/>
      <c r="ALM1" s="90"/>
      <c r="ALN1" s="90"/>
      <c r="ALO1" s="90"/>
      <c r="ALP1" s="90"/>
      <c r="ALQ1" s="90"/>
      <c r="ALR1" s="90"/>
      <c r="ALS1" s="90"/>
      <c r="ALT1" s="90"/>
      <c r="ALU1" s="90"/>
      <c r="ALV1" s="90"/>
      <c r="ALW1" s="90"/>
      <c r="ALX1" s="90"/>
      <c r="ALY1" s="90"/>
      <c r="ALZ1" s="90"/>
      <c r="AMA1" s="90"/>
      <c r="AMB1" s="90"/>
      <c r="AMC1" s="90"/>
      <c r="AMD1" s="90"/>
      <c r="AME1" s="90"/>
      <c r="AMF1" s="90"/>
      <c r="AMG1" s="90"/>
      <c r="AMH1" s="90"/>
      <c r="AMI1" s="90"/>
      <c r="AMJ1" s="90"/>
    </row>
    <row r="2" spans="1:1027" ht="23.5" customHeight="1">
      <c r="A2" s="114" t="s">
        <v>85</v>
      </c>
      <c r="B2" s="192" t="str">
        <f>CS!O4</f>
        <v>: 09/10/2026</v>
      </c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16"/>
      <c r="N2" s="116"/>
      <c r="O2" s="90"/>
      <c r="P2" s="90"/>
      <c r="Q2" s="90"/>
      <c r="R2" s="90" t="s">
        <v>84</v>
      </c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90"/>
      <c r="AX2" s="90"/>
      <c r="AY2" s="90"/>
      <c r="AZ2" s="90"/>
      <c r="BA2" s="90"/>
      <c r="BB2" s="90"/>
      <c r="BC2" s="90"/>
      <c r="BD2" s="90"/>
      <c r="BE2" s="90"/>
      <c r="BF2" s="90"/>
      <c r="BG2" s="90"/>
      <c r="BH2" s="90"/>
      <c r="BI2" s="90"/>
      <c r="BJ2" s="90"/>
      <c r="BK2" s="90"/>
      <c r="BL2" s="90"/>
      <c r="BM2" s="90"/>
      <c r="BN2" s="90"/>
      <c r="BO2" s="90"/>
      <c r="BP2" s="90"/>
      <c r="BQ2" s="90"/>
      <c r="BR2" s="90"/>
      <c r="BS2" s="90"/>
      <c r="BT2" s="90"/>
      <c r="BU2" s="90"/>
      <c r="BV2" s="90"/>
      <c r="BW2" s="90"/>
      <c r="BX2" s="90"/>
      <c r="BY2" s="90"/>
      <c r="BZ2" s="90"/>
      <c r="CA2" s="90"/>
      <c r="CB2" s="90"/>
      <c r="CC2" s="90"/>
      <c r="CD2" s="90"/>
      <c r="CE2" s="90"/>
      <c r="CF2" s="90"/>
      <c r="CG2" s="90"/>
      <c r="CH2" s="90"/>
      <c r="CI2" s="90"/>
      <c r="CJ2" s="90"/>
      <c r="CK2" s="90"/>
      <c r="CL2" s="90"/>
      <c r="CM2" s="90"/>
      <c r="CN2" s="90"/>
      <c r="CO2" s="90"/>
      <c r="CP2" s="90"/>
      <c r="CQ2" s="90"/>
      <c r="CR2" s="90"/>
      <c r="CS2" s="90"/>
      <c r="CT2" s="90"/>
      <c r="CU2" s="90"/>
      <c r="CV2" s="90"/>
      <c r="CW2" s="90"/>
      <c r="CX2" s="90"/>
      <c r="CY2" s="90"/>
      <c r="CZ2" s="90"/>
      <c r="DA2" s="90"/>
      <c r="DB2" s="90"/>
      <c r="DC2" s="90"/>
      <c r="DD2" s="90"/>
      <c r="DE2" s="90"/>
      <c r="DF2" s="90"/>
      <c r="DG2" s="90"/>
      <c r="DH2" s="90"/>
      <c r="DI2" s="90"/>
      <c r="DJ2" s="90"/>
      <c r="DK2" s="90"/>
      <c r="DL2" s="90"/>
      <c r="DM2" s="90"/>
      <c r="DN2" s="90"/>
      <c r="DO2" s="90"/>
      <c r="DP2" s="90"/>
      <c r="DQ2" s="90"/>
      <c r="DR2" s="90"/>
      <c r="DS2" s="90"/>
      <c r="DT2" s="90"/>
      <c r="DU2" s="90"/>
      <c r="DV2" s="90"/>
      <c r="DW2" s="90"/>
      <c r="DX2" s="90"/>
      <c r="DY2" s="90"/>
      <c r="DZ2" s="90"/>
      <c r="EA2" s="90"/>
      <c r="EB2" s="90"/>
      <c r="EC2" s="90"/>
      <c r="ED2" s="90"/>
      <c r="EE2" s="90"/>
      <c r="EF2" s="90"/>
      <c r="EG2" s="90"/>
      <c r="EH2" s="90"/>
      <c r="EI2" s="90"/>
      <c r="EJ2" s="90"/>
      <c r="EK2" s="90"/>
      <c r="EL2" s="90"/>
      <c r="EM2" s="90"/>
      <c r="EN2" s="90"/>
      <c r="EO2" s="90"/>
      <c r="EP2" s="90"/>
      <c r="EQ2" s="90"/>
      <c r="ER2" s="90"/>
      <c r="ES2" s="90"/>
      <c r="ET2" s="90"/>
      <c r="EU2" s="90"/>
      <c r="EV2" s="90"/>
      <c r="EW2" s="90"/>
      <c r="EX2" s="90"/>
      <c r="EY2" s="90"/>
      <c r="EZ2" s="90"/>
      <c r="FA2" s="90"/>
      <c r="FB2" s="90"/>
      <c r="FC2" s="90"/>
      <c r="FD2" s="90"/>
      <c r="FE2" s="90"/>
      <c r="FF2" s="90"/>
      <c r="FG2" s="90"/>
      <c r="FH2" s="90"/>
      <c r="FI2" s="90"/>
      <c r="FJ2" s="90"/>
      <c r="FK2" s="90"/>
      <c r="FL2" s="90"/>
      <c r="FM2" s="90"/>
      <c r="FN2" s="90"/>
      <c r="FO2" s="90"/>
      <c r="FP2" s="90"/>
      <c r="FQ2" s="90"/>
      <c r="FR2" s="90"/>
      <c r="FS2" s="90"/>
      <c r="FT2" s="90"/>
      <c r="FU2" s="90"/>
      <c r="FV2" s="90"/>
      <c r="FW2" s="90"/>
      <c r="FX2" s="90"/>
      <c r="FY2" s="90"/>
      <c r="FZ2" s="90"/>
      <c r="GA2" s="90"/>
      <c r="GB2" s="90"/>
      <c r="GC2" s="90"/>
      <c r="GD2" s="90"/>
      <c r="GE2" s="90"/>
      <c r="GF2" s="90"/>
      <c r="GG2" s="90"/>
      <c r="GH2" s="90"/>
      <c r="GI2" s="90"/>
      <c r="GJ2" s="90"/>
      <c r="GK2" s="90"/>
      <c r="GL2" s="90"/>
      <c r="GM2" s="90"/>
      <c r="GN2" s="90"/>
      <c r="GO2" s="90"/>
      <c r="GP2" s="90"/>
      <c r="GQ2" s="90"/>
      <c r="GR2" s="90"/>
      <c r="GS2" s="90"/>
      <c r="GT2" s="90"/>
      <c r="GU2" s="90"/>
      <c r="GV2" s="90"/>
      <c r="GW2" s="90"/>
      <c r="GX2" s="90"/>
      <c r="GY2" s="90"/>
      <c r="GZ2" s="90"/>
      <c r="HA2" s="90"/>
      <c r="HB2" s="90"/>
      <c r="HC2" s="90"/>
      <c r="HD2" s="90"/>
      <c r="HE2" s="90"/>
      <c r="HF2" s="90"/>
      <c r="HG2" s="90"/>
      <c r="HH2" s="90"/>
      <c r="HI2" s="90"/>
      <c r="HJ2" s="90"/>
      <c r="HK2" s="90"/>
      <c r="HL2" s="90"/>
      <c r="HM2" s="90"/>
      <c r="HN2" s="90"/>
      <c r="HO2" s="90"/>
      <c r="HP2" s="90"/>
      <c r="HQ2" s="90"/>
      <c r="HR2" s="90"/>
      <c r="HS2" s="90"/>
      <c r="HT2" s="90"/>
      <c r="HU2" s="90"/>
      <c r="HV2" s="90"/>
      <c r="HW2" s="90"/>
      <c r="HX2" s="90"/>
      <c r="HY2" s="90"/>
      <c r="HZ2" s="90"/>
      <c r="IA2" s="90"/>
      <c r="IB2" s="90"/>
      <c r="IC2" s="90"/>
      <c r="ID2" s="90"/>
      <c r="IE2" s="90"/>
      <c r="IF2" s="90"/>
      <c r="IG2" s="90"/>
      <c r="IH2" s="90"/>
      <c r="II2" s="90"/>
      <c r="IJ2" s="90"/>
      <c r="IK2" s="90"/>
      <c r="IL2" s="90"/>
      <c r="IM2" s="90"/>
      <c r="IN2" s="90"/>
      <c r="IO2" s="90"/>
      <c r="IP2" s="90"/>
      <c r="IQ2" s="90"/>
      <c r="IR2" s="90"/>
      <c r="IS2" s="90"/>
      <c r="IT2" s="90"/>
      <c r="IU2" s="90"/>
      <c r="IV2" s="90"/>
      <c r="IW2" s="90"/>
      <c r="IX2" s="90"/>
      <c r="IY2" s="90"/>
      <c r="IZ2" s="90"/>
      <c r="JA2" s="90"/>
      <c r="JB2" s="90"/>
      <c r="JC2" s="90"/>
      <c r="JD2" s="90"/>
      <c r="JE2" s="90"/>
      <c r="JF2" s="90"/>
      <c r="JG2" s="90"/>
      <c r="JH2" s="90"/>
      <c r="JI2" s="90"/>
      <c r="JJ2" s="90"/>
      <c r="JK2" s="90"/>
      <c r="JL2" s="90"/>
      <c r="JM2" s="90"/>
      <c r="JN2" s="90"/>
      <c r="JO2" s="90"/>
      <c r="JP2" s="90"/>
      <c r="JQ2" s="90"/>
      <c r="JR2" s="90"/>
      <c r="JS2" s="90"/>
      <c r="JT2" s="90"/>
      <c r="JU2" s="90"/>
      <c r="JV2" s="90"/>
      <c r="JW2" s="90"/>
      <c r="JX2" s="90"/>
      <c r="JY2" s="90"/>
      <c r="JZ2" s="90"/>
      <c r="KA2" s="90"/>
      <c r="KB2" s="90"/>
      <c r="KC2" s="90"/>
      <c r="KD2" s="90"/>
      <c r="KE2" s="90"/>
      <c r="KF2" s="90"/>
      <c r="KG2" s="90"/>
      <c r="KH2" s="90"/>
      <c r="KI2" s="90"/>
      <c r="KJ2" s="90"/>
      <c r="KK2" s="90"/>
      <c r="KL2" s="90"/>
      <c r="KM2" s="90"/>
      <c r="KN2" s="90"/>
      <c r="KO2" s="90"/>
      <c r="KP2" s="90"/>
      <c r="KQ2" s="90"/>
      <c r="KR2" s="90"/>
      <c r="KS2" s="90"/>
      <c r="KT2" s="90"/>
      <c r="KU2" s="90"/>
      <c r="KV2" s="90"/>
      <c r="KW2" s="90"/>
      <c r="KX2" s="90"/>
      <c r="KY2" s="90"/>
      <c r="KZ2" s="90"/>
      <c r="LA2" s="90"/>
      <c r="LB2" s="90"/>
      <c r="LC2" s="90"/>
      <c r="LD2" s="90"/>
      <c r="LE2" s="90"/>
      <c r="LF2" s="90"/>
      <c r="LG2" s="90"/>
      <c r="LH2" s="90"/>
      <c r="LI2" s="90"/>
      <c r="LJ2" s="90"/>
      <c r="LK2" s="90"/>
      <c r="LL2" s="90"/>
      <c r="LM2" s="90"/>
      <c r="LN2" s="90"/>
      <c r="LO2" s="90"/>
      <c r="LP2" s="90"/>
      <c r="LQ2" s="90"/>
      <c r="LR2" s="90"/>
      <c r="LS2" s="90"/>
      <c r="LT2" s="90"/>
      <c r="LU2" s="90"/>
      <c r="LV2" s="90"/>
      <c r="LW2" s="90"/>
      <c r="LX2" s="90"/>
      <c r="LY2" s="90"/>
      <c r="LZ2" s="90"/>
      <c r="MA2" s="90"/>
      <c r="MB2" s="90"/>
      <c r="MC2" s="90"/>
      <c r="MD2" s="90"/>
      <c r="ME2" s="90"/>
      <c r="MF2" s="90"/>
      <c r="MG2" s="90"/>
      <c r="MH2" s="90"/>
      <c r="MI2" s="90"/>
      <c r="MJ2" s="90"/>
      <c r="MK2" s="90"/>
      <c r="ML2" s="90"/>
      <c r="MM2" s="90"/>
      <c r="MN2" s="90"/>
      <c r="MO2" s="90"/>
      <c r="MP2" s="90"/>
      <c r="MQ2" s="90"/>
      <c r="MR2" s="90"/>
      <c r="MS2" s="90"/>
      <c r="MT2" s="90"/>
      <c r="MU2" s="90"/>
      <c r="MV2" s="90"/>
      <c r="MW2" s="90"/>
      <c r="MX2" s="90"/>
      <c r="MY2" s="90"/>
      <c r="MZ2" s="90"/>
      <c r="NA2" s="90"/>
      <c r="NB2" s="90"/>
      <c r="NC2" s="90"/>
      <c r="ND2" s="90"/>
      <c r="NE2" s="90"/>
      <c r="NF2" s="90"/>
      <c r="NG2" s="90"/>
      <c r="NH2" s="90"/>
      <c r="NI2" s="90"/>
      <c r="NJ2" s="90"/>
      <c r="NK2" s="90"/>
      <c r="NL2" s="90"/>
      <c r="NM2" s="90"/>
      <c r="NN2" s="90"/>
      <c r="NO2" s="90"/>
      <c r="NP2" s="90"/>
      <c r="NQ2" s="90"/>
      <c r="NR2" s="90"/>
      <c r="NS2" s="90"/>
      <c r="NT2" s="90"/>
      <c r="NU2" s="90"/>
      <c r="NV2" s="90"/>
      <c r="NW2" s="90"/>
      <c r="NX2" s="90"/>
      <c r="NY2" s="90"/>
      <c r="NZ2" s="90"/>
      <c r="OA2" s="90"/>
      <c r="OB2" s="90"/>
      <c r="OC2" s="90"/>
      <c r="OD2" s="90"/>
      <c r="OE2" s="90"/>
      <c r="OF2" s="90"/>
      <c r="OG2" s="90"/>
      <c r="OH2" s="90"/>
      <c r="OI2" s="90"/>
      <c r="OJ2" s="90"/>
      <c r="OK2" s="90"/>
      <c r="OL2" s="90"/>
      <c r="OM2" s="90"/>
      <c r="ON2" s="90"/>
      <c r="OO2" s="90"/>
      <c r="OP2" s="90"/>
      <c r="OQ2" s="90"/>
      <c r="OR2" s="90"/>
      <c r="OS2" s="90"/>
      <c r="OT2" s="90"/>
      <c r="OU2" s="90"/>
      <c r="OV2" s="90"/>
      <c r="OW2" s="90"/>
      <c r="OX2" s="90"/>
      <c r="OY2" s="90"/>
      <c r="OZ2" s="90"/>
      <c r="PA2" s="90"/>
      <c r="PB2" s="90"/>
      <c r="PC2" s="90"/>
      <c r="PD2" s="90"/>
      <c r="PE2" s="90"/>
      <c r="PF2" s="90"/>
      <c r="PG2" s="90"/>
      <c r="PH2" s="90"/>
      <c r="PI2" s="90"/>
      <c r="PJ2" s="90"/>
      <c r="PK2" s="90"/>
      <c r="PL2" s="90"/>
      <c r="PM2" s="90"/>
      <c r="PN2" s="90"/>
      <c r="PO2" s="90"/>
      <c r="PP2" s="90"/>
      <c r="PQ2" s="90"/>
      <c r="PR2" s="90"/>
      <c r="PS2" s="90"/>
      <c r="PT2" s="90"/>
      <c r="PU2" s="90"/>
      <c r="PV2" s="90"/>
      <c r="PW2" s="90"/>
      <c r="PX2" s="90"/>
      <c r="PY2" s="90"/>
      <c r="PZ2" s="90"/>
      <c r="QA2" s="90"/>
      <c r="QB2" s="90"/>
      <c r="QC2" s="90"/>
      <c r="QD2" s="90"/>
      <c r="QE2" s="90"/>
      <c r="QF2" s="90"/>
      <c r="QG2" s="90"/>
      <c r="QH2" s="90"/>
      <c r="QI2" s="90"/>
      <c r="QJ2" s="90"/>
      <c r="QK2" s="90"/>
      <c r="QL2" s="90"/>
      <c r="QM2" s="90"/>
      <c r="QN2" s="90"/>
      <c r="QO2" s="90"/>
      <c r="QP2" s="90"/>
      <c r="QQ2" s="90"/>
      <c r="QR2" s="90"/>
      <c r="QS2" s="90"/>
      <c r="QT2" s="90"/>
      <c r="QU2" s="90"/>
      <c r="QV2" s="90"/>
      <c r="QW2" s="90"/>
      <c r="QX2" s="90"/>
      <c r="QY2" s="90"/>
      <c r="QZ2" s="90"/>
      <c r="RA2" s="90"/>
      <c r="RB2" s="90"/>
      <c r="RC2" s="90"/>
      <c r="RD2" s="90"/>
      <c r="RE2" s="90"/>
      <c r="RF2" s="90"/>
      <c r="RG2" s="90"/>
      <c r="RH2" s="90"/>
      <c r="RI2" s="90"/>
      <c r="RJ2" s="90"/>
      <c r="RK2" s="90"/>
      <c r="RL2" s="90"/>
      <c r="RM2" s="90"/>
      <c r="RN2" s="90"/>
      <c r="RO2" s="90"/>
      <c r="RP2" s="90"/>
      <c r="RQ2" s="90"/>
      <c r="RR2" s="90"/>
      <c r="RS2" s="90"/>
      <c r="RT2" s="90"/>
      <c r="RU2" s="90"/>
      <c r="RV2" s="90"/>
      <c r="RW2" s="90"/>
      <c r="RX2" s="90"/>
      <c r="RY2" s="90"/>
      <c r="RZ2" s="90"/>
      <c r="SA2" s="90"/>
      <c r="SB2" s="90"/>
      <c r="SC2" s="90"/>
      <c r="SD2" s="90"/>
      <c r="SE2" s="90"/>
      <c r="SF2" s="90"/>
      <c r="SG2" s="90"/>
      <c r="SH2" s="90"/>
      <c r="SI2" s="90"/>
      <c r="SJ2" s="90"/>
      <c r="SK2" s="90"/>
      <c r="SL2" s="90"/>
      <c r="SM2" s="90"/>
      <c r="SN2" s="90"/>
      <c r="SO2" s="90"/>
      <c r="SP2" s="90"/>
      <c r="SQ2" s="90"/>
      <c r="SR2" s="90"/>
      <c r="SS2" s="90"/>
      <c r="ST2" s="90"/>
      <c r="SU2" s="90"/>
      <c r="SV2" s="90"/>
      <c r="SW2" s="90"/>
      <c r="SX2" s="90"/>
      <c r="SY2" s="90"/>
      <c r="SZ2" s="90"/>
      <c r="TA2" s="90"/>
      <c r="TB2" s="90"/>
      <c r="TC2" s="90"/>
      <c r="TD2" s="90"/>
      <c r="TE2" s="90"/>
      <c r="TF2" s="90"/>
      <c r="TG2" s="90"/>
      <c r="TH2" s="90"/>
      <c r="TI2" s="90"/>
      <c r="TJ2" s="90"/>
      <c r="TK2" s="90"/>
      <c r="TL2" s="90"/>
      <c r="TM2" s="90"/>
      <c r="TN2" s="90"/>
      <c r="TO2" s="90"/>
      <c r="TP2" s="90"/>
      <c r="TQ2" s="90"/>
      <c r="TR2" s="90"/>
      <c r="TS2" s="90"/>
      <c r="TT2" s="90"/>
      <c r="TU2" s="90"/>
      <c r="TV2" s="90"/>
      <c r="TW2" s="90"/>
      <c r="TX2" s="90"/>
      <c r="TY2" s="90"/>
      <c r="TZ2" s="90"/>
      <c r="UA2" s="90"/>
      <c r="UB2" s="90"/>
      <c r="UC2" s="90"/>
      <c r="UD2" s="90"/>
      <c r="UE2" s="90"/>
      <c r="UF2" s="90"/>
      <c r="UG2" s="90"/>
      <c r="UH2" s="90"/>
      <c r="UI2" s="90"/>
      <c r="UJ2" s="90"/>
      <c r="UK2" s="90"/>
      <c r="UL2" s="90"/>
      <c r="UM2" s="90"/>
      <c r="UN2" s="90"/>
      <c r="UO2" s="90"/>
      <c r="UP2" s="90"/>
      <c r="UQ2" s="90"/>
      <c r="UR2" s="90"/>
      <c r="US2" s="90"/>
      <c r="UT2" s="90"/>
      <c r="UU2" s="90"/>
      <c r="UV2" s="90"/>
      <c r="UW2" s="90"/>
      <c r="UX2" s="90"/>
      <c r="UY2" s="90"/>
      <c r="UZ2" s="90"/>
      <c r="VA2" s="90"/>
      <c r="VB2" s="90"/>
      <c r="VC2" s="90"/>
      <c r="VD2" s="90"/>
      <c r="VE2" s="90"/>
      <c r="VF2" s="90"/>
      <c r="VG2" s="90"/>
      <c r="VH2" s="90"/>
      <c r="VI2" s="90"/>
      <c r="VJ2" s="90"/>
      <c r="VK2" s="90"/>
      <c r="VL2" s="90"/>
      <c r="VM2" s="90"/>
      <c r="VN2" s="90"/>
      <c r="VO2" s="90"/>
      <c r="VP2" s="90"/>
      <c r="VQ2" s="90"/>
      <c r="VR2" s="90"/>
      <c r="VS2" s="90"/>
      <c r="VT2" s="90"/>
      <c r="VU2" s="90"/>
      <c r="VV2" s="90"/>
      <c r="VW2" s="90"/>
      <c r="VX2" s="90"/>
      <c r="VY2" s="90"/>
      <c r="VZ2" s="90"/>
      <c r="WA2" s="90"/>
      <c r="WB2" s="90"/>
      <c r="WC2" s="90"/>
      <c r="WD2" s="90"/>
      <c r="WE2" s="90"/>
      <c r="WF2" s="90"/>
      <c r="WG2" s="90"/>
      <c r="WH2" s="90"/>
      <c r="WI2" s="90"/>
      <c r="WJ2" s="90"/>
      <c r="WK2" s="90"/>
      <c r="WL2" s="90"/>
      <c r="WM2" s="90"/>
      <c r="WN2" s="90"/>
      <c r="WO2" s="90"/>
      <c r="WP2" s="90"/>
      <c r="WQ2" s="90"/>
      <c r="WR2" s="90"/>
      <c r="WS2" s="90"/>
      <c r="WT2" s="90"/>
      <c r="WU2" s="90"/>
      <c r="WV2" s="90"/>
      <c r="WW2" s="90"/>
      <c r="WX2" s="90"/>
      <c r="WY2" s="90"/>
      <c r="WZ2" s="90"/>
      <c r="XA2" s="90"/>
      <c r="XB2" s="90"/>
      <c r="XC2" s="90"/>
      <c r="XD2" s="90"/>
      <c r="XE2" s="90"/>
      <c r="XF2" s="90"/>
      <c r="XG2" s="90"/>
      <c r="XH2" s="90"/>
      <c r="XI2" s="90"/>
      <c r="XJ2" s="90"/>
      <c r="XK2" s="90"/>
      <c r="XL2" s="90"/>
      <c r="XM2" s="90"/>
      <c r="XN2" s="90"/>
      <c r="XO2" s="90"/>
      <c r="XP2" s="90"/>
      <c r="XQ2" s="90"/>
      <c r="XR2" s="90"/>
      <c r="XS2" s="90"/>
      <c r="XT2" s="90"/>
      <c r="XU2" s="90"/>
      <c r="XV2" s="90"/>
      <c r="XW2" s="90"/>
      <c r="XX2" s="90"/>
      <c r="XY2" s="90"/>
      <c r="XZ2" s="90"/>
      <c r="YA2" s="90"/>
      <c r="YB2" s="90"/>
      <c r="YC2" s="90"/>
      <c r="YD2" s="90"/>
      <c r="YE2" s="90"/>
      <c r="YF2" s="90"/>
      <c r="YG2" s="90"/>
      <c r="YH2" s="90"/>
      <c r="YI2" s="90"/>
      <c r="YJ2" s="90"/>
      <c r="YK2" s="90"/>
      <c r="YL2" s="90"/>
      <c r="YM2" s="90"/>
      <c r="YN2" s="90"/>
      <c r="YO2" s="90"/>
      <c r="YP2" s="90"/>
      <c r="YQ2" s="90"/>
      <c r="YR2" s="90"/>
      <c r="YS2" s="90"/>
      <c r="YT2" s="90"/>
      <c r="YU2" s="90"/>
      <c r="YV2" s="90"/>
      <c r="YW2" s="90"/>
      <c r="YX2" s="90"/>
      <c r="YY2" s="90"/>
      <c r="YZ2" s="90"/>
      <c r="ZA2" s="90"/>
      <c r="ZB2" s="90"/>
      <c r="ZC2" s="90"/>
      <c r="ZD2" s="90"/>
      <c r="ZE2" s="90"/>
      <c r="ZF2" s="90"/>
      <c r="ZG2" s="90"/>
      <c r="ZH2" s="90"/>
      <c r="ZI2" s="90"/>
      <c r="ZJ2" s="90"/>
      <c r="ZK2" s="90"/>
      <c r="ZL2" s="90"/>
      <c r="ZM2" s="90"/>
      <c r="ZN2" s="90"/>
      <c r="ZO2" s="90"/>
      <c r="ZP2" s="90"/>
      <c r="ZQ2" s="90"/>
      <c r="ZR2" s="90"/>
      <c r="ZS2" s="90"/>
      <c r="ZT2" s="90"/>
      <c r="ZU2" s="90"/>
      <c r="ZV2" s="90"/>
      <c r="ZW2" s="90"/>
      <c r="ZX2" s="90"/>
      <c r="ZY2" s="90"/>
      <c r="ZZ2" s="90"/>
      <c r="AAA2" s="90"/>
      <c r="AAB2" s="90"/>
      <c r="AAC2" s="90"/>
      <c r="AAD2" s="90"/>
      <c r="AAE2" s="90"/>
      <c r="AAF2" s="90"/>
      <c r="AAG2" s="90"/>
      <c r="AAH2" s="90"/>
      <c r="AAI2" s="90"/>
      <c r="AAJ2" s="90"/>
      <c r="AAK2" s="90"/>
      <c r="AAL2" s="90"/>
      <c r="AAM2" s="90"/>
      <c r="AAN2" s="90"/>
      <c r="AAO2" s="90"/>
      <c r="AAP2" s="90"/>
      <c r="AAQ2" s="90"/>
      <c r="AAR2" s="90"/>
      <c r="AAS2" s="90"/>
      <c r="AAT2" s="90"/>
      <c r="AAU2" s="90"/>
      <c r="AAV2" s="90"/>
      <c r="AAW2" s="90"/>
      <c r="AAX2" s="90"/>
      <c r="AAY2" s="90"/>
      <c r="AAZ2" s="90"/>
      <c r="ABA2" s="90"/>
      <c r="ABB2" s="90"/>
      <c r="ABC2" s="90"/>
      <c r="ABD2" s="90"/>
      <c r="ABE2" s="90"/>
      <c r="ABF2" s="90"/>
      <c r="ABG2" s="90"/>
      <c r="ABH2" s="90"/>
      <c r="ABI2" s="90"/>
      <c r="ABJ2" s="90"/>
      <c r="ABK2" s="90"/>
      <c r="ABL2" s="90"/>
      <c r="ABM2" s="90"/>
      <c r="ABN2" s="90"/>
      <c r="ABO2" s="90"/>
      <c r="ABP2" s="90"/>
      <c r="ABQ2" s="90"/>
      <c r="ABR2" s="90"/>
      <c r="ABS2" s="90"/>
      <c r="ABT2" s="90"/>
      <c r="ABU2" s="90"/>
      <c r="ABV2" s="90"/>
      <c r="ABW2" s="90"/>
      <c r="ABX2" s="90"/>
      <c r="ABY2" s="90"/>
      <c r="ABZ2" s="90"/>
      <c r="ACA2" s="90"/>
      <c r="ACB2" s="90"/>
      <c r="ACC2" s="90"/>
      <c r="ACD2" s="90"/>
      <c r="ACE2" s="90"/>
      <c r="ACF2" s="90"/>
      <c r="ACG2" s="90"/>
      <c r="ACH2" s="90"/>
      <c r="ACI2" s="90"/>
      <c r="ACJ2" s="90"/>
      <c r="ACK2" s="90"/>
      <c r="ACL2" s="90"/>
      <c r="ACM2" s="90"/>
      <c r="ACN2" s="90"/>
      <c r="ACO2" s="90"/>
      <c r="ACP2" s="90"/>
      <c r="ACQ2" s="90"/>
      <c r="ACR2" s="90"/>
      <c r="ACS2" s="90"/>
      <c r="ACT2" s="90"/>
      <c r="ACU2" s="90"/>
      <c r="ACV2" s="90"/>
      <c r="ACW2" s="90"/>
      <c r="ACX2" s="90"/>
      <c r="ACY2" s="90"/>
      <c r="ACZ2" s="90"/>
      <c r="ADA2" s="90"/>
      <c r="ADB2" s="90"/>
      <c r="ADC2" s="90"/>
      <c r="ADD2" s="90"/>
      <c r="ADE2" s="90"/>
      <c r="ADF2" s="90"/>
      <c r="ADG2" s="90"/>
      <c r="ADH2" s="90"/>
      <c r="ADI2" s="90"/>
      <c r="ADJ2" s="90"/>
      <c r="ADK2" s="90"/>
      <c r="ADL2" s="90"/>
      <c r="ADM2" s="90"/>
      <c r="ADN2" s="90"/>
      <c r="ADO2" s="90"/>
      <c r="ADP2" s="90"/>
      <c r="ADQ2" s="90"/>
      <c r="ADR2" s="90"/>
      <c r="ADS2" s="90"/>
      <c r="ADT2" s="90"/>
      <c r="ADU2" s="90"/>
      <c r="ADV2" s="90"/>
      <c r="ADW2" s="90"/>
      <c r="ADX2" s="90"/>
      <c r="ADY2" s="90"/>
      <c r="ADZ2" s="90"/>
      <c r="AEA2" s="90"/>
      <c r="AEB2" s="90"/>
      <c r="AEC2" s="90"/>
      <c r="AED2" s="90"/>
      <c r="AEE2" s="90"/>
      <c r="AEF2" s="90"/>
      <c r="AEG2" s="90"/>
      <c r="AEH2" s="90"/>
      <c r="AEI2" s="90"/>
      <c r="AEJ2" s="90"/>
      <c r="AEK2" s="90"/>
      <c r="AEL2" s="90"/>
      <c r="AEM2" s="90"/>
      <c r="AEN2" s="90"/>
      <c r="AEO2" s="90"/>
      <c r="AEP2" s="90"/>
      <c r="AEQ2" s="90"/>
      <c r="AER2" s="90"/>
      <c r="AES2" s="90"/>
      <c r="AET2" s="90"/>
      <c r="AEU2" s="90"/>
      <c r="AEV2" s="90"/>
      <c r="AEW2" s="90"/>
      <c r="AEX2" s="90"/>
      <c r="AEY2" s="90"/>
      <c r="AEZ2" s="90"/>
      <c r="AFA2" s="90"/>
      <c r="AFB2" s="90"/>
      <c r="AFC2" s="90"/>
      <c r="AFD2" s="90"/>
      <c r="AFE2" s="90"/>
      <c r="AFF2" s="90"/>
      <c r="AFG2" s="90"/>
      <c r="AFH2" s="90"/>
      <c r="AFI2" s="90"/>
      <c r="AFJ2" s="90"/>
      <c r="AFK2" s="90"/>
      <c r="AFL2" s="90"/>
      <c r="AFM2" s="90"/>
      <c r="AFN2" s="90"/>
      <c r="AFO2" s="90"/>
      <c r="AFP2" s="90"/>
      <c r="AFQ2" s="90"/>
      <c r="AFR2" s="90"/>
      <c r="AFS2" s="90"/>
      <c r="AFT2" s="90"/>
      <c r="AFU2" s="90"/>
      <c r="AFV2" s="90"/>
      <c r="AFW2" s="90"/>
      <c r="AFX2" s="90"/>
      <c r="AFY2" s="90"/>
      <c r="AFZ2" s="90"/>
      <c r="AGA2" s="90"/>
      <c r="AGB2" s="90"/>
      <c r="AGC2" s="90"/>
      <c r="AGD2" s="90"/>
      <c r="AGE2" s="90"/>
      <c r="AGF2" s="90"/>
      <c r="AGG2" s="90"/>
      <c r="AGH2" s="90"/>
      <c r="AGI2" s="90"/>
      <c r="AGJ2" s="90"/>
      <c r="AGK2" s="90"/>
      <c r="AGL2" s="90"/>
      <c r="AGM2" s="90"/>
      <c r="AGN2" s="90"/>
      <c r="AGO2" s="90"/>
      <c r="AGP2" s="90"/>
      <c r="AGQ2" s="90"/>
      <c r="AGR2" s="90"/>
      <c r="AGS2" s="90"/>
      <c r="AGT2" s="90"/>
      <c r="AGU2" s="90"/>
      <c r="AGV2" s="90"/>
      <c r="AGW2" s="90"/>
      <c r="AGX2" s="90"/>
      <c r="AGY2" s="90"/>
      <c r="AGZ2" s="90"/>
      <c r="AHA2" s="90"/>
      <c r="AHB2" s="90"/>
      <c r="AHC2" s="90"/>
      <c r="AHD2" s="90"/>
      <c r="AHE2" s="90"/>
      <c r="AHF2" s="90"/>
      <c r="AHG2" s="90"/>
      <c r="AHH2" s="90"/>
      <c r="AHI2" s="90"/>
      <c r="AHJ2" s="90"/>
      <c r="AHK2" s="90"/>
      <c r="AHL2" s="90"/>
      <c r="AHM2" s="90"/>
      <c r="AHN2" s="90"/>
      <c r="AHO2" s="90"/>
      <c r="AHP2" s="90"/>
      <c r="AHQ2" s="90"/>
      <c r="AHR2" s="90"/>
      <c r="AHS2" s="90"/>
      <c r="AHT2" s="90"/>
      <c r="AHU2" s="90"/>
      <c r="AHV2" s="90"/>
      <c r="AHW2" s="90"/>
      <c r="AHX2" s="90"/>
      <c r="AHY2" s="90"/>
      <c r="AHZ2" s="90"/>
      <c r="AIA2" s="90"/>
      <c r="AIB2" s="90"/>
      <c r="AIC2" s="90"/>
      <c r="AID2" s="90"/>
      <c r="AIE2" s="90"/>
      <c r="AIF2" s="90"/>
      <c r="AIG2" s="90"/>
      <c r="AIH2" s="90"/>
      <c r="AII2" s="90"/>
      <c r="AIJ2" s="90"/>
      <c r="AIK2" s="90"/>
      <c r="AIL2" s="90"/>
      <c r="AIM2" s="90"/>
      <c r="AIN2" s="90"/>
      <c r="AIO2" s="90"/>
      <c r="AIP2" s="90"/>
      <c r="AIQ2" s="90"/>
      <c r="AIR2" s="90"/>
      <c r="AIS2" s="90"/>
      <c r="AIT2" s="90"/>
      <c r="AIU2" s="90"/>
      <c r="AIV2" s="90"/>
      <c r="AIW2" s="90"/>
      <c r="AIX2" s="90"/>
      <c r="AIY2" s="90"/>
      <c r="AIZ2" s="90"/>
      <c r="AJA2" s="90"/>
      <c r="AJB2" s="90"/>
      <c r="AJC2" s="90"/>
      <c r="AJD2" s="90"/>
      <c r="AJE2" s="90"/>
      <c r="AJF2" s="90"/>
      <c r="AJG2" s="90"/>
      <c r="AJH2" s="90"/>
      <c r="AJI2" s="90"/>
      <c r="AJJ2" s="90"/>
      <c r="AJK2" s="90"/>
      <c r="AJL2" s="90"/>
      <c r="AJM2" s="90"/>
      <c r="AJN2" s="90"/>
      <c r="AJO2" s="90"/>
      <c r="AJP2" s="90"/>
      <c r="AJQ2" s="90"/>
      <c r="AJR2" s="90"/>
      <c r="AJS2" s="90"/>
      <c r="AJT2" s="90"/>
      <c r="AJU2" s="90"/>
      <c r="AJV2" s="90"/>
      <c r="AJW2" s="90"/>
      <c r="AJX2" s="90"/>
      <c r="AJY2" s="90"/>
      <c r="AJZ2" s="90"/>
      <c r="AKA2" s="90"/>
      <c r="AKB2" s="90"/>
      <c r="AKC2" s="90"/>
      <c r="AKD2" s="90"/>
      <c r="AKE2" s="90"/>
      <c r="AKF2" s="90"/>
      <c r="AKG2" s="90"/>
      <c r="AKH2" s="90"/>
      <c r="AKI2" s="90"/>
      <c r="AKJ2" s="90"/>
      <c r="AKK2" s="90"/>
      <c r="AKL2" s="90"/>
      <c r="AKM2" s="90"/>
      <c r="AKN2" s="90"/>
      <c r="AKO2" s="90"/>
      <c r="AKP2" s="90"/>
      <c r="AKQ2" s="90"/>
      <c r="AKR2" s="90"/>
      <c r="AKS2" s="90"/>
      <c r="AKT2" s="90"/>
      <c r="AKU2" s="90"/>
      <c r="AKV2" s="90"/>
      <c r="AKW2" s="90"/>
      <c r="AKX2" s="90"/>
      <c r="AKY2" s="90"/>
      <c r="AKZ2" s="90"/>
      <c r="ALA2" s="90"/>
      <c r="ALB2" s="90"/>
      <c r="ALC2" s="90"/>
      <c r="ALD2" s="90"/>
      <c r="ALE2" s="90"/>
      <c r="ALF2" s="90"/>
      <c r="ALG2" s="90"/>
      <c r="ALH2" s="90"/>
      <c r="ALI2" s="90"/>
      <c r="ALJ2" s="90"/>
      <c r="ALK2" s="90"/>
      <c r="ALL2" s="90"/>
      <c r="ALM2" s="90"/>
      <c r="ALN2" s="90"/>
      <c r="ALO2" s="90"/>
      <c r="ALP2" s="90"/>
      <c r="ALQ2" s="90"/>
      <c r="ALR2" s="90"/>
      <c r="ALS2" s="90"/>
      <c r="ALT2" s="90"/>
      <c r="ALU2" s="90"/>
      <c r="ALV2" s="90"/>
      <c r="ALW2" s="90"/>
      <c r="ALX2" s="90"/>
      <c r="ALY2" s="90"/>
      <c r="ALZ2" s="90"/>
      <c r="AMA2" s="90"/>
      <c r="AMB2" s="90"/>
      <c r="AMC2" s="90"/>
      <c r="AMD2" s="90"/>
      <c r="AME2" s="90"/>
      <c r="AMF2" s="90"/>
      <c r="AMG2" s="90"/>
      <c r="AMH2" s="90"/>
      <c r="AMI2" s="90"/>
      <c r="AMJ2" s="90"/>
    </row>
    <row r="3" spans="1:1027" ht="22" customHeight="1">
      <c r="A3" s="114" t="s">
        <v>83</v>
      </c>
      <c r="B3" s="193" t="str">
        <f>CS!F3</f>
        <v>NITORI-HO CHI MINH</v>
      </c>
      <c r="C3" s="193"/>
      <c r="D3" s="193"/>
      <c r="E3" s="193"/>
      <c r="F3" s="193"/>
      <c r="G3" s="193"/>
      <c r="H3" s="193"/>
      <c r="I3" s="193"/>
      <c r="J3" s="193"/>
      <c r="K3" s="193"/>
      <c r="L3" s="193"/>
      <c r="M3" s="113"/>
      <c r="N3" s="113"/>
      <c r="O3" s="99"/>
      <c r="P3" s="90"/>
      <c r="Q3" s="90"/>
      <c r="R3" s="115" t="str">
        <f>CS!W3</f>
        <v>1200001169</v>
      </c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0"/>
      <c r="BG3" s="90"/>
      <c r="BH3" s="90"/>
      <c r="BI3" s="90"/>
      <c r="BJ3" s="90"/>
      <c r="BK3" s="90"/>
      <c r="BL3" s="90"/>
      <c r="BM3" s="90"/>
      <c r="BN3" s="90"/>
      <c r="BO3" s="90"/>
      <c r="BP3" s="90"/>
      <c r="BQ3" s="90"/>
      <c r="BR3" s="90"/>
      <c r="BS3" s="90"/>
      <c r="BT3" s="90"/>
      <c r="BU3" s="90"/>
      <c r="BV3" s="90"/>
      <c r="BW3" s="90"/>
      <c r="BX3" s="90"/>
      <c r="BY3" s="90"/>
      <c r="BZ3" s="90"/>
      <c r="CA3" s="90"/>
      <c r="CB3" s="90"/>
      <c r="CC3" s="90"/>
      <c r="CD3" s="90"/>
      <c r="CE3" s="90"/>
      <c r="CF3" s="90"/>
      <c r="CG3" s="90"/>
      <c r="CH3" s="90"/>
      <c r="CI3" s="90"/>
      <c r="CJ3" s="90"/>
      <c r="CK3" s="90"/>
      <c r="CL3" s="90"/>
      <c r="CM3" s="90"/>
      <c r="CN3" s="90"/>
      <c r="CO3" s="90"/>
      <c r="CP3" s="90"/>
      <c r="CQ3" s="90"/>
      <c r="CR3" s="90"/>
      <c r="CS3" s="90"/>
      <c r="CT3" s="90"/>
      <c r="CU3" s="90"/>
      <c r="CV3" s="90"/>
      <c r="CW3" s="90"/>
      <c r="CX3" s="90"/>
      <c r="CY3" s="90"/>
      <c r="CZ3" s="90"/>
      <c r="DA3" s="90"/>
      <c r="DB3" s="90"/>
      <c r="DC3" s="90"/>
      <c r="DD3" s="90"/>
      <c r="DE3" s="90"/>
      <c r="DF3" s="90"/>
      <c r="DG3" s="90"/>
      <c r="DH3" s="90"/>
      <c r="DI3" s="90"/>
      <c r="DJ3" s="90"/>
      <c r="DK3" s="90"/>
      <c r="DL3" s="90"/>
      <c r="DM3" s="90"/>
      <c r="DN3" s="90"/>
      <c r="DO3" s="90"/>
      <c r="DP3" s="90"/>
      <c r="DQ3" s="90"/>
      <c r="DR3" s="90"/>
      <c r="DS3" s="90"/>
      <c r="DT3" s="90"/>
      <c r="DU3" s="90"/>
      <c r="DV3" s="90"/>
      <c r="DW3" s="90"/>
      <c r="DX3" s="90"/>
      <c r="DY3" s="90"/>
      <c r="DZ3" s="90"/>
      <c r="EA3" s="90"/>
      <c r="EB3" s="90"/>
      <c r="EC3" s="90"/>
      <c r="ED3" s="90"/>
      <c r="EE3" s="90"/>
      <c r="EF3" s="90"/>
      <c r="EG3" s="90"/>
      <c r="EH3" s="90"/>
      <c r="EI3" s="90"/>
      <c r="EJ3" s="90"/>
      <c r="EK3" s="90"/>
      <c r="EL3" s="90"/>
      <c r="EM3" s="90"/>
      <c r="EN3" s="90"/>
      <c r="EO3" s="90"/>
      <c r="EP3" s="90"/>
      <c r="EQ3" s="90"/>
      <c r="ER3" s="90"/>
      <c r="ES3" s="90"/>
      <c r="ET3" s="90"/>
      <c r="EU3" s="90"/>
      <c r="EV3" s="90"/>
      <c r="EW3" s="90"/>
      <c r="EX3" s="90"/>
      <c r="EY3" s="90"/>
      <c r="EZ3" s="90"/>
      <c r="FA3" s="90"/>
      <c r="FB3" s="90"/>
      <c r="FC3" s="90"/>
      <c r="FD3" s="90"/>
      <c r="FE3" s="90"/>
      <c r="FF3" s="90"/>
      <c r="FG3" s="90"/>
      <c r="FH3" s="90"/>
      <c r="FI3" s="90"/>
      <c r="FJ3" s="90"/>
      <c r="FK3" s="90"/>
      <c r="FL3" s="90"/>
      <c r="FM3" s="90"/>
      <c r="FN3" s="90"/>
      <c r="FO3" s="90"/>
      <c r="FP3" s="90"/>
      <c r="FQ3" s="90"/>
      <c r="FR3" s="90"/>
      <c r="FS3" s="90"/>
      <c r="FT3" s="90"/>
      <c r="FU3" s="90"/>
      <c r="FV3" s="90"/>
      <c r="FW3" s="90"/>
      <c r="FX3" s="90"/>
      <c r="FY3" s="90"/>
      <c r="FZ3" s="90"/>
      <c r="GA3" s="90"/>
      <c r="GB3" s="90"/>
      <c r="GC3" s="90"/>
      <c r="GD3" s="90"/>
      <c r="GE3" s="90"/>
      <c r="GF3" s="90"/>
      <c r="GG3" s="90"/>
      <c r="GH3" s="90"/>
      <c r="GI3" s="90"/>
      <c r="GJ3" s="90"/>
      <c r="GK3" s="90"/>
      <c r="GL3" s="90"/>
      <c r="GM3" s="90"/>
      <c r="GN3" s="90"/>
      <c r="GO3" s="90"/>
      <c r="GP3" s="90"/>
      <c r="GQ3" s="90"/>
      <c r="GR3" s="90"/>
      <c r="GS3" s="90"/>
      <c r="GT3" s="90"/>
      <c r="GU3" s="90"/>
      <c r="GV3" s="90"/>
      <c r="GW3" s="90"/>
      <c r="GX3" s="90"/>
      <c r="GY3" s="90"/>
      <c r="GZ3" s="90"/>
      <c r="HA3" s="90"/>
      <c r="HB3" s="90"/>
      <c r="HC3" s="90"/>
      <c r="HD3" s="90"/>
      <c r="HE3" s="90"/>
      <c r="HF3" s="90"/>
      <c r="HG3" s="90"/>
      <c r="HH3" s="90"/>
      <c r="HI3" s="90"/>
      <c r="HJ3" s="90"/>
      <c r="HK3" s="90"/>
      <c r="HL3" s="90"/>
      <c r="HM3" s="90"/>
      <c r="HN3" s="90"/>
      <c r="HO3" s="90"/>
      <c r="HP3" s="90"/>
      <c r="HQ3" s="90"/>
      <c r="HR3" s="90"/>
      <c r="HS3" s="90"/>
      <c r="HT3" s="90"/>
      <c r="HU3" s="90"/>
      <c r="HV3" s="90"/>
      <c r="HW3" s="90"/>
      <c r="HX3" s="90"/>
      <c r="HY3" s="90"/>
      <c r="HZ3" s="90"/>
      <c r="IA3" s="90"/>
      <c r="IB3" s="90"/>
      <c r="IC3" s="90"/>
      <c r="ID3" s="90"/>
      <c r="IE3" s="90"/>
      <c r="IF3" s="90"/>
      <c r="IG3" s="90"/>
      <c r="IH3" s="90"/>
      <c r="II3" s="90"/>
      <c r="IJ3" s="90"/>
      <c r="IK3" s="90"/>
      <c r="IL3" s="90"/>
      <c r="IM3" s="90"/>
      <c r="IN3" s="90"/>
      <c r="IO3" s="90"/>
      <c r="IP3" s="90"/>
      <c r="IQ3" s="90"/>
      <c r="IR3" s="90"/>
      <c r="IS3" s="90"/>
      <c r="IT3" s="90"/>
      <c r="IU3" s="90"/>
      <c r="IV3" s="90"/>
      <c r="IW3" s="90"/>
      <c r="IX3" s="90"/>
      <c r="IY3" s="90"/>
      <c r="IZ3" s="90"/>
      <c r="JA3" s="90"/>
      <c r="JB3" s="90"/>
      <c r="JC3" s="90"/>
      <c r="JD3" s="90"/>
      <c r="JE3" s="90"/>
      <c r="JF3" s="90"/>
      <c r="JG3" s="90"/>
      <c r="JH3" s="90"/>
      <c r="JI3" s="90"/>
      <c r="JJ3" s="90"/>
      <c r="JK3" s="90"/>
      <c r="JL3" s="90"/>
      <c r="JM3" s="90"/>
      <c r="JN3" s="90"/>
      <c r="JO3" s="90"/>
      <c r="JP3" s="90"/>
      <c r="JQ3" s="90"/>
      <c r="JR3" s="90"/>
      <c r="JS3" s="90"/>
      <c r="JT3" s="90"/>
      <c r="JU3" s="90"/>
      <c r="JV3" s="90"/>
      <c r="JW3" s="90"/>
      <c r="JX3" s="90"/>
      <c r="JY3" s="90"/>
      <c r="JZ3" s="90"/>
      <c r="KA3" s="90"/>
      <c r="KB3" s="90"/>
      <c r="KC3" s="90"/>
      <c r="KD3" s="90"/>
      <c r="KE3" s="90"/>
      <c r="KF3" s="90"/>
      <c r="KG3" s="90"/>
      <c r="KH3" s="90"/>
      <c r="KI3" s="90"/>
      <c r="KJ3" s="90"/>
      <c r="KK3" s="90"/>
      <c r="KL3" s="90"/>
      <c r="KM3" s="90"/>
      <c r="KN3" s="90"/>
      <c r="KO3" s="90"/>
      <c r="KP3" s="90"/>
      <c r="KQ3" s="90"/>
      <c r="KR3" s="90"/>
      <c r="KS3" s="90"/>
      <c r="KT3" s="90"/>
      <c r="KU3" s="90"/>
      <c r="KV3" s="90"/>
      <c r="KW3" s="90"/>
      <c r="KX3" s="90"/>
      <c r="KY3" s="90"/>
      <c r="KZ3" s="90"/>
      <c r="LA3" s="90"/>
      <c r="LB3" s="90"/>
      <c r="LC3" s="90"/>
      <c r="LD3" s="90"/>
      <c r="LE3" s="90"/>
      <c r="LF3" s="90"/>
      <c r="LG3" s="90"/>
      <c r="LH3" s="90"/>
      <c r="LI3" s="90"/>
      <c r="LJ3" s="90"/>
      <c r="LK3" s="90"/>
      <c r="LL3" s="90"/>
      <c r="LM3" s="90"/>
      <c r="LN3" s="90"/>
      <c r="LO3" s="90"/>
      <c r="LP3" s="90"/>
      <c r="LQ3" s="90"/>
      <c r="LR3" s="90"/>
      <c r="LS3" s="90"/>
      <c r="LT3" s="90"/>
      <c r="LU3" s="90"/>
      <c r="LV3" s="90"/>
      <c r="LW3" s="90"/>
      <c r="LX3" s="90"/>
      <c r="LY3" s="90"/>
      <c r="LZ3" s="90"/>
      <c r="MA3" s="90"/>
      <c r="MB3" s="90"/>
      <c r="MC3" s="90"/>
      <c r="MD3" s="90"/>
      <c r="ME3" s="90"/>
      <c r="MF3" s="90"/>
      <c r="MG3" s="90"/>
      <c r="MH3" s="90"/>
      <c r="MI3" s="90"/>
      <c r="MJ3" s="90"/>
      <c r="MK3" s="90"/>
      <c r="ML3" s="90"/>
      <c r="MM3" s="90"/>
      <c r="MN3" s="90"/>
      <c r="MO3" s="90"/>
      <c r="MP3" s="90"/>
      <c r="MQ3" s="90"/>
      <c r="MR3" s="90"/>
      <c r="MS3" s="90"/>
      <c r="MT3" s="90"/>
      <c r="MU3" s="90"/>
      <c r="MV3" s="90"/>
      <c r="MW3" s="90"/>
      <c r="MX3" s="90"/>
      <c r="MY3" s="90"/>
      <c r="MZ3" s="90"/>
      <c r="NA3" s="90"/>
      <c r="NB3" s="90"/>
      <c r="NC3" s="90"/>
      <c r="ND3" s="90"/>
      <c r="NE3" s="90"/>
      <c r="NF3" s="90"/>
      <c r="NG3" s="90"/>
      <c r="NH3" s="90"/>
      <c r="NI3" s="90"/>
      <c r="NJ3" s="90"/>
      <c r="NK3" s="90"/>
      <c r="NL3" s="90"/>
      <c r="NM3" s="90"/>
      <c r="NN3" s="90"/>
      <c r="NO3" s="90"/>
      <c r="NP3" s="90"/>
      <c r="NQ3" s="90"/>
      <c r="NR3" s="90"/>
      <c r="NS3" s="90"/>
      <c r="NT3" s="90"/>
      <c r="NU3" s="90"/>
      <c r="NV3" s="90"/>
      <c r="NW3" s="90"/>
      <c r="NX3" s="90"/>
      <c r="NY3" s="90"/>
      <c r="NZ3" s="90"/>
      <c r="OA3" s="90"/>
      <c r="OB3" s="90"/>
      <c r="OC3" s="90"/>
      <c r="OD3" s="90"/>
      <c r="OE3" s="90"/>
      <c r="OF3" s="90"/>
      <c r="OG3" s="90"/>
      <c r="OH3" s="90"/>
      <c r="OI3" s="90"/>
      <c r="OJ3" s="90"/>
      <c r="OK3" s="90"/>
      <c r="OL3" s="90"/>
      <c r="OM3" s="90"/>
      <c r="ON3" s="90"/>
      <c r="OO3" s="90"/>
      <c r="OP3" s="90"/>
      <c r="OQ3" s="90"/>
      <c r="OR3" s="90"/>
      <c r="OS3" s="90"/>
      <c r="OT3" s="90"/>
      <c r="OU3" s="90"/>
      <c r="OV3" s="90"/>
      <c r="OW3" s="90"/>
      <c r="OX3" s="90"/>
      <c r="OY3" s="90"/>
      <c r="OZ3" s="90"/>
      <c r="PA3" s="90"/>
      <c r="PB3" s="90"/>
      <c r="PC3" s="90"/>
      <c r="PD3" s="90"/>
      <c r="PE3" s="90"/>
      <c r="PF3" s="90"/>
      <c r="PG3" s="90"/>
      <c r="PH3" s="90"/>
      <c r="PI3" s="90"/>
      <c r="PJ3" s="90"/>
      <c r="PK3" s="90"/>
      <c r="PL3" s="90"/>
      <c r="PM3" s="90"/>
      <c r="PN3" s="90"/>
      <c r="PO3" s="90"/>
      <c r="PP3" s="90"/>
      <c r="PQ3" s="90"/>
      <c r="PR3" s="90"/>
      <c r="PS3" s="90"/>
      <c r="PT3" s="90"/>
      <c r="PU3" s="90"/>
      <c r="PV3" s="90"/>
      <c r="PW3" s="90"/>
      <c r="PX3" s="90"/>
      <c r="PY3" s="90"/>
      <c r="PZ3" s="90"/>
      <c r="QA3" s="90"/>
      <c r="QB3" s="90"/>
      <c r="QC3" s="90"/>
      <c r="QD3" s="90"/>
      <c r="QE3" s="90"/>
      <c r="QF3" s="90"/>
      <c r="QG3" s="90"/>
      <c r="QH3" s="90"/>
      <c r="QI3" s="90"/>
      <c r="QJ3" s="90"/>
      <c r="QK3" s="90"/>
      <c r="QL3" s="90"/>
      <c r="QM3" s="90"/>
      <c r="QN3" s="90"/>
      <c r="QO3" s="90"/>
      <c r="QP3" s="90"/>
      <c r="QQ3" s="90"/>
      <c r="QR3" s="90"/>
      <c r="QS3" s="90"/>
      <c r="QT3" s="90"/>
      <c r="QU3" s="90"/>
      <c r="QV3" s="90"/>
      <c r="QW3" s="90"/>
      <c r="QX3" s="90"/>
      <c r="QY3" s="90"/>
      <c r="QZ3" s="90"/>
      <c r="RA3" s="90"/>
      <c r="RB3" s="90"/>
      <c r="RC3" s="90"/>
      <c r="RD3" s="90"/>
      <c r="RE3" s="90"/>
      <c r="RF3" s="90"/>
      <c r="RG3" s="90"/>
      <c r="RH3" s="90"/>
      <c r="RI3" s="90"/>
      <c r="RJ3" s="90"/>
      <c r="RK3" s="90"/>
      <c r="RL3" s="90"/>
      <c r="RM3" s="90"/>
      <c r="RN3" s="90"/>
      <c r="RO3" s="90"/>
      <c r="RP3" s="90"/>
      <c r="RQ3" s="90"/>
      <c r="RR3" s="90"/>
      <c r="RS3" s="90"/>
      <c r="RT3" s="90"/>
      <c r="RU3" s="90"/>
      <c r="RV3" s="90"/>
      <c r="RW3" s="90"/>
      <c r="RX3" s="90"/>
      <c r="RY3" s="90"/>
      <c r="RZ3" s="90"/>
      <c r="SA3" s="90"/>
      <c r="SB3" s="90"/>
      <c r="SC3" s="90"/>
      <c r="SD3" s="90"/>
      <c r="SE3" s="90"/>
      <c r="SF3" s="90"/>
      <c r="SG3" s="90"/>
      <c r="SH3" s="90"/>
      <c r="SI3" s="90"/>
      <c r="SJ3" s="90"/>
      <c r="SK3" s="90"/>
      <c r="SL3" s="90"/>
      <c r="SM3" s="90"/>
      <c r="SN3" s="90"/>
      <c r="SO3" s="90"/>
      <c r="SP3" s="90"/>
      <c r="SQ3" s="90"/>
      <c r="SR3" s="90"/>
      <c r="SS3" s="90"/>
      <c r="ST3" s="90"/>
      <c r="SU3" s="90"/>
      <c r="SV3" s="90"/>
      <c r="SW3" s="90"/>
      <c r="SX3" s="90"/>
      <c r="SY3" s="90"/>
      <c r="SZ3" s="90"/>
      <c r="TA3" s="90"/>
      <c r="TB3" s="90"/>
      <c r="TC3" s="90"/>
      <c r="TD3" s="90"/>
      <c r="TE3" s="90"/>
      <c r="TF3" s="90"/>
      <c r="TG3" s="90"/>
      <c r="TH3" s="90"/>
      <c r="TI3" s="90"/>
      <c r="TJ3" s="90"/>
      <c r="TK3" s="90"/>
      <c r="TL3" s="90"/>
      <c r="TM3" s="90"/>
      <c r="TN3" s="90"/>
      <c r="TO3" s="90"/>
      <c r="TP3" s="90"/>
      <c r="TQ3" s="90"/>
      <c r="TR3" s="90"/>
      <c r="TS3" s="90"/>
      <c r="TT3" s="90"/>
      <c r="TU3" s="90"/>
      <c r="TV3" s="90"/>
      <c r="TW3" s="90"/>
      <c r="TX3" s="90"/>
      <c r="TY3" s="90"/>
      <c r="TZ3" s="90"/>
      <c r="UA3" s="90"/>
      <c r="UB3" s="90"/>
      <c r="UC3" s="90"/>
      <c r="UD3" s="90"/>
      <c r="UE3" s="90"/>
      <c r="UF3" s="90"/>
      <c r="UG3" s="90"/>
      <c r="UH3" s="90"/>
      <c r="UI3" s="90"/>
      <c r="UJ3" s="90"/>
      <c r="UK3" s="90"/>
      <c r="UL3" s="90"/>
      <c r="UM3" s="90"/>
      <c r="UN3" s="90"/>
      <c r="UO3" s="90"/>
      <c r="UP3" s="90"/>
      <c r="UQ3" s="90"/>
      <c r="UR3" s="90"/>
      <c r="US3" s="90"/>
      <c r="UT3" s="90"/>
      <c r="UU3" s="90"/>
      <c r="UV3" s="90"/>
      <c r="UW3" s="90"/>
      <c r="UX3" s="90"/>
      <c r="UY3" s="90"/>
      <c r="UZ3" s="90"/>
      <c r="VA3" s="90"/>
      <c r="VB3" s="90"/>
      <c r="VC3" s="90"/>
      <c r="VD3" s="90"/>
      <c r="VE3" s="90"/>
      <c r="VF3" s="90"/>
      <c r="VG3" s="90"/>
      <c r="VH3" s="90"/>
      <c r="VI3" s="90"/>
      <c r="VJ3" s="90"/>
      <c r="VK3" s="90"/>
      <c r="VL3" s="90"/>
      <c r="VM3" s="90"/>
      <c r="VN3" s="90"/>
      <c r="VO3" s="90"/>
      <c r="VP3" s="90"/>
      <c r="VQ3" s="90"/>
      <c r="VR3" s="90"/>
      <c r="VS3" s="90"/>
      <c r="VT3" s="90"/>
      <c r="VU3" s="90"/>
      <c r="VV3" s="90"/>
      <c r="VW3" s="90"/>
      <c r="VX3" s="90"/>
      <c r="VY3" s="90"/>
      <c r="VZ3" s="90"/>
      <c r="WA3" s="90"/>
      <c r="WB3" s="90"/>
      <c r="WC3" s="90"/>
      <c r="WD3" s="90"/>
      <c r="WE3" s="90"/>
      <c r="WF3" s="90"/>
      <c r="WG3" s="90"/>
      <c r="WH3" s="90"/>
      <c r="WI3" s="90"/>
      <c r="WJ3" s="90"/>
      <c r="WK3" s="90"/>
      <c r="WL3" s="90"/>
      <c r="WM3" s="90"/>
      <c r="WN3" s="90"/>
      <c r="WO3" s="90"/>
      <c r="WP3" s="90"/>
      <c r="WQ3" s="90"/>
      <c r="WR3" s="90"/>
      <c r="WS3" s="90"/>
      <c r="WT3" s="90"/>
      <c r="WU3" s="90"/>
      <c r="WV3" s="90"/>
      <c r="WW3" s="90"/>
      <c r="WX3" s="90"/>
      <c r="WY3" s="90"/>
      <c r="WZ3" s="90"/>
      <c r="XA3" s="90"/>
      <c r="XB3" s="90"/>
      <c r="XC3" s="90"/>
      <c r="XD3" s="90"/>
      <c r="XE3" s="90"/>
      <c r="XF3" s="90"/>
      <c r="XG3" s="90"/>
      <c r="XH3" s="90"/>
      <c r="XI3" s="90"/>
      <c r="XJ3" s="90"/>
      <c r="XK3" s="90"/>
      <c r="XL3" s="90"/>
      <c r="XM3" s="90"/>
      <c r="XN3" s="90"/>
      <c r="XO3" s="90"/>
      <c r="XP3" s="90"/>
      <c r="XQ3" s="90"/>
      <c r="XR3" s="90"/>
      <c r="XS3" s="90"/>
      <c r="XT3" s="90"/>
      <c r="XU3" s="90"/>
      <c r="XV3" s="90"/>
      <c r="XW3" s="90"/>
      <c r="XX3" s="90"/>
      <c r="XY3" s="90"/>
      <c r="XZ3" s="90"/>
      <c r="YA3" s="90"/>
      <c r="YB3" s="90"/>
      <c r="YC3" s="90"/>
      <c r="YD3" s="90"/>
      <c r="YE3" s="90"/>
      <c r="YF3" s="90"/>
      <c r="YG3" s="90"/>
      <c r="YH3" s="90"/>
      <c r="YI3" s="90"/>
      <c r="YJ3" s="90"/>
      <c r="YK3" s="90"/>
      <c r="YL3" s="90"/>
      <c r="YM3" s="90"/>
      <c r="YN3" s="90"/>
      <c r="YO3" s="90"/>
      <c r="YP3" s="90"/>
      <c r="YQ3" s="90"/>
      <c r="YR3" s="90"/>
      <c r="YS3" s="90"/>
      <c r="YT3" s="90"/>
      <c r="YU3" s="90"/>
      <c r="YV3" s="90"/>
      <c r="YW3" s="90"/>
      <c r="YX3" s="90"/>
      <c r="YY3" s="90"/>
      <c r="YZ3" s="90"/>
      <c r="ZA3" s="90"/>
      <c r="ZB3" s="90"/>
      <c r="ZC3" s="90"/>
      <c r="ZD3" s="90"/>
      <c r="ZE3" s="90"/>
      <c r="ZF3" s="90"/>
      <c r="ZG3" s="90"/>
      <c r="ZH3" s="90"/>
      <c r="ZI3" s="90"/>
      <c r="ZJ3" s="90"/>
      <c r="ZK3" s="90"/>
      <c r="ZL3" s="90"/>
      <c r="ZM3" s="90"/>
      <c r="ZN3" s="90"/>
      <c r="ZO3" s="90"/>
      <c r="ZP3" s="90"/>
      <c r="ZQ3" s="90"/>
      <c r="ZR3" s="90"/>
      <c r="ZS3" s="90"/>
      <c r="ZT3" s="90"/>
      <c r="ZU3" s="90"/>
      <c r="ZV3" s="90"/>
      <c r="ZW3" s="90"/>
      <c r="ZX3" s="90"/>
      <c r="ZY3" s="90"/>
      <c r="ZZ3" s="90"/>
      <c r="AAA3" s="90"/>
      <c r="AAB3" s="90"/>
      <c r="AAC3" s="90"/>
      <c r="AAD3" s="90"/>
      <c r="AAE3" s="90"/>
      <c r="AAF3" s="90"/>
      <c r="AAG3" s="90"/>
      <c r="AAH3" s="90"/>
      <c r="AAI3" s="90"/>
      <c r="AAJ3" s="90"/>
      <c r="AAK3" s="90"/>
      <c r="AAL3" s="90"/>
      <c r="AAM3" s="90"/>
      <c r="AAN3" s="90"/>
      <c r="AAO3" s="90"/>
      <c r="AAP3" s="90"/>
      <c r="AAQ3" s="90"/>
      <c r="AAR3" s="90"/>
      <c r="AAS3" s="90"/>
      <c r="AAT3" s="90"/>
      <c r="AAU3" s="90"/>
      <c r="AAV3" s="90"/>
      <c r="AAW3" s="90"/>
      <c r="AAX3" s="90"/>
      <c r="AAY3" s="90"/>
      <c r="AAZ3" s="90"/>
      <c r="ABA3" s="90"/>
      <c r="ABB3" s="90"/>
      <c r="ABC3" s="90"/>
      <c r="ABD3" s="90"/>
      <c r="ABE3" s="90"/>
      <c r="ABF3" s="90"/>
      <c r="ABG3" s="90"/>
      <c r="ABH3" s="90"/>
      <c r="ABI3" s="90"/>
      <c r="ABJ3" s="90"/>
      <c r="ABK3" s="90"/>
      <c r="ABL3" s="90"/>
      <c r="ABM3" s="90"/>
      <c r="ABN3" s="90"/>
      <c r="ABO3" s="90"/>
      <c r="ABP3" s="90"/>
      <c r="ABQ3" s="90"/>
      <c r="ABR3" s="90"/>
      <c r="ABS3" s="90"/>
      <c r="ABT3" s="90"/>
      <c r="ABU3" s="90"/>
      <c r="ABV3" s="90"/>
      <c r="ABW3" s="90"/>
      <c r="ABX3" s="90"/>
      <c r="ABY3" s="90"/>
      <c r="ABZ3" s="90"/>
      <c r="ACA3" s="90"/>
      <c r="ACB3" s="90"/>
      <c r="ACC3" s="90"/>
      <c r="ACD3" s="90"/>
      <c r="ACE3" s="90"/>
      <c r="ACF3" s="90"/>
      <c r="ACG3" s="90"/>
      <c r="ACH3" s="90"/>
      <c r="ACI3" s="90"/>
      <c r="ACJ3" s="90"/>
      <c r="ACK3" s="90"/>
      <c r="ACL3" s="90"/>
      <c r="ACM3" s="90"/>
      <c r="ACN3" s="90"/>
      <c r="ACO3" s="90"/>
      <c r="ACP3" s="90"/>
      <c r="ACQ3" s="90"/>
      <c r="ACR3" s="90"/>
      <c r="ACS3" s="90"/>
      <c r="ACT3" s="90"/>
      <c r="ACU3" s="90"/>
      <c r="ACV3" s="90"/>
      <c r="ACW3" s="90"/>
      <c r="ACX3" s="90"/>
      <c r="ACY3" s="90"/>
      <c r="ACZ3" s="90"/>
      <c r="ADA3" s="90"/>
      <c r="ADB3" s="90"/>
      <c r="ADC3" s="90"/>
      <c r="ADD3" s="90"/>
      <c r="ADE3" s="90"/>
      <c r="ADF3" s="90"/>
      <c r="ADG3" s="90"/>
      <c r="ADH3" s="90"/>
      <c r="ADI3" s="90"/>
      <c r="ADJ3" s="90"/>
      <c r="ADK3" s="90"/>
      <c r="ADL3" s="90"/>
      <c r="ADM3" s="90"/>
      <c r="ADN3" s="90"/>
      <c r="ADO3" s="90"/>
      <c r="ADP3" s="90"/>
      <c r="ADQ3" s="90"/>
      <c r="ADR3" s="90"/>
      <c r="ADS3" s="90"/>
      <c r="ADT3" s="90"/>
      <c r="ADU3" s="90"/>
      <c r="ADV3" s="90"/>
      <c r="ADW3" s="90"/>
      <c r="ADX3" s="90"/>
      <c r="ADY3" s="90"/>
      <c r="ADZ3" s="90"/>
      <c r="AEA3" s="90"/>
      <c r="AEB3" s="90"/>
      <c r="AEC3" s="90"/>
      <c r="AED3" s="90"/>
      <c r="AEE3" s="90"/>
      <c r="AEF3" s="90"/>
      <c r="AEG3" s="90"/>
      <c r="AEH3" s="90"/>
      <c r="AEI3" s="90"/>
      <c r="AEJ3" s="90"/>
      <c r="AEK3" s="90"/>
      <c r="AEL3" s="90"/>
      <c r="AEM3" s="90"/>
      <c r="AEN3" s="90"/>
      <c r="AEO3" s="90"/>
      <c r="AEP3" s="90"/>
      <c r="AEQ3" s="90"/>
      <c r="AER3" s="90"/>
      <c r="AES3" s="90"/>
      <c r="AET3" s="90"/>
      <c r="AEU3" s="90"/>
      <c r="AEV3" s="90"/>
      <c r="AEW3" s="90"/>
      <c r="AEX3" s="90"/>
      <c r="AEY3" s="90"/>
      <c r="AEZ3" s="90"/>
      <c r="AFA3" s="90"/>
      <c r="AFB3" s="90"/>
      <c r="AFC3" s="90"/>
      <c r="AFD3" s="90"/>
      <c r="AFE3" s="90"/>
      <c r="AFF3" s="90"/>
      <c r="AFG3" s="90"/>
      <c r="AFH3" s="90"/>
      <c r="AFI3" s="90"/>
      <c r="AFJ3" s="90"/>
      <c r="AFK3" s="90"/>
      <c r="AFL3" s="90"/>
      <c r="AFM3" s="90"/>
      <c r="AFN3" s="90"/>
      <c r="AFO3" s="90"/>
      <c r="AFP3" s="90"/>
      <c r="AFQ3" s="90"/>
      <c r="AFR3" s="90"/>
      <c r="AFS3" s="90"/>
      <c r="AFT3" s="90"/>
      <c r="AFU3" s="90"/>
      <c r="AFV3" s="90"/>
      <c r="AFW3" s="90"/>
      <c r="AFX3" s="90"/>
      <c r="AFY3" s="90"/>
      <c r="AFZ3" s="90"/>
      <c r="AGA3" s="90"/>
      <c r="AGB3" s="90"/>
      <c r="AGC3" s="90"/>
      <c r="AGD3" s="90"/>
      <c r="AGE3" s="90"/>
      <c r="AGF3" s="90"/>
      <c r="AGG3" s="90"/>
      <c r="AGH3" s="90"/>
      <c r="AGI3" s="90"/>
      <c r="AGJ3" s="90"/>
      <c r="AGK3" s="90"/>
      <c r="AGL3" s="90"/>
      <c r="AGM3" s="90"/>
      <c r="AGN3" s="90"/>
      <c r="AGO3" s="90"/>
      <c r="AGP3" s="90"/>
      <c r="AGQ3" s="90"/>
      <c r="AGR3" s="90"/>
      <c r="AGS3" s="90"/>
      <c r="AGT3" s="90"/>
      <c r="AGU3" s="90"/>
      <c r="AGV3" s="90"/>
      <c r="AGW3" s="90"/>
      <c r="AGX3" s="90"/>
      <c r="AGY3" s="90"/>
      <c r="AGZ3" s="90"/>
      <c r="AHA3" s="90"/>
      <c r="AHB3" s="90"/>
      <c r="AHC3" s="90"/>
      <c r="AHD3" s="90"/>
      <c r="AHE3" s="90"/>
      <c r="AHF3" s="90"/>
      <c r="AHG3" s="90"/>
      <c r="AHH3" s="90"/>
      <c r="AHI3" s="90"/>
      <c r="AHJ3" s="90"/>
      <c r="AHK3" s="90"/>
      <c r="AHL3" s="90"/>
      <c r="AHM3" s="90"/>
      <c r="AHN3" s="90"/>
      <c r="AHO3" s="90"/>
      <c r="AHP3" s="90"/>
      <c r="AHQ3" s="90"/>
      <c r="AHR3" s="90"/>
      <c r="AHS3" s="90"/>
      <c r="AHT3" s="90"/>
      <c r="AHU3" s="90"/>
      <c r="AHV3" s="90"/>
      <c r="AHW3" s="90"/>
      <c r="AHX3" s="90"/>
      <c r="AHY3" s="90"/>
      <c r="AHZ3" s="90"/>
      <c r="AIA3" s="90"/>
      <c r="AIB3" s="90"/>
      <c r="AIC3" s="90"/>
      <c r="AID3" s="90"/>
      <c r="AIE3" s="90"/>
      <c r="AIF3" s="90"/>
      <c r="AIG3" s="90"/>
      <c r="AIH3" s="90"/>
      <c r="AII3" s="90"/>
      <c r="AIJ3" s="90"/>
      <c r="AIK3" s="90"/>
      <c r="AIL3" s="90"/>
      <c r="AIM3" s="90"/>
      <c r="AIN3" s="90"/>
      <c r="AIO3" s="90"/>
      <c r="AIP3" s="90"/>
      <c r="AIQ3" s="90"/>
      <c r="AIR3" s="90"/>
      <c r="AIS3" s="90"/>
      <c r="AIT3" s="90"/>
      <c r="AIU3" s="90"/>
      <c r="AIV3" s="90"/>
      <c r="AIW3" s="90"/>
      <c r="AIX3" s="90"/>
      <c r="AIY3" s="90"/>
      <c r="AIZ3" s="90"/>
      <c r="AJA3" s="90"/>
      <c r="AJB3" s="90"/>
      <c r="AJC3" s="90"/>
      <c r="AJD3" s="90"/>
      <c r="AJE3" s="90"/>
      <c r="AJF3" s="90"/>
      <c r="AJG3" s="90"/>
      <c r="AJH3" s="90"/>
      <c r="AJI3" s="90"/>
      <c r="AJJ3" s="90"/>
      <c r="AJK3" s="90"/>
      <c r="AJL3" s="90"/>
      <c r="AJM3" s="90"/>
      <c r="AJN3" s="90"/>
      <c r="AJO3" s="90"/>
      <c r="AJP3" s="90"/>
      <c r="AJQ3" s="90"/>
      <c r="AJR3" s="90"/>
      <c r="AJS3" s="90"/>
      <c r="AJT3" s="90"/>
      <c r="AJU3" s="90"/>
      <c r="AJV3" s="90"/>
      <c r="AJW3" s="90"/>
      <c r="AJX3" s="90"/>
      <c r="AJY3" s="90"/>
      <c r="AJZ3" s="90"/>
      <c r="AKA3" s="90"/>
      <c r="AKB3" s="90"/>
      <c r="AKC3" s="90"/>
      <c r="AKD3" s="90"/>
      <c r="AKE3" s="90"/>
      <c r="AKF3" s="90"/>
      <c r="AKG3" s="90"/>
      <c r="AKH3" s="90"/>
      <c r="AKI3" s="90"/>
      <c r="AKJ3" s="90"/>
      <c r="AKK3" s="90"/>
      <c r="AKL3" s="90"/>
      <c r="AKM3" s="90"/>
      <c r="AKN3" s="90"/>
      <c r="AKO3" s="90"/>
      <c r="AKP3" s="90"/>
      <c r="AKQ3" s="90"/>
      <c r="AKR3" s="90"/>
      <c r="AKS3" s="90"/>
      <c r="AKT3" s="90"/>
      <c r="AKU3" s="90"/>
      <c r="AKV3" s="90"/>
      <c r="AKW3" s="90"/>
      <c r="AKX3" s="90"/>
      <c r="AKY3" s="90"/>
      <c r="AKZ3" s="90"/>
      <c r="ALA3" s="90"/>
      <c r="ALB3" s="90"/>
      <c r="ALC3" s="90"/>
      <c r="ALD3" s="90"/>
      <c r="ALE3" s="90"/>
      <c r="ALF3" s="90"/>
      <c r="ALG3" s="90"/>
      <c r="ALH3" s="90"/>
      <c r="ALI3" s="90"/>
      <c r="ALJ3" s="90"/>
      <c r="ALK3" s="90"/>
      <c r="ALL3" s="90"/>
      <c r="ALM3" s="90"/>
      <c r="ALN3" s="90"/>
      <c r="ALO3" s="90"/>
      <c r="ALP3" s="90"/>
      <c r="ALQ3" s="90"/>
      <c r="ALR3" s="90"/>
      <c r="ALS3" s="90"/>
      <c r="ALT3" s="90"/>
      <c r="ALU3" s="90"/>
      <c r="ALV3" s="90"/>
      <c r="ALW3" s="90"/>
      <c r="ALX3" s="90"/>
      <c r="ALY3" s="90"/>
      <c r="ALZ3" s="90"/>
      <c r="AMA3" s="90"/>
      <c r="AMB3" s="90"/>
      <c r="AMC3" s="90"/>
      <c r="AMD3" s="90"/>
      <c r="AME3" s="90"/>
      <c r="AMF3" s="90"/>
      <c r="AMG3" s="90"/>
      <c r="AMH3" s="90"/>
      <c r="AMI3" s="90"/>
      <c r="AMJ3" s="90"/>
    </row>
    <row r="4" spans="1:1027" ht="26.5" customHeight="1">
      <c r="A4" s="114" t="s">
        <v>81</v>
      </c>
      <c r="B4" s="114" t="str">
        <f>CS!F5</f>
        <v>TABLE</v>
      </c>
      <c r="C4" s="114" t="s">
        <v>80</v>
      </c>
      <c r="D4" s="194" t="s">
        <v>79</v>
      </c>
      <c r="E4" s="194"/>
      <c r="F4" s="194"/>
      <c r="G4" s="194"/>
      <c r="H4" s="194"/>
      <c r="I4" s="193" t="s">
        <v>78</v>
      </c>
      <c r="J4" s="193"/>
      <c r="K4" s="193" t="str">
        <f>CS!F4</f>
        <v>BEECH WOOD</v>
      </c>
      <c r="L4" s="193"/>
      <c r="M4" s="113"/>
      <c r="N4" s="113"/>
      <c r="O4" s="99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0"/>
      <c r="AP4" s="90"/>
      <c r="AQ4" s="90"/>
      <c r="AR4" s="90"/>
      <c r="AS4" s="90"/>
      <c r="AT4" s="90"/>
      <c r="AU4" s="90"/>
      <c r="AV4" s="90"/>
      <c r="AW4" s="90"/>
      <c r="AX4" s="90"/>
      <c r="AY4" s="90"/>
      <c r="AZ4" s="90"/>
      <c r="BA4" s="90"/>
      <c r="BB4" s="90"/>
      <c r="BC4" s="90"/>
      <c r="BD4" s="90"/>
      <c r="BE4" s="90"/>
      <c r="BF4" s="90"/>
      <c r="BG4" s="90"/>
      <c r="BH4" s="90"/>
      <c r="BI4" s="90"/>
      <c r="BJ4" s="90"/>
      <c r="BK4" s="90"/>
      <c r="BL4" s="90"/>
      <c r="BM4" s="90"/>
      <c r="BN4" s="90"/>
      <c r="BO4" s="90"/>
      <c r="BP4" s="90"/>
      <c r="BQ4" s="90"/>
      <c r="BR4" s="90"/>
      <c r="BS4" s="90"/>
      <c r="BT4" s="90"/>
      <c r="BU4" s="90"/>
      <c r="BV4" s="90"/>
      <c r="BW4" s="90"/>
      <c r="BX4" s="90"/>
      <c r="BY4" s="90"/>
      <c r="BZ4" s="90"/>
      <c r="CA4" s="90"/>
      <c r="CB4" s="90"/>
      <c r="CC4" s="90"/>
      <c r="CD4" s="90"/>
      <c r="CE4" s="90"/>
      <c r="CF4" s="90"/>
      <c r="CG4" s="90"/>
      <c r="CH4" s="90"/>
      <c r="CI4" s="90"/>
      <c r="CJ4" s="90"/>
      <c r="CK4" s="90"/>
      <c r="CL4" s="90"/>
      <c r="CM4" s="90"/>
      <c r="CN4" s="90"/>
      <c r="CO4" s="90"/>
      <c r="CP4" s="90"/>
      <c r="CQ4" s="90"/>
      <c r="CR4" s="90"/>
      <c r="CS4" s="90"/>
      <c r="CT4" s="90"/>
      <c r="CU4" s="90"/>
      <c r="CV4" s="90"/>
      <c r="CW4" s="90"/>
      <c r="CX4" s="90"/>
      <c r="CY4" s="90"/>
      <c r="CZ4" s="90"/>
      <c r="DA4" s="90"/>
      <c r="DB4" s="90"/>
      <c r="DC4" s="90"/>
      <c r="DD4" s="90"/>
      <c r="DE4" s="90"/>
      <c r="DF4" s="90"/>
      <c r="DG4" s="90"/>
      <c r="DH4" s="90"/>
      <c r="DI4" s="90"/>
      <c r="DJ4" s="90"/>
      <c r="DK4" s="90"/>
      <c r="DL4" s="90"/>
      <c r="DM4" s="90"/>
      <c r="DN4" s="90"/>
      <c r="DO4" s="90"/>
      <c r="DP4" s="90"/>
      <c r="DQ4" s="90"/>
      <c r="DR4" s="90"/>
      <c r="DS4" s="90"/>
      <c r="DT4" s="90"/>
      <c r="DU4" s="90"/>
      <c r="DV4" s="90"/>
      <c r="DW4" s="90"/>
      <c r="DX4" s="90"/>
      <c r="DY4" s="90"/>
      <c r="DZ4" s="90"/>
      <c r="EA4" s="90"/>
      <c r="EB4" s="90"/>
      <c r="EC4" s="90"/>
      <c r="ED4" s="90"/>
      <c r="EE4" s="90"/>
      <c r="EF4" s="90"/>
      <c r="EG4" s="90"/>
      <c r="EH4" s="90"/>
      <c r="EI4" s="90"/>
      <c r="EJ4" s="90"/>
      <c r="EK4" s="90"/>
      <c r="EL4" s="90"/>
      <c r="EM4" s="90"/>
      <c r="EN4" s="90"/>
      <c r="EO4" s="90"/>
      <c r="EP4" s="90"/>
      <c r="EQ4" s="90"/>
      <c r="ER4" s="90"/>
      <c r="ES4" s="90"/>
      <c r="ET4" s="90"/>
      <c r="EU4" s="90"/>
      <c r="EV4" s="90"/>
      <c r="EW4" s="90"/>
      <c r="EX4" s="90"/>
      <c r="EY4" s="90"/>
      <c r="EZ4" s="90"/>
      <c r="FA4" s="90"/>
      <c r="FB4" s="90"/>
      <c r="FC4" s="90"/>
      <c r="FD4" s="90"/>
      <c r="FE4" s="90"/>
      <c r="FF4" s="90"/>
      <c r="FG4" s="90"/>
      <c r="FH4" s="90"/>
      <c r="FI4" s="90"/>
      <c r="FJ4" s="90"/>
      <c r="FK4" s="90"/>
      <c r="FL4" s="90"/>
      <c r="FM4" s="90"/>
      <c r="FN4" s="90"/>
      <c r="FO4" s="90"/>
      <c r="FP4" s="90"/>
      <c r="FQ4" s="90"/>
      <c r="FR4" s="90"/>
      <c r="FS4" s="90"/>
      <c r="FT4" s="90"/>
      <c r="FU4" s="90"/>
      <c r="FV4" s="90"/>
      <c r="FW4" s="90"/>
      <c r="FX4" s="90"/>
      <c r="FY4" s="90"/>
      <c r="FZ4" s="90"/>
      <c r="GA4" s="90"/>
      <c r="GB4" s="90"/>
      <c r="GC4" s="90"/>
      <c r="GD4" s="90"/>
      <c r="GE4" s="90"/>
      <c r="GF4" s="90"/>
      <c r="GG4" s="90"/>
      <c r="GH4" s="90"/>
      <c r="GI4" s="90"/>
      <c r="GJ4" s="90"/>
      <c r="GK4" s="90"/>
      <c r="GL4" s="90"/>
      <c r="GM4" s="90"/>
      <c r="GN4" s="90"/>
      <c r="GO4" s="90"/>
      <c r="GP4" s="90"/>
      <c r="GQ4" s="90"/>
      <c r="GR4" s="90"/>
      <c r="GS4" s="90"/>
      <c r="GT4" s="90"/>
      <c r="GU4" s="90"/>
      <c r="GV4" s="90"/>
      <c r="GW4" s="90"/>
      <c r="GX4" s="90"/>
      <c r="GY4" s="90"/>
      <c r="GZ4" s="90"/>
      <c r="HA4" s="90"/>
      <c r="HB4" s="90"/>
      <c r="HC4" s="90"/>
      <c r="HD4" s="90"/>
      <c r="HE4" s="90"/>
      <c r="HF4" s="90"/>
      <c r="HG4" s="90"/>
      <c r="HH4" s="90"/>
      <c r="HI4" s="90"/>
      <c r="HJ4" s="90"/>
      <c r="HK4" s="90"/>
      <c r="HL4" s="90"/>
      <c r="HM4" s="90"/>
      <c r="HN4" s="90"/>
      <c r="HO4" s="90"/>
      <c r="HP4" s="90"/>
      <c r="HQ4" s="90"/>
      <c r="HR4" s="90"/>
      <c r="HS4" s="90"/>
      <c r="HT4" s="90"/>
      <c r="HU4" s="90"/>
      <c r="HV4" s="90"/>
      <c r="HW4" s="90"/>
      <c r="HX4" s="90"/>
      <c r="HY4" s="90"/>
      <c r="HZ4" s="90"/>
      <c r="IA4" s="90"/>
      <c r="IB4" s="90"/>
      <c r="IC4" s="90"/>
      <c r="ID4" s="90"/>
      <c r="IE4" s="90"/>
      <c r="IF4" s="90"/>
      <c r="IG4" s="90"/>
      <c r="IH4" s="90"/>
      <c r="II4" s="90"/>
      <c r="IJ4" s="90"/>
      <c r="IK4" s="90"/>
      <c r="IL4" s="90"/>
      <c r="IM4" s="90"/>
      <c r="IN4" s="90"/>
      <c r="IO4" s="90"/>
      <c r="IP4" s="90"/>
      <c r="IQ4" s="90"/>
      <c r="IR4" s="90"/>
      <c r="IS4" s="90"/>
      <c r="IT4" s="90"/>
      <c r="IU4" s="90"/>
      <c r="IV4" s="90"/>
      <c r="IW4" s="90"/>
      <c r="IX4" s="90"/>
      <c r="IY4" s="90"/>
      <c r="IZ4" s="90"/>
      <c r="JA4" s="90"/>
      <c r="JB4" s="90"/>
      <c r="JC4" s="90"/>
      <c r="JD4" s="90"/>
      <c r="JE4" s="90"/>
      <c r="JF4" s="90"/>
      <c r="JG4" s="90"/>
      <c r="JH4" s="90"/>
      <c r="JI4" s="90"/>
      <c r="JJ4" s="90"/>
      <c r="JK4" s="90"/>
      <c r="JL4" s="90"/>
      <c r="JM4" s="90"/>
      <c r="JN4" s="90"/>
      <c r="JO4" s="90"/>
      <c r="JP4" s="90"/>
      <c r="JQ4" s="90"/>
      <c r="JR4" s="90"/>
      <c r="JS4" s="90"/>
      <c r="JT4" s="90"/>
      <c r="JU4" s="90"/>
      <c r="JV4" s="90"/>
      <c r="JW4" s="90"/>
      <c r="JX4" s="90"/>
      <c r="JY4" s="90"/>
      <c r="JZ4" s="90"/>
      <c r="KA4" s="90"/>
      <c r="KB4" s="90"/>
      <c r="KC4" s="90"/>
      <c r="KD4" s="90"/>
      <c r="KE4" s="90"/>
      <c r="KF4" s="90"/>
      <c r="KG4" s="90"/>
      <c r="KH4" s="90"/>
      <c r="KI4" s="90"/>
      <c r="KJ4" s="90"/>
      <c r="KK4" s="90"/>
      <c r="KL4" s="90"/>
      <c r="KM4" s="90"/>
      <c r="KN4" s="90"/>
      <c r="KO4" s="90"/>
      <c r="KP4" s="90"/>
      <c r="KQ4" s="90"/>
      <c r="KR4" s="90"/>
      <c r="KS4" s="90"/>
      <c r="KT4" s="90"/>
      <c r="KU4" s="90"/>
      <c r="KV4" s="90"/>
      <c r="KW4" s="90"/>
      <c r="KX4" s="90"/>
      <c r="KY4" s="90"/>
      <c r="KZ4" s="90"/>
      <c r="LA4" s="90"/>
      <c r="LB4" s="90"/>
      <c r="LC4" s="90"/>
      <c r="LD4" s="90"/>
      <c r="LE4" s="90"/>
      <c r="LF4" s="90"/>
      <c r="LG4" s="90"/>
      <c r="LH4" s="90"/>
      <c r="LI4" s="90"/>
      <c r="LJ4" s="90"/>
      <c r="LK4" s="90"/>
      <c r="LL4" s="90"/>
      <c r="LM4" s="90"/>
      <c r="LN4" s="90"/>
      <c r="LO4" s="90"/>
      <c r="LP4" s="90"/>
      <c r="LQ4" s="90"/>
      <c r="LR4" s="90"/>
      <c r="LS4" s="90"/>
      <c r="LT4" s="90"/>
      <c r="LU4" s="90"/>
      <c r="LV4" s="90"/>
      <c r="LW4" s="90"/>
      <c r="LX4" s="90"/>
      <c r="LY4" s="90"/>
      <c r="LZ4" s="90"/>
      <c r="MA4" s="90"/>
      <c r="MB4" s="90"/>
      <c r="MC4" s="90"/>
      <c r="MD4" s="90"/>
      <c r="ME4" s="90"/>
      <c r="MF4" s="90"/>
      <c r="MG4" s="90"/>
      <c r="MH4" s="90"/>
      <c r="MI4" s="90"/>
      <c r="MJ4" s="90"/>
      <c r="MK4" s="90"/>
      <c r="ML4" s="90"/>
      <c r="MM4" s="90"/>
      <c r="MN4" s="90"/>
      <c r="MO4" s="90"/>
      <c r="MP4" s="90"/>
      <c r="MQ4" s="90"/>
      <c r="MR4" s="90"/>
      <c r="MS4" s="90"/>
      <c r="MT4" s="90"/>
      <c r="MU4" s="90"/>
      <c r="MV4" s="90"/>
      <c r="MW4" s="90"/>
      <c r="MX4" s="90"/>
      <c r="MY4" s="90"/>
      <c r="MZ4" s="90"/>
      <c r="NA4" s="90"/>
      <c r="NB4" s="90"/>
      <c r="NC4" s="90"/>
      <c r="ND4" s="90"/>
      <c r="NE4" s="90"/>
      <c r="NF4" s="90"/>
      <c r="NG4" s="90"/>
      <c r="NH4" s="90"/>
      <c r="NI4" s="90"/>
      <c r="NJ4" s="90"/>
      <c r="NK4" s="90"/>
      <c r="NL4" s="90"/>
      <c r="NM4" s="90"/>
      <c r="NN4" s="90"/>
      <c r="NO4" s="90"/>
      <c r="NP4" s="90"/>
      <c r="NQ4" s="90"/>
      <c r="NR4" s="90"/>
      <c r="NS4" s="90"/>
      <c r="NT4" s="90"/>
      <c r="NU4" s="90"/>
      <c r="NV4" s="90"/>
      <c r="NW4" s="90"/>
      <c r="NX4" s="90"/>
      <c r="NY4" s="90"/>
      <c r="NZ4" s="90"/>
      <c r="OA4" s="90"/>
      <c r="OB4" s="90"/>
      <c r="OC4" s="90"/>
      <c r="OD4" s="90"/>
      <c r="OE4" s="90"/>
      <c r="OF4" s="90"/>
      <c r="OG4" s="90"/>
      <c r="OH4" s="90"/>
      <c r="OI4" s="90"/>
      <c r="OJ4" s="90"/>
      <c r="OK4" s="90"/>
      <c r="OL4" s="90"/>
      <c r="OM4" s="90"/>
      <c r="ON4" s="90"/>
      <c r="OO4" s="90"/>
      <c r="OP4" s="90"/>
      <c r="OQ4" s="90"/>
      <c r="OR4" s="90"/>
      <c r="OS4" s="90"/>
      <c r="OT4" s="90"/>
      <c r="OU4" s="90"/>
      <c r="OV4" s="90"/>
      <c r="OW4" s="90"/>
      <c r="OX4" s="90"/>
      <c r="OY4" s="90"/>
      <c r="OZ4" s="90"/>
      <c r="PA4" s="90"/>
      <c r="PB4" s="90"/>
      <c r="PC4" s="90"/>
      <c r="PD4" s="90"/>
      <c r="PE4" s="90"/>
      <c r="PF4" s="90"/>
      <c r="PG4" s="90"/>
      <c r="PH4" s="90"/>
      <c r="PI4" s="90"/>
      <c r="PJ4" s="90"/>
      <c r="PK4" s="90"/>
      <c r="PL4" s="90"/>
      <c r="PM4" s="90"/>
      <c r="PN4" s="90"/>
      <c r="PO4" s="90"/>
      <c r="PP4" s="90"/>
      <c r="PQ4" s="90"/>
      <c r="PR4" s="90"/>
      <c r="PS4" s="90"/>
      <c r="PT4" s="90"/>
      <c r="PU4" s="90"/>
      <c r="PV4" s="90"/>
      <c r="PW4" s="90"/>
      <c r="PX4" s="90"/>
      <c r="PY4" s="90"/>
      <c r="PZ4" s="90"/>
      <c r="QA4" s="90"/>
      <c r="QB4" s="90"/>
      <c r="QC4" s="90"/>
      <c r="QD4" s="90"/>
      <c r="QE4" s="90"/>
      <c r="QF4" s="90"/>
      <c r="QG4" s="90"/>
      <c r="QH4" s="90"/>
      <c r="QI4" s="90"/>
      <c r="QJ4" s="90"/>
      <c r="QK4" s="90"/>
      <c r="QL4" s="90"/>
      <c r="QM4" s="90"/>
      <c r="QN4" s="90"/>
      <c r="QO4" s="90"/>
      <c r="QP4" s="90"/>
      <c r="QQ4" s="90"/>
      <c r="QR4" s="90"/>
      <c r="QS4" s="90"/>
      <c r="QT4" s="90"/>
      <c r="QU4" s="90"/>
      <c r="QV4" s="90"/>
      <c r="QW4" s="90"/>
      <c r="QX4" s="90"/>
      <c r="QY4" s="90"/>
      <c r="QZ4" s="90"/>
      <c r="RA4" s="90"/>
      <c r="RB4" s="90"/>
      <c r="RC4" s="90"/>
      <c r="RD4" s="90"/>
      <c r="RE4" s="90"/>
      <c r="RF4" s="90"/>
      <c r="RG4" s="90"/>
      <c r="RH4" s="90"/>
      <c r="RI4" s="90"/>
      <c r="RJ4" s="90"/>
      <c r="RK4" s="90"/>
      <c r="RL4" s="90"/>
      <c r="RM4" s="90"/>
      <c r="RN4" s="90"/>
      <c r="RO4" s="90"/>
      <c r="RP4" s="90"/>
      <c r="RQ4" s="90"/>
      <c r="RR4" s="90"/>
      <c r="RS4" s="90"/>
      <c r="RT4" s="90"/>
      <c r="RU4" s="90"/>
      <c r="RV4" s="90"/>
      <c r="RW4" s="90"/>
      <c r="RX4" s="90"/>
      <c r="RY4" s="90"/>
      <c r="RZ4" s="90"/>
      <c r="SA4" s="90"/>
      <c r="SB4" s="90"/>
      <c r="SC4" s="90"/>
      <c r="SD4" s="90"/>
      <c r="SE4" s="90"/>
      <c r="SF4" s="90"/>
      <c r="SG4" s="90"/>
      <c r="SH4" s="90"/>
      <c r="SI4" s="90"/>
      <c r="SJ4" s="90"/>
      <c r="SK4" s="90"/>
      <c r="SL4" s="90"/>
      <c r="SM4" s="90"/>
      <c r="SN4" s="90"/>
      <c r="SO4" s="90"/>
      <c r="SP4" s="90"/>
      <c r="SQ4" s="90"/>
      <c r="SR4" s="90"/>
      <c r="SS4" s="90"/>
      <c r="ST4" s="90"/>
      <c r="SU4" s="90"/>
      <c r="SV4" s="90"/>
      <c r="SW4" s="90"/>
      <c r="SX4" s="90"/>
      <c r="SY4" s="90"/>
      <c r="SZ4" s="90"/>
      <c r="TA4" s="90"/>
      <c r="TB4" s="90"/>
      <c r="TC4" s="90"/>
      <c r="TD4" s="90"/>
      <c r="TE4" s="90"/>
      <c r="TF4" s="90"/>
      <c r="TG4" s="90"/>
      <c r="TH4" s="90"/>
      <c r="TI4" s="90"/>
      <c r="TJ4" s="90"/>
      <c r="TK4" s="90"/>
      <c r="TL4" s="90"/>
      <c r="TM4" s="90"/>
      <c r="TN4" s="90"/>
      <c r="TO4" s="90"/>
      <c r="TP4" s="90"/>
      <c r="TQ4" s="90"/>
      <c r="TR4" s="90"/>
      <c r="TS4" s="90"/>
      <c r="TT4" s="90"/>
      <c r="TU4" s="90"/>
      <c r="TV4" s="90"/>
      <c r="TW4" s="90"/>
      <c r="TX4" s="90"/>
      <c r="TY4" s="90"/>
      <c r="TZ4" s="90"/>
      <c r="UA4" s="90"/>
      <c r="UB4" s="90"/>
      <c r="UC4" s="90"/>
      <c r="UD4" s="90"/>
      <c r="UE4" s="90"/>
      <c r="UF4" s="90"/>
      <c r="UG4" s="90"/>
      <c r="UH4" s="90"/>
      <c r="UI4" s="90"/>
      <c r="UJ4" s="90"/>
      <c r="UK4" s="90"/>
      <c r="UL4" s="90"/>
      <c r="UM4" s="90"/>
      <c r="UN4" s="90"/>
      <c r="UO4" s="90"/>
      <c r="UP4" s="90"/>
      <c r="UQ4" s="90"/>
      <c r="UR4" s="90"/>
      <c r="US4" s="90"/>
      <c r="UT4" s="90"/>
      <c r="UU4" s="90"/>
      <c r="UV4" s="90"/>
      <c r="UW4" s="90"/>
      <c r="UX4" s="90"/>
      <c r="UY4" s="90"/>
      <c r="UZ4" s="90"/>
      <c r="VA4" s="90"/>
      <c r="VB4" s="90"/>
      <c r="VC4" s="90"/>
      <c r="VD4" s="90"/>
      <c r="VE4" s="90"/>
      <c r="VF4" s="90"/>
      <c r="VG4" s="90"/>
      <c r="VH4" s="90"/>
      <c r="VI4" s="90"/>
      <c r="VJ4" s="90"/>
      <c r="VK4" s="90"/>
      <c r="VL4" s="90"/>
      <c r="VM4" s="90"/>
      <c r="VN4" s="90"/>
      <c r="VO4" s="90"/>
      <c r="VP4" s="90"/>
      <c r="VQ4" s="90"/>
      <c r="VR4" s="90"/>
      <c r="VS4" s="90"/>
      <c r="VT4" s="90"/>
      <c r="VU4" s="90"/>
      <c r="VV4" s="90"/>
      <c r="VW4" s="90"/>
      <c r="VX4" s="90"/>
      <c r="VY4" s="90"/>
      <c r="VZ4" s="90"/>
      <c r="WA4" s="90"/>
      <c r="WB4" s="90"/>
      <c r="WC4" s="90"/>
      <c r="WD4" s="90"/>
      <c r="WE4" s="90"/>
      <c r="WF4" s="90"/>
      <c r="WG4" s="90"/>
      <c r="WH4" s="90"/>
      <c r="WI4" s="90"/>
      <c r="WJ4" s="90"/>
      <c r="WK4" s="90"/>
      <c r="WL4" s="90"/>
      <c r="WM4" s="90"/>
      <c r="WN4" s="90"/>
      <c r="WO4" s="90"/>
      <c r="WP4" s="90"/>
      <c r="WQ4" s="90"/>
      <c r="WR4" s="90"/>
      <c r="WS4" s="90"/>
      <c r="WT4" s="90"/>
      <c r="WU4" s="90"/>
      <c r="WV4" s="90"/>
      <c r="WW4" s="90"/>
      <c r="WX4" s="90"/>
      <c r="WY4" s="90"/>
      <c r="WZ4" s="90"/>
      <c r="XA4" s="90"/>
      <c r="XB4" s="90"/>
      <c r="XC4" s="90"/>
      <c r="XD4" s="90"/>
      <c r="XE4" s="90"/>
      <c r="XF4" s="90"/>
      <c r="XG4" s="90"/>
      <c r="XH4" s="90"/>
      <c r="XI4" s="90"/>
      <c r="XJ4" s="90"/>
      <c r="XK4" s="90"/>
      <c r="XL4" s="90"/>
      <c r="XM4" s="90"/>
      <c r="XN4" s="90"/>
      <c r="XO4" s="90"/>
      <c r="XP4" s="90"/>
      <c r="XQ4" s="90"/>
      <c r="XR4" s="90"/>
      <c r="XS4" s="90"/>
      <c r="XT4" s="90"/>
      <c r="XU4" s="90"/>
      <c r="XV4" s="90"/>
      <c r="XW4" s="90"/>
      <c r="XX4" s="90"/>
      <c r="XY4" s="90"/>
      <c r="XZ4" s="90"/>
      <c r="YA4" s="90"/>
      <c r="YB4" s="90"/>
      <c r="YC4" s="90"/>
      <c r="YD4" s="90"/>
      <c r="YE4" s="90"/>
      <c r="YF4" s="90"/>
      <c r="YG4" s="90"/>
      <c r="YH4" s="90"/>
      <c r="YI4" s="90"/>
      <c r="YJ4" s="90"/>
      <c r="YK4" s="90"/>
      <c r="YL4" s="90"/>
      <c r="YM4" s="90"/>
      <c r="YN4" s="90"/>
      <c r="YO4" s="90"/>
      <c r="YP4" s="90"/>
      <c r="YQ4" s="90"/>
      <c r="YR4" s="90"/>
      <c r="YS4" s="90"/>
      <c r="YT4" s="90"/>
      <c r="YU4" s="90"/>
      <c r="YV4" s="90"/>
      <c r="YW4" s="90"/>
      <c r="YX4" s="90"/>
      <c r="YY4" s="90"/>
      <c r="YZ4" s="90"/>
      <c r="ZA4" s="90"/>
      <c r="ZB4" s="90"/>
      <c r="ZC4" s="90"/>
      <c r="ZD4" s="90"/>
      <c r="ZE4" s="90"/>
      <c r="ZF4" s="90"/>
      <c r="ZG4" s="90"/>
      <c r="ZH4" s="90"/>
      <c r="ZI4" s="90"/>
      <c r="ZJ4" s="90"/>
      <c r="ZK4" s="90"/>
      <c r="ZL4" s="90"/>
      <c r="ZM4" s="90"/>
      <c r="ZN4" s="90"/>
      <c r="ZO4" s="90"/>
      <c r="ZP4" s="90"/>
      <c r="ZQ4" s="90"/>
      <c r="ZR4" s="90"/>
      <c r="ZS4" s="90"/>
      <c r="ZT4" s="90"/>
      <c r="ZU4" s="90"/>
      <c r="ZV4" s="90"/>
      <c r="ZW4" s="90"/>
      <c r="ZX4" s="90"/>
      <c r="ZY4" s="90"/>
      <c r="ZZ4" s="90"/>
      <c r="AAA4" s="90"/>
      <c r="AAB4" s="90"/>
      <c r="AAC4" s="90"/>
      <c r="AAD4" s="90"/>
      <c r="AAE4" s="90"/>
      <c r="AAF4" s="90"/>
      <c r="AAG4" s="90"/>
      <c r="AAH4" s="90"/>
      <c r="AAI4" s="90"/>
      <c r="AAJ4" s="90"/>
      <c r="AAK4" s="90"/>
      <c r="AAL4" s="90"/>
      <c r="AAM4" s="90"/>
      <c r="AAN4" s="90"/>
      <c r="AAO4" s="90"/>
      <c r="AAP4" s="90"/>
      <c r="AAQ4" s="90"/>
      <c r="AAR4" s="90"/>
      <c r="AAS4" s="90"/>
      <c r="AAT4" s="90"/>
      <c r="AAU4" s="90"/>
      <c r="AAV4" s="90"/>
      <c r="AAW4" s="90"/>
      <c r="AAX4" s="90"/>
      <c r="AAY4" s="90"/>
      <c r="AAZ4" s="90"/>
      <c r="ABA4" s="90"/>
      <c r="ABB4" s="90"/>
      <c r="ABC4" s="90"/>
      <c r="ABD4" s="90"/>
      <c r="ABE4" s="90"/>
      <c r="ABF4" s="90"/>
      <c r="ABG4" s="90"/>
      <c r="ABH4" s="90"/>
      <c r="ABI4" s="90"/>
      <c r="ABJ4" s="90"/>
      <c r="ABK4" s="90"/>
      <c r="ABL4" s="90"/>
      <c r="ABM4" s="90"/>
      <c r="ABN4" s="90"/>
      <c r="ABO4" s="90"/>
      <c r="ABP4" s="90"/>
      <c r="ABQ4" s="90"/>
      <c r="ABR4" s="90"/>
      <c r="ABS4" s="90"/>
      <c r="ABT4" s="90"/>
      <c r="ABU4" s="90"/>
      <c r="ABV4" s="90"/>
      <c r="ABW4" s="90"/>
      <c r="ABX4" s="90"/>
      <c r="ABY4" s="90"/>
      <c r="ABZ4" s="90"/>
      <c r="ACA4" s="90"/>
      <c r="ACB4" s="90"/>
      <c r="ACC4" s="90"/>
      <c r="ACD4" s="90"/>
      <c r="ACE4" s="90"/>
      <c r="ACF4" s="90"/>
      <c r="ACG4" s="90"/>
      <c r="ACH4" s="90"/>
      <c r="ACI4" s="90"/>
      <c r="ACJ4" s="90"/>
      <c r="ACK4" s="90"/>
      <c r="ACL4" s="90"/>
      <c r="ACM4" s="90"/>
      <c r="ACN4" s="90"/>
      <c r="ACO4" s="90"/>
      <c r="ACP4" s="90"/>
      <c r="ACQ4" s="90"/>
      <c r="ACR4" s="90"/>
      <c r="ACS4" s="90"/>
      <c r="ACT4" s="90"/>
      <c r="ACU4" s="90"/>
      <c r="ACV4" s="90"/>
      <c r="ACW4" s="90"/>
      <c r="ACX4" s="90"/>
      <c r="ACY4" s="90"/>
      <c r="ACZ4" s="90"/>
      <c r="ADA4" s="90"/>
      <c r="ADB4" s="90"/>
      <c r="ADC4" s="90"/>
      <c r="ADD4" s="90"/>
      <c r="ADE4" s="90"/>
      <c r="ADF4" s="90"/>
      <c r="ADG4" s="90"/>
      <c r="ADH4" s="90"/>
      <c r="ADI4" s="90"/>
      <c r="ADJ4" s="90"/>
      <c r="ADK4" s="90"/>
      <c r="ADL4" s="90"/>
      <c r="ADM4" s="90"/>
      <c r="ADN4" s="90"/>
      <c r="ADO4" s="90"/>
      <c r="ADP4" s="90"/>
      <c r="ADQ4" s="90"/>
      <c r="ADR4" s="90"/>
      <c r="ADS4" s="90"/>
      <c r="ADT4" s="90"/>
      <c r="ADU4" s="90"/>
      <c r="ADV4" s="90"/>
      <c r="ADW4" s="90"/>
      <c r="ADX4" s="90"/>
      <c r="ADY4" s="90"/>
      <c r="ADZ4" s="90"/>
      <c r="AEA4" s="90"/>
      <c r="AEB4" s="90"/>
      <c r="AEC4" s="90"/>
      <c r="AED4" s="90"/>
      <c r="AEE4" s="90"/>
      <c r="AEF4" s="90"/>
      <c r="AEG4" s="90"/>
      <c r="AEH4" s="90"/>
      <c r="AEI4" s="90"/>
      <c r="AEJ4" s="90"/>
      <c r="AEK4" s="90"/>
      <c r="AEL4" s="90"/>
      <c r="AEM4" s="90"/>
      <c r="AEN4" s="90"/>
      <c r="AEO4" s="90"/>
      <c r="AEP4" s="90"/>
      <c r="AEQ4" s="90"/>
      <c r="AER4" s="90"/>
      <c r="AES4" s="90"/>
      <c r="AET4" s="90"/>
      <c r="AEU4" s="90"/>
      <c r="AEV4" s="90"/>
      <c r="AEW4" s="90"/>
      <c r="AEX4" s="90"/>
      <c r="AEY4" s="90"/>
      <c r="AEZ4" s="90"/>
      <c r="AFA4" s="90"/>
      <c r="AFB4" s="90"/>
      <c r="AFC4" s="90"/>
      <c r="AFD4" s="90"/>
      <c r="AFE4" s="90"/>
      <c r="AFF4" s="90"/>
      <c r="AFG4" s="90"/>
      <c r="AFH4" s="90"/>
      <c r="AFI4" s="90"/>
      <c r="AFJ4" s="90"/>
      <c r="AFK4" s="90"/>
      <c r="AFL4" s="90"/>
      <c r="AFM4" s="90"/>
      <c r="AFN4" s="90"/>
      <c r="AFO4" s="90"/>
      <c r="AFP4" s="90"/>
      <c r="AFQ4" s="90"/>
      <c r="AFR4" s="90"/>
      <c r="AFS4" s="90"/>
      <c r="AFT4" s="90"/>
      <c r="AFU4" s="90"/>
      <c r="AFV4" s="90"/>
      <c r="AFW4" s="90"/>
      <c r="AFX4" s="90"/>
      <c r="AFY4" s="90"/>
      <c r="AFZ4" s="90"/>
      <c r="AGA4" s="90"/>
      <c r="AGB4" s="90"/>
      <c r="AGC4" s="90"/>
      <c r="AGD4" s="90"/>
      <c r="AGE4" s="90"/>
      <c r="AGF4" s="90"/>
      <c r="AGG4" s="90"/>
      <c r="AGH4" s="90"/>
      <c r="AGI4" s="90"/>
      <c r="AGJ4" s="90"/>
      <c r="AGK4" s="90"/>
      <c r="AGL4" s="90"/>
      <c r="AGM4" s="90"/>
      <c r="AGN4" s="90"/>
      <c r="AGO4" s="90"/>
      <c r="AGP4" s="90"/>
      <c r="AGQ4" s="90"/>
      <c r="AGR4" s="90"/>
      <c r="AGS4" s="90"/>
      <c r="AGT4" s="90"/>
      <c r="AGU4" s="90"/>
      <c r="AGV4" s="90"/>
      <c r="AGW4" s="90"/>
      <c r="AGX4" s="90"/>
      <c r="AGY4" s="90"/>
      <c r="AGZ4" s="90"/>
      <c r="AHA4" s="90"/>
      <c r="AHB4" s="90"/>
      <c r="AHC4" s="90"/>
      <c r="AHD4" s="90"/>
      <c r="AHE4" s="90"/>
      <c r="AHF4" s="90"/>
      <c r="AHG4" s="90"/>
      <c r="AHH4" s="90"/>
      <c r="AHI4" s="90"/>
      <c r="AHJ4" s="90"/>
      <c r="AHK4" s="90"/>
      <c r="AHL4" s="90"/>
      <c r="AHM4" s="90"/>
      <c r="AHN4" s="90"/>
      <c r="AHO4" s="90"/>
      <c r="AHP4" s="90"/>
      <c r="AHQ4" s="90"/>
      <c r="AHR4" s="90"/>
      <c r="AHS4" s="90"/>
      <c r="AHT4" s="90"/>
      <c r="AHU4" s="90"/>
      <c r="AHV4" s="90"/>
      <c r="AHW4" s="90"/>
      <c r="AHX4" s="90"/>
      <c r="AHY4" s="90"/>
      <c r="AHZ4" s="90"/>
      <c r="AIA4" s="90"/>
      <c r="AIB4" s="90"/>
      <c r="AIC4" s="90"/>
      <c r="AID4" s="90"/>
      <c r="AIE4" s="90"/>
      <c r="AIF4" s="90"/>
      <c r="AIG4" s="90"/>
      <c r="AIH4" s="90"/>
      <c r="AII4" s="90"/>
      <c r="AIJ4" s="90"/>
      <c r="AIK4" s="90"/>
      <c r="AIL4" s="90"/>
      <c r="AIM4" s="90"/>
      <c r="AIN4" s="90"/>
      <c r="AIO4" s="90"/>
      <c r="AIP4" s="90"/>
      <c r="AIQ4" s="90"/>
      <c r="AIR4" s="90"/>
      <c r="AIS4" s="90"/>
      <c r="AIT4" s="90"/>
      <c r="AIU4" s="90"/>
      <c r="AIV4" s="90"/>
      <c r="AIW4" s="90"/>
      <c r="AIX4" s="90"/>
      <c r="AIY4" s="90"/>
      <c r="AIZ4" s="90"/>
      <c r="AJA4" s="90"/>
      <c r="AJB4" s="90"/>
      <c r="AJC4" s="90"/>
      <c r="AJD4" s="90"/>
      <c r="AJE4" s="90"/>
      <c r="AJF4" s="90"/>
      <c r="AJG4" s="90"/>
      <c r="AJH4" s="90"/>
      <c r="AJI4" s="90"/>
      <c r="AJJ4" s="90"/>
      <c r="AJK4" s="90"/>
      <c r="AJL4" s="90"/>
      <c r="AJM4" s="90"/>
      <c r="AJN4" s="90"/>
      <c r="AJO4" s="90"/>
      <c r="AJP4" s="90"/>
      <c r="AJQ4" s="90"/>
      <c r="AJR4" s="90"/>
      <c r="AJS4" s="90"/>
      <c r="AJT4" s="90"/>
      <c r="AJU4" s="90"/>
      <c r="AJV4" s="90"/>
      <c r="AJW4" s="90"/>
      <c r="AJX4" s="90"/>
      <c r="AJY4" s="90"/>
      <c r="AJZ4" s="90"/>
      <c r="AKA4" s="90"/>
      <c r="AKB4" s="90"/>
      <c r="AKC4" s="90"/>
      <c r="AKD4" s="90"/>
      <c r="AKE4" s="90"/>
      <c r="AKF4" s="90"/>
      <c r="AKG4" s="90"/>
      <c r="AKH4" s="90"/>
      <c r="AKI4" s="90"/>
      <c r="AKJ4" s="90"/>
      <c r="AKK4" s="90"/>
      <c r="AKL4" s="90"/>
      <c r="AKM4" s="90"/>
      <c r="AKN4" s="90"/>
      <c r="AKO4" s="90"/>
      <c r="AKP4" s="90"/>
      <c r="AKQ4" s="90"/>
      <c r="AKR4" s="90"/>
      <c r="AKS4" s="90"/>
      <c r="AKT4" s="90"/>
      <c r="AKU4" s="90"/>
      <c r="AKV4" s="90"/>
      <c r="AKW4" s="90"/>
      <c r="AKX4" s="90"/>
      <c r="AKY4" s="90"/>
      <c r="AKZ4" s="90"/>
      <c r="ALA4" s="90"/>
      <c r="ALB4" s="90"/>
      <c r="ALC4" s="90"/>
      <c r="ALD4" s="90"/>
      <c r="ALE4" s="90"/>
      <c r="ALF4" s="90"/>
      <c r="ALG4" s="90"/>
      <c r="ALH4" s="90"/>
      <c r="ALI4" s="90"/>
      <c r="ALJ4" s="90"/>
      <c r="ALK4" s="90"/>
      <c r="ALL4" s="90"/>
      <c r="ALM4" s="90"/>
      <c r="ALN4" s="90"/>
      <c r="ALO4" s="90"/>
      <c r="ALP4" s="90"/>
      <c r="ALQ4" s="90"/>
      <c r="ALR4" s="90"/>
      <c r="ALS4" s="90"/>
      <c r="ALT4" s="90"/>
      <c r="ALU4" s="90"/>
      <c r="ALV4" s="90"/>
      <c r="ALW4" s="90"/>
      <c r="ALX4" s="90"/>
      <c r="ALY4" s="90"/>
      <c r="ALZ4" s="90"/>
      <c r="AMA4" s="90"/>
      <c r="AMB4" s="90"/>
      <c r="AMC4" s="90"/>
      <c r="AMD4" s="90"/>
      <c r="AME4" s="90"/>
      <c r="AMF4" s="90"/>
      <c r="AMG4" s="90"/>
      <c r="AMH4" s="90"/>
      <c r="AMI4" s="90"/>
      <c r="AMJ4" s="90"/>
    </row>
    <row r="5" spans="1:1027" ht="31.15" customHeight="1">
      <c r="A5" s="114" t="s">
        <v>77</v>
      </c>
      <c r="B5" s="114" t="str">
        <f>CS!F7</f>
        <v xml:space="preserve">WATERBASED </v>
      </c>
      <c r="C5" s="114" t="s">
        <v>76</v>
      </c>
      <c r="D5" s="195" t="str">
        <f>CS!F8</f>
        <v xml:space="preserve">15±5 SHEEN </v>
      </c>
      <c r="E5" s="193"/>
      <c r="F5" s="193"/>
      <c r="G5" s="193"/>
      <c r="H5" s="193"/>
      <c r="I5" s="193"/>
      <c r="J5" s="193"/>
      <c r="K5" s="193"/>
      <c r="L5" s="193"/>
      <c r="M5" s="113"/>
      <c r="N5" s="113"/>
      <c r="O5" s="99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90"/>
      <c r="AM5" s="90"/>
      <c r="AN5" s="90"/>
      <c r="AO5" s="90"/>
      <c r="AP5" s="90"/>
      <c r="AQ5" s="90"/>
      <c r="AR5" s="90"/>
      <c r="AS5" s="90"/>
      <c r="AT5" s="90"/>
      <c r="AU5" s="90"/>
      <c r="AV5" s="90"/>
      <c r="AW5" s="90"/>
      <c r="AX5" s="90"/>
      <c r="AY5" s="90"/>
      <c r="AZ5" s="90"/>
      <c r="BA5" s="90"/>
      <c r="BB5" s="90"/>
      <c r="BC5" s="90"/>
      <c r="BD5" s="90"/>
      <c r="BE5" s="90"/>
      <c r="BF5" s="90"/>
      <c r="BG5" s="90"/>
      <c r="BH5" s="90"/>
      <c r="BI5" s="90"/>
      <c r="BJ5" s="90"/>
      <c r="BK5" s="90"/>
      <c r="BL5" s="90"/>
      <c r="BM5" s="90"/>
      <c r="BN5" s="90"/>
      <c r="BO5" s="90"/>
      <c r="BP5" s="90"/>
      <c r="BQ5" s="90"/>
      <c r="BR5" s="90"/>
      <c r="BS5" s="90"/>
      <c r="BT5" s="90"/>
      <c r="BU5" s="90"/>
      <c r="BV5" s="90"/>
      <c r="BW5" s="90"/>
      <c r="BX5" s="90"/>
      <c r="BY5" s="90"/>
      <c r="BZ5" s="90"/>
      <c r="CA5" s="90"/>
      <c r="CB5" s="90"/>
      <c r="CC5" s="90"/>
      <c r="CD5" s="90"/>
      <c r="CE5" s="90"/>
      <c r="CF5" s="90"/>
      <c r="CG5" s="90"/>
      <c r="CH5" s="90"/>
      <c r="CI5" s="90"/>
      <c r="CJ5" s="90"/>
      <c r="CK5" s="90"/>
      <c r="CL5" s="90"/>
      <c r="CM5" s="90"/>
      <c r="CN5" s="90"/>
      <c r="CO5" s="90"/>
      <c r="CP5" s="90"/>
      <c r="CQ5" s="90"/>
      <c r="CR5" s="90"/>
      <c r="CS5" s="90"/>
      <c r="CT5" s="90"/>
      <c r="CU5" s="90"/>
      <c r="CV5" s="90"/>
      <c r="CW5" s="90"/>
      <c r="CX5" s="90"/>
      <c r="CY5" s="90"/>
      <c r="CZ5" s="90"/>
      <c r="DA5" s="90"/>
      <c r="DB5" s="90"/>
      <c r="DC5" s="90"/>
      <c r="DD5" s="90"/>
      <c r="DE5" s="90"/>
      <c r="DF5" s="90"/>
      <c r="DG5" s="90"/>
      <c r="DH5" s="90"/>
      <c r="DI5" s="90"/>
      <c r="DJ5" s="90"/>
      <c r="DK5" s="90"/>
      <c r="DL5" s="90"/>
      <c r="DM5" s="90"/>
      <c r="DN5" s="90"/>
      <c r="DO5" s="90"/>
      <c r="DP5" s="90"/>
      <c r="DQ5" s="90"/>
      <c r="DR5" s="90"/>
      <c r="DS5" s="90"/>
      <c r="DT5" s="90"/>
      <c r="DU5" s="90"/>
      <c r="DV5" s="90"/>
      <c r="DW5" s="90"/>
      <c r="DX5" s="90"/>
      <c r="DY5" s="90"/>
      <c r="DZ5" s="90"/>
      <c r="EA5" s="90"/>
      <c r="EB5" s="90"/>
      <c r="EC5" s="90"/>
      <c r="ED5" s="90"/>
      <c r="EE5" s="90"/>
      <c r="EF5" s="90"/>
      <c r="EG5" s="90"/>
      <c r="EH5" s="90"/>
      <c r="EI5" s="90"/>
      <c r="EJ5" s="90"/>
      <c r="EK5" s="90"/>
      <c r="EL5" s="90"/>
      <c r="EM5" s="90"/>
      <c r="EN5" s="90"/>
      <c r="EO5" s="90"/>
      <c r="EP5" s="90"/>
      <c r="EQ5" s="90"/>
      <c r="ER5" s="90"/>
      <c r="ES5" s="90"/>
      <c r="ET5" s="90"/>
      <c r="EU5" s="90"/>
      <c r="EV5" s="90"/>
      <c r="EW5" s="90"/>
      <c r="EX5" s="90"/>
      <c r="EY5" s="90"/>
      <c r="EZ5" s="90"/>
      <c r="FA5" s="90"/>
      <c r="FB5" s="90"/>
      <c r="FC5" s="90"/>
      <c r="FD5" s="90"/>
      <c r="FE5" s="90"/>
      <c r="FF5" s="90"/>
      <c r="FG5" s="90"/>
      <c r="FH5" s="90"/>
      <c r="FI5" s="90"/>
      <c r="FJ5" s="90"/>
      <c r="FK5" s="90"/>
      <c r="FL5" s="90"/>
      <c r="FM5" s="90"/>
      <c r="FN5" s="90"/>
      <c r="FO5" s="90"/>
      <c r="FP5" s="90"/>
      <c r="FQ5" s="90"/>
      <c r="FR5" s="90"/>
      <c r="FS5" s="90"/>
      <c r="FT5" s="90"/>
      <c r="FU5" s="90"/>
      <c r="FV5" s="90"/>
      <c r="FW5" s="90"/>
      <c r="FX5" s="90"/>
      <c r="FY5" s="90"/>
      <c r="FZ5" s="90"/>
      <c r="GA5" s="90"/>
      <c r="GB5" s="90"/>
      <c r="GC5" s="90"/>
      <c r="GD5" s="90"/>
      <c r="GE5" s="90"/>
      <c r="GF5" s="90"/>
      <c r="GG5" s="90"/>
      <c r="GH5" s="90"/>
      <c r="GI5" s="90"/>
      <c r="GJ5" s="90"/>
      <c r="GK5" s="90"/>
      <c r="GL5" s="90"/>
      <c r="GM5" s="90"/>
      <c r="GN5" s="90"/>
      <c r="GO5" s="90"/>
      <c r="GP5" s="90"/>
      <c r="GQ5" s="90"/>
      <c r="GR5" s="90"/>
      <c r="GS5" s="90"/>
      <c r="GT5" s="90"/>
      <c r="GU5" s="90"/>
      <c r="GV5" s="90"/>
      <c r="GW5" s="90"/>
      <c r="GX5" s="90"/>
      <c r="GY5" s="90"/>
      <c r="GZ5" s="90"/>
      <c r="HA5" s="90"/>
      <c r="HB5" s="90"/>
      <c r="HC5" s="90"/>
      <c r="HD5" s="90"/>
      <c r="HE5" s="90"/>
      <c r="HF5" s="90"/>
      <c r="HG5" s="90"/>
      <c r="HH5" s="90"/>
      <c r="HI5" s="90"/>
      <c r="HJ5" s="90"/>
      <c r="HK5" s="90"/>
      <c r="HL5" s="90"/>
      <c r="HM5" s="90"/>
      <c r="HN5" s="90"/>
      <c r="HO5" s="90"/>
      <c r="HP5" s="90"/>
      <c r="HQ5" s="90"/>
      <c r="HR5" s="90"/>
      <c r="HS5" s="90"/>
      <c r="HT5" s="90"/>
      <c r="HU5" s="90"/>
      <c r="HV5" s="90"/>
      <c r="HW5" s="90"/>
      <c r="HX5" s="90"/>
      <c r="HY5" s="90"/>
      <c r="HZ5" s="90"/>
      <c r="IA5" s="90"/>
      <c r="IB5" s="90"/>
      <c r="IC5" s="90"/>
      <c r="ID5" s="90"/>
      <c r="IE5" s="90"/>
      <c r="IF5" s="90"/>
      <c r="IG5" s="90"/>
      <c r="IH5" s="90"/>
      <c r="II5" s="90"/>
      <c r="IJ5" s="90"/>
      <c r="IK5" s="90"/>
      <c r="IL5" s="90"/>
      <c r="IM5" s="90"/>
      <c r="IN5" s="90"/>
      <c r="IO5" s="90"/>
      <c r="IP5" s="90"/>
      <c r="IQ5" s="90"/>
      <c r="IR5" s="90"/>
      <c r="IS5" s="90"/>
      <c r="IT5" s="90"/>
      <c r="IU5" s="90"/>
      <c r="IV5" s="90"/>
      <c r="IW5" s="90"/>
      <c r="IX5" s="90"/>
      <c r="IY5" s="90"/>
      <c r="IZ5" s="90"/>
      <c r="JA5" s="90"/>
      <c r="JB5" s="90"/>
      <c r="JC5" s="90"/>
      <c r="JD5" s="90"/>
      <c r="JE5" s="90"/>
      <c r="JF5" s="90"/>
      <c r="JG5" s="90"/>
      <c r="JH5" s="90"/>
      <c r="JI5" s="90"/>
      <c r="JJ5" s="90"/>
      <c r="JK5" s="90"/>
      <c r="JL5" s="90"/>
      <c r="JM5" s="90"/>
      <c r="JN5" s="90"/>
      <c r="JO5" s="90"/>
      <c r="JP5" s="90"/>
      <c r="JQ5" s="90"/>
      <c r="JR5" s="90"/>
      <c r="JS5" s="90"/>
      <c r="JT5" s="90"/>
      <c r="JU5" s="90"/>
      <c r="JV5" s="90"/>
      <c r="JW5" s="90"/>
      <c r="JX5" s="90"/>
      <c r="JY5" s="90"/>
      <c r="JZ5" s="90"/>
      <c r="KA5" s="90"/>
      <c r="KB5" s="90"/>
      <c r="KC5" s="90"/>
      <c r="KD5" s="90"/>
      <c r="KE5" s="90"/>
      <c r="KF5" s="90"/>
      <c r="KG5" s="90"/>
      <c r="KH5" s="90"/>
      <c r="KI5" s="90"/>
      <c r="KJ5" s="90"/>
      <c r="KK5" s="90"/>
      <c r="KL5" s="90"/>
      <c r="KM5" s="90"/>
      <c r="KN5" s="90"/>
      <c r="KO5" s="90"/>
      <c r="KP5" s="90"/>
      <c r="KQ5" s="90"/>
      <c r="KR5" s="90"/>
      <c r="KS5" s="90"/>
      <c r="KT5" s="90"/>
      <c r="KU5" s="90"/>
      <c r="KV5" s="90"/>
      <c r="KW5" s="90"/>
      <c r="KX5" s="90"/>
      <c r="KY5" s="90"/>
      <c r="KZ5" s="90"/>
      <c r="LA5" s="90"/>
      <c r="LB5" s="90"/>
      <c r="LC5" s="90"/>
      <c r="LD5" s="90"/>
      <c r="LE5" s="90"/>
      <c r="LF5" s="90"/>
      <c r="LG5" s="90"/>
      <c r="LH5" s="90"/>
      <c r="LI5" s="90"/>
      <c r="LJ5" s="90"/>
      <c r="LK5" s="90"/>
      <c r="LL5" s="90"/>
      <c r="LM5" s="90"/>
      <c r="LN5" s="90"/>
      <c r="LO5" s="90"/>
      <c r="LP5" s="90"/>
      <c r="LQ5" s="90"/>
      <c r="LR5" s="90"/>
      <c r="LS5" s="90"/>
      <c r="LT5" s="90"/>
      <c r="LU5" s="90"/>
      <c r="LV5" s="90"/>
      <c r="LW5" s="90"/>
      <c r="LX5" s="90"/>
      <c r="LY5" s="90"/>
      <c r="LZ5" s="90"/>
      <c r="MA5" s="90"/>
      <c r="MB5" s="90"/>
      <c r="MC5" s="90"/>
      <c r="MD5" s="90"/>
      <c r="ME5" s="90"/>
      <c r="MF5" s="90"/>
      <c r="MG5" s="90"/>
      <c r="MH5" s="90"/>
      <c r="MI5" s="90"/>
      <c r="MJ5" s="90"/>
      <c r="MK5" s="90"/>
      <c r="ML5" s="90"/>
      <c r="MM5" s="90"/>
      <c r="MN5" s="90"/>
      <c r="MO5" s="90"/>
      <c r="MP5" s="90"/>
      <c r="MQ5" s="90"/>
      <c r="MR5" s="90"/>
      <c r="MS5" s="90"/>
      <c r="MT5" s="90"/>
      <c r="MU5" s="90"/>
      <c r="MV5" s="90"/>
      <c r="MW5" s="90"/>
      <c r="MX5" s="90"/>
      <c r="MY5" s="90"/>
      <c r="MZ5" s="90"/>
      <c r="NA5" s="90"/>
      <c r="NB5" s="90"/>
      <c r="NC5" s="90"/>
      <c r="ND5" s="90"/>
      <c r="NE5" s="90"/>
      <c r="NF5" s="90"/>
      <c r="NG5" s="90"/>
      <c r="NH5" s="90"/>
      <c r="NI5" s="90"/>
      <c r="NJ5" s="90"/>
      <c r="NK5" s="90"/>
      <c r="NL5" s="90"/>
      <c r="NM5" s="90"/>
      <c r="NN5" s="90"/>
      <c r="NO5" s="90"/>
      <c r="NP5" s="90"/>
      <c r="NQ5" s="90"/>
      <c r="NR5" s="90"/>
      <c r="NS5" s="90"/>
      <c r="NT5" s="90"/>
      <c r="NU5" s="90"/>
      <c r="NV5" s="90"/>
      <c r="NW5" s="90"/>
      <c r="NX5" s="90"/>
      <c r="NY5" s="90"/>
      <c r="NZ5" s="90"/>
      <c r="OA5" s="90"/>
      <c r="OB5" s="90"/>
      <c r="OC5" s="90"/>
      <c r="OD5" s="90"/>
      <c r="OE5" s="90"/>
      <c r="OF5" s="90"/>
      <c r="OG5" s="90"/>
      <c r="OH5" s="90"/>
      <c r="OI5" s="90"/>
      <c r="OJ5" s="90"/>
      <c r="OK5" s="90"/>
      <c r="OL5" s="90"/>
      <c r="OM5" s="90"/>
      <c r="ON5" s="90"/>
      <c r="OO5" s="90"/>
      <c r="OP5" s="90"/>
      <c r="OQ5" s="90"/>
      <c r="OR5" s="90"/>
      <c r="OS5" s="90"/>
      <c r="OT5" s="90"/>
      <c r="OU5" s="90"/>
      <c r="OV5" s="90"/>
      <c r="OW5" s="90"/>
      <c r="OX5" s="90"/>
      <c r="OY5" s="90"/>
      <c r="OZ5" s="90"/>
      <c r="PA5" s="90"/>
      <c r="PB5" s="90"/>
      <c r="PC5" s="90"/>
      <c r="PD5" s="90"/>
      <c r="PE5" s="90"/>
      <c r="PF5" s="90"/>
      <c r="PG5" s="90"/>
      <c r="PH5" s="90"/>
      <c r="PI5" s="90"/>
      <c r="PJ5" s="90"/>
      <c r="PK5" s="90"/>
      <c r="PL5" s="90"/>
      <c r="PM5" s="90"/>
      <c r="PN5" s="90"/>
      <c r="PO5" s="90"/>
      <c r="PP5" s="90"/>
      <c r="PQ5" s="90"/>
      <c r="PR5" s="90"/>
      <c r="PS5" s="90"/>
      <c r="PT5" s="90"/>
      <c r="PU5" s="90"/>
      <c r="PV5" s="90"/>
      <c r="PW5" s="90"/>
      <c r="PX5" s="90"/>
      <c r="PY5" s="90"/>
      <c r="PZ5" s="90"/>
      <c r="QA5" s="90"/>
      <c r="QB5" s="90"/>
      <c r="QC5" s="90"/>
      <c r="QD5" s="90"/>
      <c r="QE5" s="90"/>
      <c r="QF5" s="90"/>
      <c r="QG5" s="90"/>
      <c r="QH5" s="90"/>
      <c r="QI5" s="90"/>
      <c r="QJ5" s="90"/>
      <c r="QK5" s="90"/>
      <c r="QL5" s="90"/>
      <c r="QM5" s="90"/>
      <c r="QN5" s="90"/>
      <c r="QO5" s="90"/>
      <c r="QP5" s="90"/>
      <c r="QQ5" s="90"/>
      <c r="QR5" s="90"/>
      <c r="QS5" s="90"/>
      <c r="QT5" s="90"/>
      <c r="QU5" s="90"/>
      <c r="QV5" s="90"/>
      <c r="QW5" s="90"/>
      <c r="QX5" s="90"/>
      <c r="QY5" s="90"/>
      <c r="QZ5" s="90"/>
      <c r="RA5" s="90"/>
      <c r="RB5" s="90"/>
      <c r="RC5" s="90"/>
      <c r="RD5" s="90"/>
      <c r="RE5" s="90"/>
      <c r="RF5" s="90"/>
      <c r="RG5" s="90"/>
      <c r="RH5" s="90"/>
      <c r="RI5" s="90"/>
      <c r="RJ5" s="90"/>
      <c r="RK5" s="90"/>
      <c r="RL5" s="90"/>
      <c r="RM5" s="90"/>
      <c r="RN5" s="90"/>
      <c r="RO5" s="90"/>
      <c r="RP5" s="90"/>
      <c r="RQ5" s="90"/>
      <c r="RR5" s="90"/>
      <c r="RS5" s="90"/>
      <c r="RT5" s="90"/>
      <c r="RU5" s="90"/>
      <c r="RV5" s="90"/>
      <c r="RW5" s="90"/>
      <c r="RX5" s="90"/>
      <c r="RY5" s="90"/>
      <c r="RZ5" s="90"/>
      <c r="SA5" s="90"/>
      <c r="SB5" s="90"/>
      <c r="SC5" s="90"/>
      <c r="SD5" s="90"/>
      <c r="SE5" s="90"/>
      <c r="SF5" s="90"/>
      <c r="SG5" s="90"/>
      <c r="SH5" s="90"/>
      <c r="SI5" s="90"/>
      <c r="SJ5" s="90"/>
      <c r="SK5" s="90"/>
      <c r="SL5" s="90"/>
      <c r="SM5" s="90"/>
      <c r="SN5" s="90"/>
      <c r="SO5" s="90"/>
      <c r="SP5" s="90"/>
      <c r="SQ5" s="90"/>
      <c r="SR5" s="90"/>
      <c r="SS5" s="90"/>
      <c r="ST5" s="90"/>
      <c r="SU5" s="90"/>
      <c r="SV5" s="90"/>
      <c r="SW5" s="90"/>
      <c r="SX5" s="90"/>
      <c r="SY5" s="90"/>
      <c r="SZ5" s="90"/>
      <c r="TA5" s="90"/>
      <c r="TB5" s="90"/>
      <c r="TC5" s="90"/>
      <c r="TD5" s="90"/>
      <c r="TE5" s="90"/>
      <c r="TF5" s="90"/>
      <c r="TG5" s="90"/>
      <c r="TH5" s="90"/>
      <c r="TI5" s="90"/>
      <c r="TJ5" s="90"/>
      <c r="TK5" s="90"/>
      <c r="TL5" s="90"/>
      <c r="TM5" s="90"/>
      <c r="TN5" s="90"/>
      <c r="TO5" s="90"/>
      <c r="TP5" s="90"/>
      <c r="TQ5" s="90"/>
      <c r="TR5" s="90"/>
      <c r="TS5" s="90"/>
      <c r="TT5" s="90"/>
      <c r="TU5" s="90"/>
      <c r="TV5" s="90"/>
      <c r="TW5" s="90"/>
      <c r="TX5" s="90"/>
      <c r="TY5" s="90"/>
      <c r="TZ5" s="90"/>
      <c r="UA5" s="90"/>
      <c r="UB5" s="90"/>
      <c r="UC5" s="90"/>
      <c r="UD5" s="90"/>
      <c r="UE5" s="90"/>
      <c r="UF5" s="90"/>
      <c r="UG5" s="90"/>
      <c r="UH5" s="90"/>
      <c r="UI5" s="90"/>
      <c r="UJ5" s="90"/>
      <c r="UK5" s="90"/>
      <c r="UL5" s="90"/>
      <c r="UM5" s="90"/>
      <c r="UN5" s="90"/>
      <c r="UO5" s="90"/>
      <c r="UP5" s="90"/>
      <c r="UQ5" s="90"/>
      <c r="UR5" s="90"/>
      <c r="US5" s="90"/>
      <c r="UT5" s="90"/>
      <c r="UU5" s="90"/>
      <c r="UV5" s="90"/>
      <c r="UW5" s="90"/>
      <c r="UX5" s="90"/>
      <c r="UY5" s="90"/>
      <c r="UZ5" s="90"/>
      <c r="VA5" s="90"/>
      <c r="VB5" s="90"/>
      <c r="VC5" s="90"/>
      <c r="VD5" s="90"/>
      <c r="VE5" s="90"/>
      <c r="VF5" s="90"/>
      <c r="VG5" s="90"/>
      <c r="VH5" s="90"/>
      <c r="VI5" s="90"/>
      <c r="VJ5" s="90"/>
      <c r="VK5" s="90"/>
      <c r="VL5" s="90"/>
      <c r="VM5" s="90"/>
      <c r="VN5" s="90"/>
      <c r="VO5" s="90"/>
      <c r="VP5" s="90"/>
      <c r="VQ5" s="90"/>
      <c r="VR5" s="90"/>
      <c r="VS5" s="90"/>
      <c r="VT5" s="90"/>
      <c r="VU5" s="90"/>
      <c r="VV5" s="90"/>
      <c r="VW5" s="90"/>
      <c r="VX5" s="90"/>
      <c r="VY5" s="90"/>
      <c r="VZ5" s="90"/>
      <c r="WA5" s="90"/>
      <c r="WB5" s="90"/>
      <c r="WC5" s="90"/>
      <c r="WD5" s="90"/>
      <c r="WE5" s="90"/>
      <c r="WF5" s="90"/>
      <c r="WG5" s="90"/>
      <c r="WH5" s="90"/>
      <c r="WI5" s="90"/>
      <c r="WJ5" s="90"/>
      <c r="WK5" s="90"/>
      <c r="WL5" s="90"/>
      <c r="WM5" s="90"/>
      <c r="WN5" s="90"/>
      <c r="WO5" s="90"/>
      <c r="WP5" s="90"/>
      <c r="WQ5" s="90"/>
      <c r="WR5" s="90"/>
      <c r="WS5" s="90"/>
      <c r="WT5" s="90"/>
      <c r="WU5" s="90"/>
      <c r="WV5" s="90"/>
      <c r="WW5" s="90"/>
      <c r="WX5" s="90"/>
      <c r="WY5" s="90"/>
      <c r="WZ5" s="90"/>
      <c r="XA5" s="90"/>
      <c r="XB5" s="90"/>
      <c r="XC5" s="90"/>
      <c r="XD5" s="90"/>
      <c r="XE5" s="90"/>
      <c r="XF5" s="90"/>
      <c r="XG5" s="90"/>
      <c r="XH5" s="90"/>
      <c r="XI5" s="90"/>
      <c r="XJ5" s="90"/>
      <c r="XK5" s="90"/>
      <c r="XL5" s="90"/>
      <c r="XM5" s="90"/>
      <c r="XN5" s="90"/>
      <c r="XO5" s="90"/>
      <c r="XP5" s="90"/>
      <c r="XQ5" s="90"/>
      <c r="XR5" s="90"/>
      <c r="XS5" s="90"/>
      <c r="XT5" s="90"/>
      <c r="XU5" s="90"/>
      <c r="XV5" s="90"/>
      <c r="XW5" s="90"/>
      <c r="XX5" s="90"/>
      <c r="XY5" s="90"/>
      <c r="XZ5" s="90"/>
      <c r="YA5" s="90"/>
      <c r="YB5" s="90"/>
      <c r="YC5" s="90"/>
      <c r="YD5" s="90"/>
      <c r="YE5" s="90"/>
      <c r="YF5" s="90"/>
      <c r="YG5" s="90"/>
      <c r="YH5" s="90"/>
      <c r="YI5" s="90"/>
      <c r="YJ5" s="90"/>
      <c r="YK5" s="90"/>
      <c r="YL5" s="90"/>
      <c r="YM5" s="90"/>
      <c r="YN5" s="90"/>
      <c r="YO5" s="90"/>
      <c r="YP5" s="90"/>
      <c r="YQ5" s="90"/>
      <c r="YR5" s="90"/>
      <c r="YS5" s="90"/>
      <c r="YT5" s="90"/>
      <c r="YU5" s="90"/>
      <c r="YV5" s="90"/>
      <c r="YW5" s="90"/>
      <c r="YX5" s="90"/>
      <c r="YY5" s="90"/>
      <c r="YZ5" s="90"/>
      <c r="ZA5" s="90"/>
      <c r="ZB5" s="90"/>
      <c r="ZC5" s="90"/>
      <c r="ZD5" s="90"/>
      <c r="ZE5" s="90"/>
      <c r="ZF5" s="90"/>
      <c r="ZG5" s="90"/>
      <c r="ZH5" s="90"/>
      <c r="ZI5" s="90"/>
      <c r="ZJ5" s="90"/>
      <c r="ZK5" s="90"/>
      <c r="ZL5" s="90"/>
      <c r="ZM5" s="90"/>
      <c r="ZN5" s="90"/>
      <c r="ZO5" s="90"/>
      <c r="ZP5" s="90"/>
      <c r="ZQ5" s="90"/>
      <c r="ZR5" s="90"/>
      <c r="ZS5" s="90"/>
      <c r="ZT5" s="90"/>
      <c r="ZU5" s="90"/>
      <c r="ZV5" s="90"/>
      <c r="ZW5" s="90"/>
      <c r="ZX5" s="90"/>
      <c r="ZY5" s="90"/>
      <c r="ZZ5" s="90"/>
      <c r="AAA5" s="90"/>
      <c r="AAB5" s="90"/>
      <c r="AAC5" s="90"/>
      <c r="AAD5" s="90"/>
      <c r="AAE5" s="90"/>
      <c r="AAF5" s="90"/>
      <c r="AAG5" s="90"/>
      <c r="AAH5" s="90"/>
      <c r="AAI5" s="90"/>
      <c r="AAJ5" s="90"/>
      <c r="AAK5" s="90"/>
      <c r="AAL5" s="90"/>
      <c r="AAM5" s="90"/>
      <c r="AAN5" s="90"/>
      <c r="AAO5" s="90"/>
      <c r="AAP5" s="90"/>
      <c r="AAQ5" s="90"/>
      <c r="AAR5" s="90"/>
      <c r="AAS5" s="90"/>
      <c r="AAT5" s="90"/>
      <c r="AAU5" s="90"/>
      <c r="AAV5" s="90"/>
      <c r="AAW5" s="90"/>
      <c r="AAX5" s="90"/>
      <c r="AAY5" s="90"/>
      <c r="AAZ5" s="90"/>
      <c r="ABA5" s="90"/>
      <c r="ABB5" s="90"/>
      <c r="ABC5" s="90"/>
      <c r="ABD5" s="90"/>
      <c r="ABE5" s="90"/>
      <c r="ABF5" s="90"/>
      <c r="ABG5" s="90"/>
      <c r="ABH5" s="90"/>
      <c r="ABI5" s="90"/>
      <c r="ABJ5" s="90"/>
      <c r="ABK5" s="90"/>
      <c r="ABL5" s="90"/>
      <c r="ABM5" s="90"/>
      <c r="ABN5" s="90"/>
      <c r="ABO5" s="90"/>
      <c r="ABP5" s="90"/>
      <c r="ABQ5" s="90"/>
      <c r="ABR5" s="90"/>
      <c r="ABS5" s="90"/>
      <c r="ABT5" s="90"/>
      <c r="ABU5" s="90"/>
      <c r="ABV5" s="90"/>
      <c r="ABW5" s="90"/>
      <c r="ABX5" s="90"/>
      <c r="ABY5" s="90"/>
      <c r="ABZ5" s="90"/>
      <c r="ACA5" s="90"/>
      <c r="ACB5" s="90"/>
      <c r="ACC5" s="90"/>
      <c r="ACD5" s="90"/>
      <c r="ACE5" s="90"/>
      <c r="ACF5" s="90"/>
      <c r="ACG5" s="90"/>
      <c r="ACH5" s="90"/>
      <c r="ACI5" s="90"/>
      <c r="ACJ5" s="90"/>
      <c r="ACK5" s="90"/>
      <c r="ACL5" s="90"/>
      <c r="ACM5" s="90"/>
      <c r="ACN5" s="90"/>
      <c r="ACO5" s="90"/>
      <c r="ACP5" s="90"/>
      <c r="ACQ5" s="90"/>
      <c r="ACR5" s="90"/>
      <c r="ACS5" s="90"/>
      <c r="ACT5" s="90"/>
      <c r="ACU5" s="90"/>
      <c r="ACV5" s="90"/>
      <c r="ACW5" s="90"/>
      <c r="ACX5" s="90"/>
      <c r="ACY5" s="90"/>
      <c r="ACZ5" s="90"/>
      <c r="ADA5" s="90"/>
      <c r="ADB5" s="90"/>
      <c r="ADC5" s="90"/>
      <c r="ADD5" s="90"/>
      <c r="ADE5" s="90"/>
      <c r="ADF5" s="90"/>
      <c r="ADG5" s="90"/>
      <c r="ADH5" s="90"/>
      <c r="ADI5" s="90"/>
      <c r="ADJ5" s="90"/>
      <c r="ADK5" s="90"/>
      <c r="ADL5" s="90"/>
      <c r="ADM5" s="90"/>
      <c r="ADN5" s="90"/>
      <c r="ADO5" s="90"/>
      <c r="ADP5" s="90"/>
      <c r="ADQ5" s="90"/>
      <c r="ADR5" s="90"/>
      <c r="ADS5" s="90"/>
      <c r="ADT5" s="90"/>
      <c r="ADU5" s="90"/>
      <c r="ADV5" s="90"/>
      <c r="ADW5" s="90"/>
      <c r="ADX5" s="90"/>
      <c r="ADY5" s="90"/>
      <c r="ADZ5" s="90"/>
      <c r="AEA5" s="90"/>
      <c r="AEB5" s="90"/>
      <c r="AEC5" s="90"/>
      <c r="AED5" s="90"/>
      <c r="AEE5" s="90"/>
      <c r="AEF5" s="90"/>
      <c r="AEG5" s="90"/>
      <c r="AEH5" s="90"/>
      <c r="AEI5" s="90"/>
      <c r="AEJ5" s="90"/>
      <c r="AEK5" s="90"/>
      <c r="AEL5" s="90"/>
      <c r="AEM5" s="90"/>
      <c r="AEN5" s="90"/>
      <c r="AEO5" s="90"/>
      <c r="AEP5" s="90"/>
      <c r="AEQ5" s="90"/>
      <c r="AER5" s="90"/>
      <c r="AES5" s="90"/>
      <c r="AET5" s="90"/>
      <c r="AEU5" s="90"/>
      <c r="AEV5" s="90"/>
      <c r="AEW5" s="90"/>
      <c r="AEX5" s="90"/>
      <c r="AEY5" s="90"/>
      <c r="AEZ5" s="90"/>
      <c r="AFA5" s="90"/>
      <c r="AFB5" s="90"/>
      <c r="AFC5" s="90"/>
      <c r="AFD5" s="90"/>
      <c r="AFE5" s="90"/>
      <c r="AFF5" s="90"/>
      <c r="AFG5" s="90"/>
      <c r="AFH5" s="90"/>
      <c r="AFI5" s="90"/>
      <c r="AFJ5" s="90"/>
      <c r="AFK5" s="90"/>
      <c r="AFL5" s="90"/>
      <c r="AFM5" s="90"/>
      <c r="AFN5" s="90"/>
      <c r="AFO5" s="90"/>
      <c r="AFP5" s="90"/>
      <c r="AFQ5" s="90"/>
      <c r="AFR5" s="90"/>
      <c r="AFS5" s="90"/>
      <c r="AFT5" s="90"/>
      <c r="AFU5" s="90"/>
      <c r="AFV5" s="90"/>
      <c r="AFW5" s="90"/>
      <c r="AFX5" s="90"/>
      <c r="AFY5" s="90"/>
      <c r="AFZ5" s="90"/>
      <c r="AGA5" s="90"/>
      <c r="AGB5" s="90"/>
      <c r="AGC5" s="90"/>
      <c r="AGD5" s="90"/>
      <c r="AGE5" s="90"/>
      <c r="AGF5" s="90"/>
      <c r="AGG5" s="90"/>
      <c r="AGH5" s="90"/>
      <c r="AGI5" s="90"/>
      <c r="AGJ5" s="90"/>
      <c r="AGK5" s="90"/>
      <c r="AGL5" s="90"/>
      <c r="AGM5" s="90"/>
      <c r="AGN5" s="90"/>
      <c r="AGO5" s="90"/>
      <c r="AGP5" s="90"/>
      <c r="AGQ5" s="90"/>
      <c r="AGR5" s="90"/>
      <c r="AGS5" s="90"/>
      <c r="AGT5" s="90"/>
      <c r="AGU5" s="90"/>
      <c r="AGV5" s="90"/>
      <c r="AGW5" s="90"/>
      <c r="AGX5" s="90"/>
      <c r="AGY5" s="90"/>
      <c r="AGZ5" s="90"/>
      <c r="AHA5" s="90"/>
      <c r="AHB5" s="90"/>
      <c r="AHC5" s="90"/>
      <c r="AHD5" s="90"/>
      <c r="AHE5" s="90"/>
      <c r="AHF5" s="90"/>
      <c r="AHG5" s="90"/>
      <c r="AHH5" s="90"/>
      <c r="AHI5" s="90"/>
      <c r="AHJ5" s="90"/>
      <c r="AHK5" s="90"/>
      <c r="AHL5" s="90"/>
      <c r="AHM5" s="90"/>
      <c r="AHN5" s="90"/>
      <c r="AHO5" s="90"/>
      <c r="AHP5" s="90"/>
      <c r="AHQ5" s="90"/>
      <c r="AHR5" s="90"/>
      <c r="AHS5" s="90"/>
      <c r="AHT5" s="90"/>
      <c r="AHU5" s="90"/>
      <c r="AHV5" s="90"/>
      <c r="AHW5" s="90"/>
      <c r="AHX5" s="90"/>
      <c r="AHY5" s="90"/>
      <c r="AHZ5" s="90"/>
      <c r="AIA5" s="90"/>
      <c r="AIB5" s="90"/>
      <c r="AIC5" s="90"/>
      <c r="AID5" s="90"/>
      <c r="AIE5" s="90"/>
      <c r="AIF5" s="90"/>
      <c r="AIG5" s="90"/>
      <c r="AIH5" s="90"/>
      <c r="AII5" s="90"/>
      <c r="AIJ5" s="90"/>
      <c r="AIK5" s="90"/>
      <c r="AIL5" s="90"/>
      <c r="AIM5" s="90"/>
      <c r="AIN5" s="90"/>
      <c r="AIO5" s="90"/>
      <c r="AIP5" s="90"/>
      <c r="AIQ5" s="90"/>
      <c r="AIR5" s="90"/>
      <c r="AIS5" s="90"/>
      <c r="AIT5" s="90"/>
      <c r="AIU5" s="90"/>
      <c r="AIV5" s="90"/>
      <c r="AIW5" s="90"/>
      <c r="AIX5" s="90"/>
      <c r="AIY5" s="90"/>
      <c r="AIZ5" s="90"/>
      <c r="AJA5" s="90"/>
      <c r="AJB5" s="90"/>
      <c r="AJC5" s="90"/>
      <c r="AJD5" s="90"/>
      <c r="AJE5" s="90"/>
      <c r="AJF5" s="90"/>
      <c r="AJG5" s="90"/>
      <c r="AJH5" s="90"/>
      <c r="AJI5" s="90"/>
      <c r="AJJ5" s="90"/>
      <c r="AJK5" s="90"/>
      <c r="AJL5" s="90"/>
      <c r="AJM5" s="90"/>
      <c r="AJN5" s="90"/>
      <c r="AJO5" s="90"/>
      <c r="AJP5" s="90"/>
      <c r="AJQ5" s="90"/>
      <c r="AJR5" s="90"/>
      <c r="AJS5" s="90"/>
      <c r="AJT5" s="90"/>
      <c r="AJU5" s="90"/>
      <c r="AJV5" s="90"/>
      <c r="AJW5" s="90"/>
      <c r="AJX5" s="90"/>
      <c r="AJY5" s="90"/>
      <c r="AJZ5" s="90"/>
      <c r="AKA5" s="90"/>
      <c r="AKB5" s="90"/>
      <c r="AKC5" s="90"/>
      <c r="AKD5" s="90"/>
      <c r="AKE5" s="90"/>
      <c r="AKF5" s="90"/>
      <c r="AKG5" s="90"/>
      <c r="AKH5" s="90"/>
      <c r="AKI5" s="90"/>
      <c r="AKJ5" s="90"/>
      <c r="AKK5" s="90"/>
      <c r="AKL5" s="90"/>
      <c r="AKM5" s="90"/>
      <c r="AKN5" s="90"/>
      <c r="AKO5" s="90"/>
      <c r="AKP5" s="90"/>
      <c r="AKQ5" s="90"/>
      <c r="AKR5" s="90"/>
      <c r="AKS5" s="90"/>
      <c r="AKT5" s="90"/>
      <c r="AKU5" s="90"/>
      <c r="AKV5" s="90"/>
      <c r="AKW5" s="90"/>
      <c r="AKX5" s="90"/>
      <c r="AKY5" s="90"/>
      <c r="AKZ5" s="90"/>
      <c r="ALA5" s="90"/>
      <c r="ALB5" s="90"/>
      <c r="ALC5" s="90"/>
      <c r="ALD5" s="90"/>
      <c r="ALE5" s="90"/>
      <c r="ALF5" s="90"/>
      <c r="ALG5" s="90"/>
      <c r="ALH5" s="90"/>
      <c r="ALI5" s="90"/>
      <c r="ALJ5" s="90"/>
      <c r="ALK5" s="90"/>
      <c r="ALL5" s="90"/>
      <c r="ALM5" s="90"/>
      <c r="ALN5" s="90"/>
      <c r="ALO5" s="90"/>
      <c r="ALP5" s="90"/>
      <c r="ALQ5" s="90"/>
      <c r="ALR5" s="90"/>
      <c r="ALS5" s="90"/>
      <c r="ALT5" s="90"/>
      <c r="ALU5" s="90"/>
      <c r="ALV5" s="90"/>
      <c r="ALW5" s="90"/>
      <c r="ALX5" s="90"/>
      <c r="ALY5" s="90"/>
      <c r="ALZ5" s="90"/>
      <c r="AMA5" s="90"/>
      <c r="AMB5" s="90"/>
      <c r="AMC5" s="90"/>
      <c r="AMD5" s="90"/>
      <c r="AME5" s="90"/>
      <c r="AMF5" s="90"/>
      <c r="AMG5" s="90"/>
      <c r="AMH5" s="90"/>
      <c r="AMI5" s="90"/>
      <c r="AMJ5" s="90"/>
    </row>
    <row r="6" spans="1:1027" s="99" customFormat="1" ht="60.4" customHeight="1">
      <c r="A6" s="106" t="s">
        <v>75</v>
      </c>
      <c r="B6" s="106" t="s">
        <v>74</v>
      </c>
      <c r="C6" s="201" t="s">
        <v>73</v>
      </c>
      <c r="D6" s="202"/>
      <c r="E6" s="106" t="s">
        <v>51</v>
      </c>
      <c r="F6" s="106" t="s">
        <v>72</v>
      </c>
      <c r="G6" s="106" t="s">
        <v>71</v>
      </c>
      <c r="H6" s="106" t="s">
        <v>70</v>
      </c>
      <c r="I6" s="106" t="s">
        <v>69</v>
      </c>
      <c r="J6" s="139" t="s">
        <v>68</v>
      </c>
      <c r="K6" s="139" t="s">
        <v>67</v>
      </c>
      <c r="L6" s="106" t="s">
        <v>66</v>
      </c>
      <c r="M6" s="112"/>
      <c r="N6" s="112"/>
      <c r="O6" s="103"/>
      <c r="P6" s="111" t="s">
        <v>65</v>
      </c>
      <c r="Q6" s="111" t="s">
        <v>64</v>
      </c>
      <c r="R6" s="99" t="s">
        <v>3924</v>
      </c>
      <c r="S6" s="99" t="s">
        <v>3914</v>
      </c>
      <c r="AMK6" s="90"/>
      <c r="AML6" s="90"/>
      <c r="AMM6" s="90"/>
    </row>
    <row r="7" spans="1:1027" ht="24.65" customHeight="1">
      <c r="A7" s="186" t="str">
        <f>CS!W13</f>
        <v>WIPING FILLER</v>
      </c>
      <c r="B7" s="107" t="str">
        <f>CS!X13</f>
        <v>PSV-76000 SB HC MY VN</v>
      </c>
      <c r="C7" s="203">
        <f t="shared" ref="C7:C56" si="0">S7</f>
        <v>543000</v>
      </c>
      <c r="D7" s="204"/>
      <c r="E7" s="105">
        <f>CS!Y13</f>
        <v>10</v>
      </c>
      <c r="F7" s="187">
        <f>IFERROR(((C7*E7)+(C8*E8)+(C9*E9)+(C10*E10)+(C11*E11))/(E7+E8+E9+E10+E11),0)</f>
        <v>379333.33333333331</v>
      </c>
      <c r="G7" s="188" t="str">
        <f>CS!Z13</f>
        <v>WIPING</v>
      </c>
      <c r="H7" s="181">
        <f>(CS!U13+CS!V13)/2</f>
        <v>110</v>
      </c>
      <c r="I7" s="182">
        <f>VLOOKUP(G7,'app-method'!A:B,2,0)</f>
        <v>0.35</v>
      </c>
      <c r="J7" s="183">
        <f>(1/I7)*H7</f>
        <v>314.28571428571428</v>
      </c>
      <c r="K7" s="183">
        <f>1000/J7</f>
        <v>3.1818181818181821</v>
      </c>
      <c r="L7" s="196">
        <f>J7*F7/1000</f>
        <v>119219.04761904762</v>
      </c>
      <c r="M7" s="104"/>
      <c r="N7" s="104"/>
      <c r="O7" s="103"/>
      <c r="P7" s="185">
        <f>J7*2000/1000</f>
        <v>628.57142857142856</v>
      </c>
      <c r="Q7" s="102">
        <f>P7*E7/100</f>
        <v>62.857142857142854</v>
      </c>
      <c r="R7" s="91" t="str">
        <f>$R$3&amp;B7</f>
        <v>1200001169PSV-76000 SB HC MY VN</v>
      </c>
      <c r="S7" s="91">
        <f>IFERROR(VLOOKUP(R7,quotation!E:J,6,0),0)</f>
        <v>543000</v>
      </c>
    </row>
    <row r="8" spans="1:1027" ht="24.65" customHeight="1">
      <c r="A8" s="186"/>
      <c r="B8" s="107" t="str">
        <f>CS!X14</f>
        <v>PSV-76000 SB HC MY VN</v>
      </c>
      <c r="C8" s="203">
        <f t="shared" si="0"/>
        <v>543000</v>
      </c>
      <c r="D8" s="204"/>
      <c r="E8" s="105">
        <f>CS!Y14</f>
        <v>10</v>
      </c>
      <c r="F8" s="187"/>
      <c r="G8" s="189"/>
      <c r="H8" s="181"/>
      <c r="I8" s="182"/>
      <c r="J8" s="183"/>
      <c r="K8" s="183"/>
      <c r="L8" s="196"/>
      <c r="M8" s="104"/>
      <c r="N8" s="104"/>
      <c r="O8" s="103"/>
      <c r="P8" s="185"/>
      <c r="Q8" s="102"/>
      <c r="R8" s="91" t="str">
        <f t="shared" ref="R8:R56" si="1">$R$3&amp;B8</f>
        <v>1200001169PSV-76000 SB HC MY VN</v>
      </c>
      <c r="S8" s="91">
        <f>IFERROR(VLOOKUP(R8,quotation!E:J,6,0),0)</f>
        <v>543000</v>
      </c>
    </row>
    <row r="9" spans="1:1027" ht="24.65" customHeight="1">
      <c r="A9" s="186"/>
      <c r="B9" s="107" t="str">
        <f>CS!X15</f>
        <v>PSV-76000 SB HC MY VN</v>
      </c>
      <c r="C9" s="203">
        <f t="shared" si="0"/>
        <v>543000</v>
      </c>
      <c r="D9" s="204"/>
      <c r="E9" s="105">
        <f>CS!Y15</f>
        <v>60</v>
      </c>
      <c r="F9" s="187"/>
      <c r="G9" s="189"/>
      <c r="H9" s="181"/>
      <c r="I9" s="182"/>
      <c r="J9" s="183"/>
      <c r="K9" s="183"/>
      <c r="L9" s="196"/>
      <c r="M9" s="104"/>
      <c r="N9" s="104"/>
      <c r="O9" s="103"/>
      <c r="P9" s="185"/>
      <c r="Q9" s="102"/>
      <c r="R9" s="91" t="str">
        <f t="shared" si="1"/>
        <v>1200001169PSV-76000 SB HC MY VN</v>
      </c>
      <c r="S9" s="91">
        <f>IFERROR(VLOOKUP(R9,quotation!E:J,6,0),0)</f>
        <v>543000</v>
      </c>
    </row>
    <row r="10" spans="1:1027" ht="24.65" customHeight="1">
      <c r="A10" s="186"/>
      <c r="B10" s="107" t="str">
        <f>CS!X16</f>
        <v>THPU-71306 01 KD VN</v>
      </c>
      <c r="C10" s="203">
        <f t="shared" si="0"/>
        <v>52000</v>
      </c>
      <c r="D10" s="204"/>
      <c r="E10" s="105">
        <f>CS!Y16</f>
        <v>20</v>
      </c>
      <c r="F10" s="187"/>
      <c r="G10" s="189"/>
      <c r="H10" s="181"/>
      <c r="I10" s="182"/>
      <c r="J10" s="183"/>
      <c r="K10" s="183"/>
      <c r="L10" s="196"/>
      <c r="M10" s="104"/>
      <c r="N10" s="104"/>
      <c r="O10" s="103"/>
      <c r="P10" s="185"/>
      <c r="Q10" s="102"/>
      <c r="R10" s="91" t="str">
        <f t="shared" si="1"/>
        <v>1200001169THPU-71306 01 KD VN</v>
      </c>
      <c r="S10" s="91">
        <f>IFERROR(VLOOKUP(R10,quotation!E:J,6,0),0)</f>
        <v>52000</v>
      </c>
    </row>
    <row r="11" spans="1:1027" ht="21.65" customHeight="1">
      <c r="A11" s="186"/>
      <c r="B11" s="107" t="str">
        <f>CS!X17</f>
        <v>THPU-71306 01 KD VN</v>
      </c>
      <c r="C11" s="203">
        <f t="shared" si="0"/>
        <v>52000</v>
      </c>
      <c r="D11" s="204"/>
      <c r="E11" s="105">
        <f>CS!Y17</f>
        <v>20</v>
      </c>
      <c r="F11" s="187"/>
      <c r="G11" s="190"/>
      <c r="H11" s="181"/>
      <c r="I11" s="182"/>
      <c r="J11" s="183"/>
      <c r="K11" s="183"/>
      <c r="L11" s="196"/>
      <c r="M11" s="104"/>
      <c r="N11" s="104"/>
      <c r="O11" s="103"/>
      <c r="P11" s="185"/>
      <c r="Q11" s="102">
        <f>P7*E11/100</f>
        <v>125.71428571428571</v>
      </c>
      <c r="R11" s="91" t="str">
        <f t="shared" si="1"/>
        <v>1200001169THPU-71306 01 KD VN</v>
      </c>
      <c r="S11" s="91">
        <f>IFERROR(VLOOKUP(R11,quotation!E:J,6,0),0)</f>
        <v>52000</v>
      </c>
    </row>
    <row r="12" spans="1:1027" ht="22.9" customHeight="1">
      <c r="A12" s="186" t="str">
        <f>CS!W19</f>
        <v>SANDING SEALER</v>
      </c>
      <c r="B12" s="107" t="str">
        <f>CS!X19</f>
        <v>PSV-76000 SB HC MY VN</v>
      </c>
      <c r="C12" s="203">
        <f t="shared" si="0"/>
        <v>543000</v>
      </c>
      <c r="D12" s="204"/>
      <c r="E12" s="105">
        <f>CS!Y19</f>
        <v>10</v>
      </c>
      <c r="F12" s="187">
        <f>IFERROR(((C12*E12)+(C13*E13)+(C14*E14)+(C15*E15)+(C16*E16))/(E12+E13+E14+E15+E16),0)</f>
        <v>379333.33333333331</v>
      </c>
      <c r="G12" s="199" t="str">
        <f>CS!Z19</f>
        <v>SPRAY</v>
      </c>
      <c r="H12" s="181">
        <f>(CS!U19+CS!V19)/2</f>
        <v>110</v>
      </c>
      <c r="I12" s="182">
        <f>VLOOKUP(G12,'app-method'!A:B,2,0)</f>
        <v>0.6</v>
      </c>
      <c r="J12" s="197">
        <f>(1/I12)*H12</f>
        <v>183.33333333333334</v>
      </c>
      <c r="K12" s="197">
        <f>1000/J12</f>
        <v>5.4545454545454541</v>
      </c>
      <c r="L12" s="198">
        <f>J12*F12/1000</f>
        <v>69544.444444444453</v>
      </c>
      <c r="M12" s="110"/>
      <c r="N12" s="110"/>
      <c r="O12" s="103"/>
      <c r="P12" s="185">
        <f>J12*2000/1000</f>
        <v>366.66666666666669</v>
      </c>
      <c r="Q12" s="102">
        <f>P12*E12/100</f>
        <v>36.666666666666671</v>
      </c>
      <c r="R12" s="91" t="str">
        <f t="shared" si="1"/>
        <v>1200001169PSV-76000 SB HC MY VN</v>
      </c>
      <c r="S12" s="91">
        <f>IFERROR(VLOOKUP(R12,quotation!E:J,6,0),0)</f>
        <v>543000</v>
      </c>
    </row>
    <row r="13" spans="1:1027" ht="22.9" customHeight="1">
      <c r="A13" s="186"/>
      <c r="B13" s="107" t="str">
        <f>CS!X20</f>
        <v>PSV-76000 SB HC MY VN</v>
      </c>
      <c r="C13" s="203">
        <f t="shared" si="0"/>
        <v>543000</v>
      </c>
      <c r="D13" s="204"/>
      <c r="E13" s="105">
        <f>CS!Y20</f>
        <v>10</v>
      </c>
      <c r="F13" s="187"/>
      <c r="G13" s="200"/>
      <c r="H13" s="181"/>
      <c r="I13" s="182"/>
      <c r="J13" s="197"/>
      <c r="K13" s="197"/>
      <c r="L13" s="198"/>
      <c r="M13" s="110"/>
      <c r="N13" s="110"/>
      <c r="O13" s="103"/>
      <c r="P13" s="185"/>
      <c r="Q13" s="102">
        <f>P12*E13/100</f>
        <v>36.666666666666671</v>
      </c>
      <c r="R13" s="91" t="str">
        <f t="shared" si="1"/>
        <v>1200001169PSV-76000 SB HC MY VN</v>
      </c>
      <c r="S13" s="91">
        <f>IFERROR(VLOOKUP(R13,quotation!E:J,6,0),0)</f>
        <v>543000</v>
      </c>
    </row>
    <row r="14" spans="1:1027" ht="22.9" customHeight="1">
      <c r="A14" s="186"/>
      <c r="B14" s="107" t="str">
        <f>CS!X21</f>
        <v>PSV-76000 SB HC MY VN</v>
      </c>
      <c r="C14" s="203">
        <f t="shared" si="0"/>
        <v>543000</v>
      </c>
      <c r="D14" s="204"/>
      <c r="E14" s="105">
        <f>CS!Y21</f>
        <v>60</v>
      </c>
      <c r="F14" s="187"/>
      <c r="G14" s="200"/>
      <c r="H14" s="181"/>
      <c r="I14" s="182"/>
      <c r="J14" s="197"/>
      <c r="K14" s="197"/>
      <c r="L14" s="198"/>
      <c r="M14" s="110"/>
      <c r="N14" s="110"/>
      <c r="O14" s="103"/>
      <c r="P14" s="185"/>
      <c r="Q14" s="102">
        <f>P12*E14/100</f>
        <v>220</v>
      </c>
      <c r="R14" s="91" t="str">
        <f t="shared" si="1"/>
        <v>1200001169PSV-76000 SB HC MY VN</v>
      </c>
      <c r="S14" s="91">
        <f>IFERROR(VLOOKUP(R14,quotation!E:J,6,0),0)</f>
        <v>543000</v>
      </c>
    </row>
    <row r="15" spans="1:1027" ht="22.9" customHeight="1">
      <c r="A15" s="186"/>
      <c r="B15" s="107" t="str">
        <f>CS!X22</f>
        <v>THPU-71306 01 KD VN</v>
      </c>
      <c r="C15" s="203">
        <f t="shared" si="0"/>
        <v>52000</v>
      </c>
      <c r="D15" s="204"/>
      <c r="E15" s="105">
        <f>CS!Y22</f>
        <v>20</v>
      </c>
      <c r="F15" s="187"/>
      <c r="G15" s="200"/>
      <c r="H15" s="181"/>
      <c r="I15" s="182"/>
      <c r="J15" s="197"/>
      <c r="K15" s="197"/>
      <c r="L15" s="198"/>
      <c r="M15" s="110"/>
      <c r="N15" s="110"/>
      <c r="O15" s="103"/>
      <c r="P15" s="185"/>
      <c r="Q15" s="102">
        <f>P12*E15/100</f>
        <v>73.333333333333343</v>
      </c>
      <c r="R15" s="91" t="str">
        <f t="shared" si="1"/>
        <v>1200001169THPU-71306 01 KD VN</v>
      </c>
      <c r="S15" s="91">
        <f>IFERROR(VLOOKUP(R15,quotation!E:J,6,0),0)</f>
        <v>52000</v>
      </c>
      <c r="T15" s="109"/>
    </row>
    <row r="16" spans="1:1027" ht="22.9" customHeight="1">
      <c r="A16" s="186"/>
      <c r="B16" s="107" t="str">
        <f>CS!X23</f>
        <v>THPU-71306 01 KD VN</v>
      </c>
      <c r="C16" s="203">
        <f t="shared" si="0"/>
        <v>52000</v>
      </c>
      <c r="D16" s="204"/>
      <c r="E16" s="105">
        <f>CS!Y23</f>
        <v>20</v>
      </c>
      <c r="F16" s="187"/>
      <c r="G16" s="200"/>
      <c r="H16" s="181"/>
      <c r="I16" s="182"/>
      <c r="J16" s="197"/>
      <c r="K16" s="197"/>
      <c r="L16" s="198"/>
      <c r="M16" s="110"/>
      <c r="N16" s="110"/>
      <c r="O16" s="103"/>
      <c r="P16" s="185"/>
      <c r="Q16" s="102">
        <f>P12*E16/100</f>
        <v>73.333333333333343</v>
      </c>
      <c r="R16" s="91" t="str">
        <f t="shared" si="1"/>
        <v>1200001169THPU-71306 01 KD VN</v>
      </c>
      <c r="S16" s="91">
        <f>IFERROR(VLOOKUP(R16,quotation!E:J,6,0),0)</f>
        <v>52000</v>
      </c>
      <c r="T16" s="109"/>
    </row>
    <row r="17" spans="1:19" ht="19.5" customHeight="1">
      <c r="A17" s="186" t="str">
        <f>CS!W25</f>
        <v>TOP COAT COLOR</v>
      </c>
      <c r="B17" s="107" t="str">
        <f>CS!X25</f>
        <v>PSV-76000 SB HC MY VN</v>
      </c>
      <c r="C17" s="203">
        <f t="shared" si="0"/>
        <v>543000</v>
      </c>
      <c r="D17" s="204"/>
      <c r="E17" s="143">
        <f>CS!Y25</f>
        <v>10</v>
      </c>
      <c r="F17" s="187">
        <f t="shared" ref="F17" si="2">IFERROR(((C17*E17)+(C18*E18)+(C19*E19)+(C20*E20)+(C21*E21))/(E17+E18+E19+E20+E21),0)</f>
        <v>379333.33333333331</v>
      </c>
      <c r="G17" s="188" t="str">
        <f>CS!Z25</f>
        <v>WIPING</v>
      </c>
      <c r="H17" s="181">
        <f>(CS!U25+CS!V25)/2</f>
        <v>110</v>
      </c>
      <c r="I17" s="182">
        <f>VLOOKUP(G17,'app-method'!A:B,2,0)</f>
        <v>0.35</v>
      </c>
      <c r="J17" s="183">
        <f>(1/I17)*H17</f>
        <v>314.28571428571428</v>
      </c>
      <c r="K17" s="183">
        <f>1000/J17</f>
        <v>3.1818181818181821</v>
      </c>
      <c r="L17" s="184">
        <f>J17*F17/1000</f>
        <v>119219.04761904762</v>
      </c>
      <c r="M17" s="104"/>
      <c r="N17" s="104"/>
      <c r="O17" s="108"/>
      <c r="P17" s="185">
        <f>J17*2000/1000</f>
        <v>628.57142857142856</v>
      </c>
      <c r="Q17" s="102">
        <f>P17*E17/100</f>
        <v>62.857142857142854</v>
      </c>
      <c r="R17" s="91" t="str">
        <f t="shared" si="1"/>
        <v>1200001169PSV-76000 SB HC MY VN</v>
      </c>
      <c r="S17" s="91">
        <f>IFERROR(VLOOKUP(R17,quotation!E:J,6,0),0)</f>
        <v>543000</v>
      </c>
    </row>
    <row r="18" spans="1:19" ht="19.5" customHeight="1">
      <c r="A18" s="186"/>
      <c r="B18" s="107" t="str">
        <f>CS!X26</f>
        <v>PSV-76000 SB HC MY VN</v>
      </c>
      <c r="C18" s="203">
        <f t="shared" si="0"/>
        <v>543000</v>
      </c>
      <c r="D18" s="204"/>
      <c r="E18" s="143">
        <f>CS!Y26</f>
        <v>10</v>
      </c>
      <c r="F18" s="187"/>
      <c r="G18" s="189"/>
      <c r="H18" s="181"/>
      <c r="I18" s="182"/>
      <c r="J18" s="183"/>
      <c r="K18" s="183"/>
      <c r="L18" s="184"/>
      <c r="M18" s="104"/>
      <c r="N18" s="104"/>
      <c r="O18" s="108"/>
      <c r="P18" s="185"/>
      <c r="Q18" s="102">
        <f>P17*E18/100</f>
        <v>62.857142857142854</v>
      </c>
      <c r="R18" s="91" t="str">
        <f t="shared" si="1"/>
        <v>1200001169PSV-76000 SB HC MY VN</v>
      </c>
      <c r="S18" s="91">
        <f>IFERROR(VLOOKUP(R18,quotation!E:J,6,0),0)</f>
        <v>543000</v>
      </c>
    </row>
    <row r="19" spans="1:19" ht="23.25" customHeight="1">
      <c r="A19" s="186"/>
      <c r="B19" s="107" t="str">
        <f>CS!X27</f>
        <v>PSV-76000 SB HC MY VN</v>
      </c>
      <c r="C19" s="203">
        <f t="shared" si="0"/>
        <v>543000</v>
      </c>
      <c r="D19" s="204"/>
      <c r="E19" s="143">
        <f>CS!Y27</f>
        <v>60</v>
      </c>
      <c r="F19" s="187"/>
      <c r="G19" s="189"/>
      <c r="H19" s="181"/>
      <c r="I19" s="182"/>
      <c r="J19" s="183"/>
      <c r="K19" s="183"/>
      <c r="L19" s="184"/>
      <c r="M19" s="104"/>
      <c r="N19" s="104"/>
      <c r="O19" s="103"/>
      <c r="P19" s="185"/>
      <c r="Q19" s="102">
        <f>P17*E19/100</f>
        <v>377.14285714285711</v>
      </c>
      <c r="R19" s="91" t="str">
        <f t="shared" si="1"/>
        <v>1200001169PSV-76000 SB HC MY VN</v>
      </c>
      <c r="S19" s="91">
        <f>IFERROR(VLOOKUP(R19,quotation!E:J,6,0),0)</f>
        <v>543000</v>
      </c>
    </row>
    <row r="20" spans="1:19" ht="23.25" customHeight="1">
      <c r="A20" s="186"/>
      <c r="B20" s="107" t="str">
        <f>CS!X28</f>
        <v>THPU-71306 01 KD VN</v>
      </c>
      <c r="C20" s="203">
        <f t="shared" si="0"/>
        <v>52000</v>
      </c>
      <c r="D20" s="204"/>
      <c r="E20" s="143">
        <f>CS!Y28</f>
        <v>20</v>
      </c>
      <c r="F20" s="187"/>
      <c r="G20" s="189"/>
      <c r="H20" s="181"/>
      <c r="I20" s="182"/>
      <c r="J20" s="183"/>
      <c r="K20" s="183"/>
      <c r="L20" s="184"/>
      <c r="M20" s="104"/>
      <c r="N20" s="104"/>
      <c r="O20" s="103"/>
      <c r="P20" s="185"/>
      <c r="Q20" s="102">
        <f>P17*E20/100</f>
        <v>125.71428571428571</v>
      </c>
      <c r="R20" s="91" t="str">
        <f t="shared" si="1"/>
        <v>1200001169THPU-71306 01 KD VN</v>
      </c>
      <c r="S20" s="91">
        <f>IFERROR(VLOOKUP(R20,quotation!E:J,6,0),0)</f>
        <v>52000</v>
      </c>
    </row>
    <row r="21" spans="1:19" ht="23.25" customHeight="1">
      <c r="A21" s="186"/>
      <c r="B21" s="107" t="str">
        <f>CS!X29</f>
        <v>THPU-71306 01 KD VN</v>
      </c>
      <c r="C21" s="203">
        <f t="shared" si="0"/>
        <v>52000</v>
      </c>
      <c r="D21" s="204"/>
      <c r="E21" s="143">
        <f>CS!Y29</f>
        <v>20</v>
      </c>
      <c r="F21" s="187"/>
      <c r="G21" s="190"/>
      <c r="H21" s="181"/>
      <c r="I21" s="182"/>
      <c r="J21" s="183"/>
      <c r="K21" s="183"/>
      <c r="L21" s="184"/>
      <c r="M21" s="104"/>
      <c r="N21" s="104"/>
      <c r="O21" s="103"/>
      <c r="P21" s="185"/>
      <c r="Q21" s="102">
        <f>P17*E21/100</f>
        <v>125.71428571428571</v>
      </c>
      <c r="R21" s="91" t="str">
        <f t="shared" si="1"/>
        <v>1200001169THPU-71306 01 KD VN</v>
      </c>
      <c r="S21" s="91">
        <f>IFERROR(VLOOKUP(R21,quotation!E:J,6,0),0)</f>
        <v>52000</v>
      </c>
    </row>
    <row r="22" spans="1:19" ht="19.5" customHeight="1">
      <c r="A22" s="186" t="str">
        <f>CS!W31</f>
        <v>TOP COAT COLOR</v>
      </c>
      <c r="B22" s="107" t="str">
        <f>CS!X31</f>
        <v>PSV-76000 SB HC MY VN</v>
      </c>
      <c r="C22" s="203">
        <f t="shared" si="0"/>
        <v>543000</v>
      </c>
      <c r="D22" s="204"/>
      <c r="E22" s="143">
        <f>CS!Y31</f>
        <v>10</v>
      </c>
      <c r="F22" s="187">
        <f t="shared" ref="F22" si="3">IFERROR(((C22*E22)+(C23*E23)+(C24*E24)+(C25*E25)+(C26*E26))/(E22+E23+E24+E25+E26),0)</f>
        <v>379333.33333333331</v>
      </c>
      <c r="G22" s="188" t="str">
        <f>CS!Z31</f>
        <v>SPRAY</v>
      </c>
      <c r="H22" s="181">
        <f>(CS!U31+CS!V31)/2</f>
        <v>110</v>
      </c>
      <c r="I22" s="182">
        <f>VLOOKUP(G22,'app-method'!A:B,2,0)</f>
        <v>0.6</v>
      </c>
      <c r="J22" s="183">
        <f>(1/I22)*H22</f>
        <v>183.33333333333334</v>
      </c>
      <c r="K22" s="183">
        <f>1000/J22</f>
        <v>5.4545454545454541</v>
      </c>
      <c r="L22" s="184">
        <f>J22*F22/1000</f>
        <v>69544.444444444453</v>
      </c>
      <c r="M22" s="104"/>
      <c r="N22" s="104"/>
      <c r="O22" s="108"/>
      <c r="P22" s="185">
        <f>J22*2000/1000</f>
        <v>366.66666666666669</v>
      </c>
      <c r="Q22" s="102">
        <f>P22*E22/100</f>
        <v>36.666666666666671</v>
      </c>
      <c r="R22" s="91" t="str">
        <f t="shared" si="1"/>
        <v>1200001169PSV-76000 SB HC MY VN</v>
      </c>
      <c r="S22" s="91">
        <f>IFERROR(VLOOKUP(R22,quotation!E:J,6,0),0)</f>
        <v>543000</v>
      </c>
    </row>
    <row r="23" spans="1:19" ht="19.5" customHeight="1">
      <c r="A23" s="186"/>
      <c r="B23" s="107" t="str">
        <f>CS!X32</f>
        <v>PSV-76000 SB HC MY VN</v>
      </c>
      <c r="C23" s="203">
        <f t="shared" si="0"/>
        <v>543000</v>
      </c>
      <c r="D23" s="204"/>
      <c r="E23" s="143">
        <f>CS!Y32</f>
        <v>10</v>
      </c>
      <c r="F23" s="187"/>
      <c r="G23" s="189"/>
      <c r="H23" s="181"/>
      <c r="I23" s="182"/>
      <c r="J23" s="183"/>
      <c r="K23" s="183"/>
      <c r="L23" s="184"/>
      <c r="M23" s="104"/>
      <c r="N23" s="104"/>
      <c r="O23" s="108"/>
      <c r="P23" s="185"/>
      <c r="Q23" s="102">
        <f>P22*E23/100</f>
        <v>36.666666666666671</v>
      </c>
      <c r="R23" s="91" t="str">
        <f t="shared" si="1"/>
        <v>1200001169PSV-76000 SB HC MY VN</v>
      </c>
      <c r="S23" s="91">
        <f>IFERROR(VLOOKUP(R23,quotation!E:J,6,0),0)</f>
        <v>543000</v>
      </c>
    </row>
    <row r="24" spans="1:19" ht="23.25" customHeight="1">
      <c r="A24" s="186"/>
      <c r="B24" s="107" t="str">
        <f>CS!X33</f>
        <v>PSV-76000 SB HC MY VN</v>
      </c>
      <c r="C24" s="203">
        <f t="shared" si="0"/>
        <v>543000</v>
      </c>
      <c r="D24" s="204"/>
      <c r="E24" s="143">
        <f>CS!Y33</f>
        <v>60</v>
      </c>
      <c r="F24" s="187"/>
      <c r="G24" s="189"/>
      <c r="H24" s="181"/>
      <c r="I24" s="182"/>
      <c r="J24" s="183"/>
      <c r="K24" s="183"/>
      <c r="L24" s="184"/>
      <c r="M24" s="104"/>
      <c r="N24" s="104"/>
      <c r="O24" s="103"/>
      <c r="P24" s="185"/>
      <c r="Q24" s="102">
        <f>P22*E24/100</f>
        <v>220</v>
      </c>
      <c r="R24" s="91" t="str">
        <f t="shared" si="1"/>
        <v>1200001169PSV-76000 SB HC MY VN</v>
      </c>
      <c r="S24" s="91">
        <f>IFERROR(VLOOKUP(R24,quotation!E:J,6,0),0)</f>
        <v>543000</v>
      </c>
    </row>
    <row r="25" spans="1:19" ht="23.25" customHeight="1">
      <c r="A25" s="186"/>
      <c r="B25" s="107" t="str">
        <f>CS!X34</f>
        <v>THPU-71306 01 KD VN</v>
      </c>
      <c r="C25" s="203">
        <f t="shared" si="0"/>
        <v>52000</v>
      </c>
      <c r="D25" s="204"/>
      <c r="E25" s="143">
        <f>CS!Y34</f>
        <v>20</v>
      </c>
      <c r="F25" s="187"/>
      <c r="G25" s="189"/>
      <c r="H25" s="181"/>
      <c r="I25" s="182"/>
      <c r="J25" s="183"/>
      <c r="K25" s="183"/>
      <c r="L25" s="184"/>
      <c r="M25" s="104"/>
      <c r="N25" s="104"/>
      <c r="O25" s="103"/>
      <c r="P25" s="185"/>
      <c r="Q25" s="102">
        <f>P22*E25/100</f>
        <v>73.333333333333343</v>
      </c>
      <c r="R25" s="91" t="str">
        <f t="shared" si="1"/>
        <v>1200001169THPU-71306 01 KD VN</v>
      </c>
      <c r="S25" s="91">
        <f>IFERROR(VLOOKUP(R25,quotation!E:J,6,0),0)</f>
        <v>52000</v>
      </c>
    </row>
    <row r="26" spans="1:19" ht="23.25" customHeight="1">
      <c r="A26" s="186"/>
      <c r="B26" s="107" t="str">
        <f>CS!X35</f>
        <v>THPU-71306 01 KD VN</v>
      </c>
      <c r="C26" s="203">
        <f t="shared" si="0"/>
        <v>52000</v>
      </c>
      <c r="D26" s="204"/>
      <c r="E26" s="143">
        <f>CS!Y35</f>
        <v>20</v>
      </c>
      <c r="F26" s="187"/>
      <c r="G26" s="190"/>
      <c r="H26" s="181"/>
      <c r="I26" s="182"/>
      <c r="J26" s="183"/>
      <c r="K26" s="183"/>
      <c r="L26" s="184"/>
      <c r="M26" s="104"/>
      <c r="N26" s="104"/>
      <c r="O26" s="103"/>
      <c r="P26" s="185"/>
      <c r="Q26" s="102">
        <f>P22*E26/100</f>
        <v>73.333333333333343</v>
      </c>
      <c r="R26" s="91" t="str">
        <f t="shared" si="1"/>
        <v>1200001169THPU-71306 01 KD VN</v>
      </c>
      <c r="S26" s="91">
        <f>IFERROR(VLOOKUP(R26,quotation!E:J,6,0),0)</f>
        <v>52000</v>
      </c>
    </row>
    <row r="27" spans="1:19" ht="19.5" customHeight="1">
      <c r="A27" s="186" t="str">
        <f>CS!W37</f>
        <v>TOP COAT COLOR</v>
      </c>
      <c r="B27" s="107" t="str">
        <f>CS!X37</f>
        <v>PSV-76000 SB HC MY VN</v>
      </c>
      <c r="C27" s="203">
        <f t="shared" si="0"/>
        <v>543000</v>
      </c>
      <c r="D27" s="204"/>
      <c r="E27" s="143">
        <f>CS!Y37</f>
        <v>10</v>
      </c>
      <c r="F27" s="187">
        <f t="shared" ref="F27" si="4">IFERROR(((C27*E27)+(C28*E28)+(C29*E29)+(C30*E30)+(C31*E31))/(E27+E28+E29+E30+E31),0)</f>
        <v>379333.33333333331</v>
      </c>
      <c r="G27" s="188" t="str">
        <f>CS!Z37</f>
        <v>WIPING</v>
      </c>
      <c r="H27" s="181">
        <f>(CS!U37+CS!V37)/2</f>
        <v>110</v>
      </c>
      <c r="I27" s="182">
        <f>VLOOKUP(G27,'app-method'!A:B,2,0)</f>
        <v>0.35</v>
      </c>
      <c r="J27" s="183">
        <f>(1/I27)*H27</f>
        <v>314.28571428571428</v>
      </c>
      <c r="K27" s="183">
        <f>1000/J27</f>
        <v>3.1818181818181821</v>
      </c>
      <c r="L27" s="184">
        <f>J27*F27/1000</f>
        <v>119219.04761904762</v>
      </c>
      <c r="M27" s="104"/>
      <c r="N27" s="104"/>
      <c r="O27" s="108"/>
      <c r="P27" s="185">
        <f>J27*2000/1000</f>
        <v>628.57142857142856</v>
      </c>
      <c r="Q27" s="102">
        <f>P27*E27/100</f>
        <v>62.857142857142854</v>
      </c>
      <c r="R27" s="91" t="str">
        <f t="shared" si="1"/>
        <v>1200001169PSV-76000 SB HC MY VN</v>
      </c>
      <c r="S27" s="91">
        <f>IFERROR(VLOOKUP(R27,quotation!E:J,6,0),0)</f>
        <v>543000</v>
      </c>
    </row>
    <row r="28" spans="1:19" ht="19.5" customHeight="1">
      <c r="A28" s="186"/>
      <c r="B28" s="107" t="str">
        <f>CS!X38</f>
        <v>PSV-76000 SB HC MY VN</v>
      </c>
      <c r="C28" s="203">
        <f t="shared" si="0"/>
        <v>543000</v>
      </c>
      <c r="D28" s="204"/>
      <c r="E28" s="143">
        <f>CS!Y38</f>
        <v>10</v>
      </c>
      <c r="F28" s="187"/>
      <c r="G28" s="189"/>
      <c r="H28" s="181"/>
      <c r="I28" s="182"/>
      <c r="J28" s="183"/>
      <c r="K28" s="183"/>
      <c r="L28" s="184"/>
      <c r="M28" s="104"/>
      <c r="N28" s="104"/>
      <c r="O28" s="108"/>
      <c r="P28" s="185"/>
      <c r="Q28" s="102">
        <f>P27*E28/100</f>
        <v>62.857142857142854</v>
      </c>
      <c r="R28" s="91" t="str">
        <f t="shared" si="1"/>
        <v>1200001169PSV-76000 SB HC MY VN</v>
      </c>
      <c r="S28" s="91">
        <f>IFERROR(VLOOKUP(R28,quotation!E:J,6,0),0)</f>
        <v>543000</v>
      </c>
    </row>
    <row r="29" spans="1:19" ht="23.25" customHeight="1">
      <c r="A29" s="186"/>
      <c r="B29" s="107" t="str">
        <f>CS!X39</f>
        <v>PSV-76000 SB HC MY VN</v>
      </c>
      <c r="C29" s="203">
        <f t="shared" si="0"/>
        <v>543000</v>
      </c>
      <c r="D29" s="204"/>
      <c r="E29" s="143">
        <f>CS!Y39</f>
        <v>60</v>
      </c>
      <c r="F29" s="187"/>
      <c r="G29" s="189"/>
      <c r="H29" s="181"/>
      <c r="I29" s="182"/>
      <c r="J29" s="183"/>
      <c r="K29" s="183"/>
      <c r="L29" s="184"/>
      <c r="M29" s="104"/>
      <c r="N29" s="104"/>
      <c r="O29" s="103"/>
      <c r="P29" s="185"/>
      <c r="Q29" s="102">
        <f>P27*E29/100</f>
        <v>377.14285714285711</v>
      </c>
      <c r="R29" s="91" t="str">
        <f t="shared" si="1"/>
        <v>1200001169PSV-76000 SB HC MY VN</v>
      </c>
      <c r="S29" s="91">
        <f>IFERROR(VLOOKUP(R29,quotation!E:J,6,0),0)</f>
        <v>543000</v>
      </c>
    </row>
    <row r="30" spans="1:19" ht="23.25" customHeight="1">
      <c r="A30" s="186"/>
      <c r="B30" s="107" t="str">
        <f>CS!X40</f>
        <v>THPU-71306 01 KD VN</v>
      </c>
      <c r="C30" s="203">
        <f t="shared" si="0"/>
        <v>52000</v>
      </c>
      <c r="D30" s="204"/>
      <c r="E30" s="143">
        <f>CS!Y40</f>
        <v>20</v>
      </c>
      <c r="F30" s="187"/>
      <c r="G30" s="189"/>
      <c r="H30" s="181"/>
      <c r="I30" s="182"/>
      <c r="J30" s="183"/>
      <c r="K30" s="183"/>
      <c r="L30" s="184"/>
      <c r="M30" s="104"/>
      <c r="N30" s="104"/>
      <c r="O30" s="103"/>
      <c r="P30" s="185"/>
      <c r="Q30" s="102">
        <f>P27*E30/100</f>
        <v>125.71428571428571</v>
      </c>
      <c r="R30" s="91" t="str">
        <f t="shared" si="1"/>
        <v>1200001169THPU-71306 01 KD VN</v>
      </c>
      <c r="S30" s="91">
        <f>IFERROR(VLOOKUP(R30,quotation!E:J,6,0),0)</f>
        <v>52000</v>
      </c>
    </row>
    <row r="31" spans="1:19" ht="23.25" customHeight="1">
      <c r="A31" s="186"/>
      <c r="B31" s="107" t="str">
        <f>CS!X41</f>
        <v>THPU-71306 01 KD VN</v>
      </c>
      <c r="C31" s="203">
        <f t="shared" si="0"/>
        <v>52000</v>
      </c>
      <c r="D31" s="204"/>
      <c r="E31" s="143">
        <f>CS!Y41</f>
        <v>20</v>
      </c>
      <c r="F31" s="187"/>
      <c r="G31" s="190"/>
      <c r="H31" s="181"/>
      <c r="I31" s="182"/>
      <c r="J31" s="183"/>
      <c r="K31" s="183"/>
      <c r="L31" s="184"/>
      <c r="M31" s="104"/>
      <c r="N31" s="104"/>
      <c r="O31" s="103"/>
      <c r="P31" s="185"/>
      <c r="Q31" s="102">
        <f>P27*E31/100</f>
        <v>125.71428571428571</v>
      </c>
      <c r="R31" s="91" t="str">
        <f t="shared" si="1"/>
        <v>1200001169THPU-71306 01 KD VN</v>
      </c>
      <c r="S31" s="91">
        <f>IFERROR(VLOOKUP(R31,quotation!E:J,6,0),0)</f>
        <v>52000</v>
      </c>
    </row>
    <row r="32" spans="1:19" ht="19.5" customHeight="1">
      <c r="A32" s="186" t="str">
        <f>CS!W43</f>
        <v xml:space="preserve">STAIN + EQUALIZER/ STAIN + SỬA GỖ </v>
      </c>
      <c r="B32" s="107" t="str">
        <f>CS!X43</f>
        <v>PSV-76000 SB HC MY VN</v>
      </c>
      <c r="C32" s="203">
        <f t="shared" si="0"/>
        <v>543000</v>
      </c>
      <c r="D32" s="204"/>
      <c r="E32" s="143">
        <f>CS!Y43</f>
        <v>10</v>
      </c>
      <c r="F32" s="187">
        <f t="shared" ref="F32" si="5">IFERROR(((C32*E32)+(C33*E33)+(C34*E34)+(C35*E35)+(C36*E36))/(E32+E33+E34+E35+E36),0)</f>
        <v>379333.33333333331</v>
      </c>
      <c r="G32" s="188" t="str">
        <f>CS!Z43</f>
        <v>SPRAY</v>
      </c>
      <c r="H32" s="181">
        <f>(CS!U43+CS!V43)/2</f>
        <v>110</v>
      </c>
      <c r="I32" s="182">
        <f>VLOOKUP(G32,'app-method'!A:B,2,0)</f>
        <v>0.6</v>
      </c>
      <c r="J32" s="183">
        <f>(1/I32)*H32</f>
        <v>183.33333333333334</v>
      </c>
      <c r="K32" s="183">
        <f>1000/J32</f>
        <v>5.4545454545454541</v>
      </c>
      <c r="L32" s="184">
        <f>J32*F32/1000</f>
        <v>69544.444444444453</v>
      </c>
      <c r="M32" s="104"/>
      <c r="N32" s="104"/>
      <c r="O32" s="108"/>
      <c r="P32" s="185">
        <f>J32*2000/1000</f>
        <v>366.66666666666669</v>
      </c>
      <c r="Q32" s="102">
        <f>P32*E32/100</f>
        <v>36.666666666666671</v>
      </c>
      <c r="R32" s="91" t="str">
        <f t="shared" si="1"/>
        <v>1200001169PSV-76000 SB HC MY VN</v>
      </c>
      <c r="S32" s="91">
        <f>IFERROR(VLOOKUP(R32,quotation!E:J,6,0),0)</f>
        <v>543000</v>
      </c>
    </row>
    <row r="33" spans="1:19" ht="19.5" customHeight="1">
      <c r="A33" s="186"/>
      <c r="B33" s="107" t="str">
        <f>CS!X44</f>
        <v>PSV-76000 SB HC MY VN</v>
      </c>
      <c r="C33" s="203">
        <f t="shared" si="0"/>
        <v>543000</v>
      </c>
      <c r="D33" s="204"/>
      <c r="E33" s="143">
        <f>CS!Y44</f>
        <v>10</v>
      </c>
      <c r="F33" s="187"/>
      <c r="G33" s="189"/>
      <c r="H33" s="181"/>
      <c r="I33" s="182"/>
      <c r="J33" s="183"/>
      <c r="K33" s="183"/>
      <c r="L33" s="184"/>
      <c r="M33" s="104"/>
      <c r="N33" s="104"/>
      <c r="O33" s="108"/>
      <c r="P33" s="185"/>
      <c r="Q33" s="102">
        <f>P32*E33/100</f>
        <v>36.666666666666671</v>
      </c>
      <c r="R33" s="91" t="str">
        <f t="shared" si="1"/>
        <v>1200001169PSV-76000 SB HC MY VN</v>
      </c>
      <c r="S33" s="91">
        <f>IFERROR(VLOOKUP(R33,quotation!E:J,6,0),0)</f>
        <v>543000</v>
      </c>
    </row>
    <row r="34" spans="1:19" ht="23.25" customHeight="1">
      <c r="A34" s="186"/>
      <c r="B34" s="107" t="str">
        <f>CS!X45</f>
        <v>PSV-76000 SB HC MY VN</v>
      </c>
      <c r="C34" s="203">
        <f t="shared" si="0"/>
        <v>543000</v>
      </c>
      <c r="D34" s="204"/>
      <c r="E34" s="143">
        <f>CS!Y45</f>
        <v>60</v>
      </c>
      <c r="F34" s="187"/>
      <c r="G34" s="189"/>
      <c r="H34" s="181"/>
      <c r="I34" s="182"/>
      <c r="J34" s="183"/>
      <c r="K34" s="183"/>
      <c r="L34" s="184"/>
      <c r="M34" s="104"/>
      <c r="N34" s="104"/>
      <c r="O34" s="103"/>
      <c r="P34" s="185"/>
      <c r="Q34" s="102">
        <f>P32*E34/100</f>
        <v>220</v>
      </c>
      <c r="R34" s="91" t="str">
        <f t="shared" si="1"/>
        <v>1200001169PSV-76000 SB HC MY VN</v>
      </c>
      <c r="S34" s="91">
        <f>IFERROR(VLOOKUP(R34,quotation!E:J,6,0),0)</f>
        <v>543000</v>
      </c>
    </row>
    <row r="35" spans="1:19" ht="23.25" customHeight="1">
      <c r="A35" s="186"/>
      <c r="B35" s="107" t="str">
        <f>CS!X46</f>
        <v>THPU-71306 01 KD VN</v>
      </c>
      <c r="C35" s="203">
        <f t="shared" si="0"/>
        <v>52000</v>
      </c>
      <c r="D35" s="204"/>
      <c r="E35" s="143">
        <f>CS!Y46</f>
        <v>20</v>
      </c>
      <c r="F35" s="187"/>
      <c r="G35" s="189"/>
      <c r="H35" s="181"/>
      <c r="I35" s="182"/>
      <c r="J35" s="183"/>
      <c r="K35" s="183"/>
      <c r="L35" s="184"/>
      <c r="M35" s="104"/>
      <c r="N35" s="104"/>
      <c r="O35" s="103"/>
      <c r="P35" s="185"/>
      <c r="Q35" s="102">
        <f>P32*E35/100</f>
        <v>73.333333333333343</v>
      </c>
      <c r="R35" s="91" t="str">
        <f t="shared" si="1"/>
        <v>1200001169THPU-71306 01 KD VN</v>
      </c>
      <c r="S35" s="91">
        <f>IFERROR(VLOOKUP(R35,quotation!E:J,6,0),0)</f>
        <v>52000</v>
      </c>
    </row>
    <row r="36" spans="1:19" ht="23.25" customHeight="1">
      <c r="A36" s="186"/>
      <c r="B36" s="107" t="str">
        <f>CS!X47</f>
        <v>THPU-71306 01 KD VN</v>
      </c>
      <c r="C36" s="203">
        <f t="shared" si="0"/>
        <v>52000</v>
      </c>
      <c r="D36" s="204"/>
      <c r="E36" s="143">
        <f>CS!Y47</f>
        <v>20</v>
      </c>
      <c r="F36" s="187"/>
      <c r="G36" s="190"/>
      <c r="H36" s="181"/>
      <c r="I36" s="182"/>
      <c r="J36" s="183"/>
      <c r="K36" s="183"/>
      <c r="L36" s="184"/>
      <c r="M36" s="104"/>
      <c r="N36" s="104"/>
      <c r="O36" s="103"/>
      <c r="P36" s="185"/>
      <c r="Q36" s="102">
        <f>P32*E36/100</f>
        <v>73.333333333333343</v>
      </c>
      <c r="R36" s="91" t="str">
        <f t="shared" si="1"/>
        <v>1200001169THPU-71306 01 KD VN</v>
      </c>
      <c r="S36" s="91">
        <f>IFERROR(VLOOKUP(R36,quotation!E:J,6,0),0)</f>
        <v>52000</v>
      </c>
    </row>
    <row r="37" spans="1:19" ht="19.5" customHeight="1">
      <c r="A37" s="186" t="str">
        <f>CS!W49</f>
        <v>TOP COAT COLOR</v>
      </c>
      <c r="B37" s="107" t="str">
        <f>CS!X49</f>
        <v>PSV-76000 SB HC MY VN</v>
      </c>
      <c r="C37" s="203">
        <f t="shared" si="0"/>
        <v>543000</v>
      </c>
      <c r="D37" s="204"/>
      <c r="E37" s="143">
        <f>CS!Y49</f>
        <v>10</v>
      </c>
      <c r="F37" s="187">
        <f t="shared" ref="F37" si="6">IFERROR(((C37*E37)+(C38*E38)+(C39*E39)+(C40*E40)+(C41*E41))/(E37+E38+E39+E40+E41),0)</f>
        <v>379333.33333333331</v>
      </c>
      <c r="G37" s="188" t="str">
        <f>CS!Z49</f>
        <v>WIPING</v>
      </c>
      <c r="H37" s="181">
        <f>(CS!U49+CS!V49)/2</f>
        <v>110</v>
      </c>
      <c r="I37" s="182">
        <f>VLOOKUP(G37,'app-method'!A:B,2,0)</f>
        <v>0.35</v>
      </c>
      <c r="J37" s="183">
        <f>(1/I37)*H37</f>
        <v>314.28571428571428</v>
      </c>
      <c r="K37" s="183">
        <f>1000/J37</f>
        <v>3.1818181818181821</v>
      </c>
      <c r="L37" s="184">
        <f>J37*F37/1000</f>
        <v>119219.04761904762</v>
      </c>
      <c r="M37" s="104"/>
      <c r="N37" s="104"/>
      <c r="O37" s="108"/>
      <c r="P37" s="185">
        <f>J37*2000/1000</f>
        <v>628.57142857142856</v>
      </c>
      <c r="Q37" s="102">
        <f>P37*E37/100</f>
        <v>62.857142857142854</v>
      </c>
      <c r="R37" s="91" t="str">
        <f t="shared" si="1"/>
        <v>1200001169PSV-76000 SB HC MY VN</v>
      </c>
      <c r="S37" s="91">
        <f>IFERROR(VLOOKUP(R37,quotation!E:J,6,0),0)</f>
        <v>543000</v>
      </c>
    </row>
    <row r="38" spans="1:19" ht="19.5" customHeight="1">
      <c r="A38" s="186"/>
      <c r="B38" s="107" t="str">
        <f>CS!X50</f>
        <v>PSV-76000 SB HC MY VN</v>
      </c>
      <c r="C38" s="203">
        <f t="shared" si="0"/>
        <v>543000</v>
      </c>
      <c r="D38" s="204"/>
      <c r="E38" s="143">
        <f>CS!Y50</f>
        <v>10</v>
      </c>
      <c r="F38" s="187"/>
      <c r="G38" s="189"/>
      <c r="H38" s="181"/>
      <c r="I38" s="182"/>
      <c r="J38" s="183"/>
      <c r="K38" s="183"/>
      <c r="L38" s="184"/>
      <c r="M38" s="104"/>
      <c r="N38" s="104"/>
      <c r="O38" s="108"/>
      <c r="P38" s="185"/>
      <c r="Q38" s="102">
        <f>P37*E38/100</f>
        <v>62.857142857142854</v>
      </c>
      <c r="R38" s="91" t="str">
        <f t="shared" si="1"/>
        <v>1200001169PSV-76000 SB HC MY VN</v>
      </c>
      <c r="S38" s="91">
        <f>IFERROR(VLOOKUP(R38,quotation!E:J,6,0),0)</f>
        <v>543000</v>
      </c>
    </row>
    <row r="39" spans="1:19" ht="23.25" customHeight="1">
      <c r="A39" s="186"/>
      <c r="B39" s="107" t="str">
        <f>CS!X51</f>
        <v>PSV-76000 SB HC MY VN</v>
      </c>
      <c r="C39" s="203">
        <f t="shared" si="0"/>
        <v>543000</v>
      </c>
      <c r="D39" s="204"/>
      <c r="E39" s="143">
        <f>CS!Y51</f>
        <v>60</v>
      </c>
      <c r="F39" s="187"/>
      <c r="G39" s="189"/>
      <c r="H39" s="181"/>
      <c r="I39" s="182"/>
      <c r="J39" s="183"/>
      <c r="K39" s="183"/>
      <c r="L39" s="184"/>
      <c r="M39" s="104"/>
      <c r="N39" s="104"/>
      <c r="O39" s="103"/>
      <c r="P39" s="185"/>
      <c r="Q39" s="102">
        <f>P37*E39/100</f>
        <v>377.14285714285711</v>
      </c>
      <c r="R39" s="91" t="str">
        <f t="shared" si="1"/>
        <v>1200001169PSV-76000 SB HC MY VN</v>
      </c>
      <c r="S39" s="91">
        <f>IFERROR(VLOOKUP(R39,quotation!E:J,6,0),0)</f>
        <v>543000</v>
      </c>
    </row>
    <row r="40" spans="1:19" ht="23.25" customHeight="1">
      <c r="A40" s="186"/>
      <c r="B40" s="107" t="str">
        <f>CS!X52</f>
        <v>THPU-71306 01 KD VN</v>
      </c>
      <c r="C40" s="203">
        <f t="shared" si="0"/>
        <v>52000</v>
      </c>
      <c r="D40" s="204"/>
      <c r="E40" s="143">
        <f>CS!Y52</f>
        <v>20</v>
      </c>
      <c r="F40" s="187"/>
      <c r="G40" s="189"/>
      <c r="H40" s="181"/>
      <c r="I40" s="182"/>
      <c r="J40" s="183"/>
      <c r="K40" s="183"/>
      <c r="L40" s="184"/>
      <c r="M40" s="104"/>
      <c r="N40" s="104"/>
      <c r="O40" s="103"/>
      <c r="P40" s="185"/>
      <c r="Q40" s="102">
        <f>P37*E40/100</f>
        <v>125.71428571428571</v>
      </c>
      <c r="R40" s="91" t="str">
        <f t="shared" si="1"/>
        <v>1200001169THPU-71306 01 KD VN</v>
      </c>
      <c r="S40" s="91">
        <f>IFERROR(VLOOKUP(R40,quotation!E:J,6,0),0)</f>
        <v>52000</v>
      </c>
    </row>
    <row r="41" spans="1:19" ht="23.25" customHeight="1">
      <c r="A41" s="186"/>
      <c r="B41" s="107" t="str">
        <f>CS!X53</f>
        <v>THPU-71306 01 KD VN</v>
      </c>
      <c r="C41" s="203">
        <f t="shared" si="0"/>
        <v>52000</v>
      </c>
      <c r="D41" s="204"/>
      <c r="E41" s="143">
        <f>CS!Y53</f>
        <v>20</v>
      </c>
      <c r="F41" s="187"/>
      <c r="G41" s="190"/>
      <c r="H41" s="181"/>
      <c r="I41" s="182"/>
      <c r="J41" s="183"/>
      <c r="K41" s="183"/>
      <c r="L41" s="184"/>
      <c r="M41" s="104"/>
      <c r="N41" s="104"/>
      <c r="O41" s="103"/>
      <c r="P41" s="185"/>
      <c r="Q41" s="102">
        <f>P37*E41/100</f>
        <v>125.71428571428571</v>
      </c>
      <c r="R41" s="91" t="str">
        <f t="shared" si="1"/>
        <v>1200001169THPU-71306 01 KD VN</v>
      </c>
      <c r="S41" s="91">
        <f>IFERROR(VLOOKUP(R41,quotation!E:J,6,0),0)</f>
        <v>52000</v>
      </c>
    </row>
    <row r="42" spans="1:19" ht="19.5" customHeight="1">
      <c r="A42" s="186" t="str">
        <f>CS!W55</f>
        <v>GLAZE</v>
      </c>
      <c r="B42" s="107" t="str">
        <f>CS!X55</f>
        <v>PSV-76000 SB HC MY VN</v>
      </c>
      <c r="C42" s="203">
        <f t="shared" si="0"/>
        <v>543000</v>
      </c>
      <c r="D42" s="204"/>
      <c r="E42" s="143">
        <f>CS!Y55</f>
        <v>10</v>
      </c>
      <c r="F42" s="187">
        <f t="shared" ref="F42" si="7">IFERROR(((C42*E42)+(C43*E43)+(C44*E44)+(C45*E45)+(C46*E46))/(E42+E43+E44+E45+E46),0)</f>
        <v>379333.33333333331</v>
      </c>
      <c r="G42" s="188" t="str">
        <f>CS!Z55</f>
        <v>SPRAY</v>
      </c>
      <c r="H42" s="181">
        <f>(CS!U55+CS!V55)/2</f>
        <v>110</v>
      </c>
      <c r="I42" s="182">
        <f>VLOOKUP(G42,'app-method'!A:B,2,0)</f>
        <v>0.6</v>
      </c>
      <c r="J42" s="183">
        <f>(1/I42)*H42</f>
        <v>183.33333333333334</v>
      </c>
      <c r="K42" s="183">
        <f>1000/J42</f>
        <v>5.4545454545454541</v>
      </c>
      <c r="L42" s="184">
        <f>J42*F42/1000</f>
        <v>69544.444444444453</v>
      </c>
      <c r="M42" s="104"/>
      <c r="N42" s="104"/>
      <c r="O42" s="108"/>
      <c r="P42" s="185">
        <f>J42*2000/1000</f>
        <v>366.66666666666669</v>
      </c>
      <c r="Q42" s="102">
        <f>P42*E42/100</f>
        <v>36.666666666666671</v>
      </c>
      <c r="R42" s="91" t="str">
        <f t="shared" si="1"/>
        <v>1200001169PSV-76000 SB HC MY VN</v>
      </c>
      <c r="S42" s="91">
        <f>IFERROR(VLOOKUP(R42,quotation!E:J,6,0),0)</f>
        <v>543000</v>
      </c>
    </row>
    <row r="43" spans="1:19" ht="19.5" customHeight="1">
      <c r="A43" s="186"/>
      <c r="B43" s="107" t="str">
        <f>CS!X56</f>
        <v>PSV-76000 SB HC MY VN</v>
      </c>
      <c r="C43" s="203">
        <f t="shared" si="0"/>
        <v>543000</v>
      </c>
      <c r="D43" s="204"/>
      <c r="E43" s="143">
        <f>CS!Y56</f>
        <v>10</v>
      </c>
      <c r="F43" s="187"/>
      <c r="G43" s="189"/>
      <c r="H43" s="181"/>
      <c r="I43" s="182"/>
      <c r="J43" s="183"/>
      <c r="K43" s="183"/>
      <c r="L43" s="184"/>
      <c r="M43" s="104"/>
      <c r="N43" s="104"/>
      <c r="O43" s="108"/>
      <c r="P43" s="185"/>
      <c r="Q43" s="102">
        <f>P42*E43/100</f>
        <v>36.666666666666671</v>
      </c>
      <c r="R43" s="91" t="str">
        <f t="shared" si="1"/>
        <v>1200001169PSV-76000 SB HC MY VN</v>
      </c>
      <c r="S43" s="91">
        <f>IFERROR(VLOOKUP(R43,quotation!E:J,6,0),0)</f>
        <v>543000</v>
      </c>
    </row>
    <row r="44" spans="1:19" ht="23.25" customHeight="1">
      <c r="A44" s="186"/>
      <c r="B44" s="107" t="str">
        <f>CS!X57</f>
        <v>PSV-76000 SB HC MY VN</v>
      </c>
      <c r="C44" s="203">
        <f t="shared" si="0"/>
        <v>543000</v>
      </c>
      <c r="D44" s="204"/>
      <c r="E44" s="143">
        <f>CS!Y57</f>
        <v>60</v>
      </c>
      <c r="F44" s="187"/>
      <c r="G44" s="189"/>
      <c r="H44" s="181"/>
      <c r="I44" s="182"/>
      <c r="J44" s="183"/>
      <c r="K44" s="183"/>
      <c r="L44" s="184"/>
      <c r="M44" s="104"/>
      <c r="N44" s="104"/>
      <c r="O44" s="103"/>
      <c r="P44" s="185"/>
      <c r="Q44" s="102">
        <f>P42*E44/100</f>
        <v>220</v>
      </c>
      <c r="R44" s="91" t="str">
        <f t="shared" si="1"/>
        <v>1200001169PSV-76000 SB HC MY VN</v>
      </c>
      <c r="S44" s="91">
        <f>IFERROR(VLOOKUP(R44,quotation!E:J,6,0),0)</f>
        <v>543000</v>
      </c>
    </row>
    <row r="45" spans="1:19" ht="23.25" customHeight="1">
      <c r="A45" s="186"/>
      <c r="B45" s="107" t="str">
        <f>CS!X58</f>
        <v>THPU-71306 01 KD VN</v>
      </c>
      <c r="C45" s="203">
        <f t="shared" si="0"/>
        <v>52000</v>
      </c>
      <c r="D45" s="204"/>
      <c r="E45" s="143">
        <f>CS!Y58</f>
        <v>20</v>
      </c>
      <c r="F45" s="187"/>
      <c r="G45" s="189"/>
      <c r="H45" s="181"/>
      <c r="I45" s="182"/>
      <c r="J45" s="183"/>
      <c r="K45" s="183"/>
      <c r="L45" s="184"/>
      <c r="M45" s="104"/>
      <c r="N45" s="104"/>
      <c r="O45" s="103"/>
      <c r="P45" s="185"/>
      <c r="Q45" s="102">
        <f>P42*E45/100</f>
        <v>73.333333333333343</v>
      </c>
      <c r="R45" s="91" t="str">
        <f t="shared" si="1"/>
        <v>1200001169THPU-71306 01 KD VN</v>
      </c>
      <c r="S45" s="91">
        <f>IFERROR(VLOOKUP(R45,quotation!E:J,6,0),0)</f>
        <v>52000</v>
      </c>
    </row>
    <row r="46" spans="1:19" ht="23.25" customHeight="1">
      <c r="A46" s="186"/>
      <c r="B46" s="107" t="str">
        <f>CS!X59</f>
        <v>THPU-71306 01 KD VN</v>
      </c>
      <c r="C46" s="203">
        <f t="shared" si="0"/>
        <v>52000</v>
      </c>
      <c r="D46" s="204"/>
      <c r="E46" s="143">
        <f>CS!Y59</f>
        <v>20</v>
      </c>
      <c r="F46" s="187"/>
      <c r="G46" s="190"/>
      <c r="H46" s="181"/>
      <c r="I46" s="182"/>
      <c r="J46" s="183"/>
      <c r="K46" s="183"/>
      <c r="L46" s="184"/>
      <c r="M46" s="104"/>
      <c r="N46" s="104"/>
      <c r="O46" s="103"/>
      <c r="P46" s="185"/>
      <c r="Q46" s="102">
        <f>P42*E46/100</f>
        <v>73.333333333333343</v>
      </c>
      <c r="R46" s="91" t="str">
        <f t="shared" si="1"/>
        <v>1200001169THPU-71306 01 KD VN</v>
      </c>
      <c r="S46" s="91">
        <f>IFERROR(VLOOKUP(R46,quotation!E:J,6,0),0)</f>
        <v>52000</v>
      </c>
    </row>
    <row r="47" spans="1:19" ht="19.5" customHeight="1">
      <c r="A47" s="186" t="str">
        <f>CS!W61</f>
        <v xml:space="preserve">SEALER/ LÓT TRONG </v>
      </c>
      <c r="B47" s="107" t="str">
        <f>CS!X61</f>
        <v>PSV-76000 SB HC MY VN</v>
      </c>
      <c r="C47" s="203">
        <f t="shared" si="0"/>
        <v>543000</v>
      </c>
      <c r="D47" s="204"/>
      <c r="E47" s="143">
        <f>CS!Y61</f>
        <v>10</v>
      </c>
      <c r="F47" s="187">
        <f t="shared" ref="F47" si="8">IFERROR(((C47*E47)+(C48*E48)+(C49*E49)+(C50*E50)+(C51*E51))/(E47+E48+E49+E50+E51),0)</f>
        <v>379333.33333333331</v>
      </c>
      <c r="G47" s="188" t="str">
        <f>CS!Z61</f>
        <v>SPRAY</v>
      </c>
      <c r="H47" s="181">
        <f>(CS!U61+CS!V61)/2</f>
        <v>110</v>
      </c>
      <c r="I47" s="182">
        <f>VLOOKUP(G47,'app-method'!A:B,2,0)</f>
        <v>0.6</v>
      </c>
      <c r="J47" s="183">
        <f>(1/I47)*H47</f>
        <v>183.33333333333334</v>
      </c>
      <c r="K47" s="183">
        <f>1000/J47</f>
        <v>5.4545454545454541</v>
      </c>
      <c r="L47" s="184">
        <f>J47*F47/1000</f>
        <v>69544.444444444453</v>
      </c>
      <c r="M47" s="104"/>
      <c r="N47" s="104"/>
      <c r="O47" s="108"/>
      <c r="P47" s="185">
        <f>J47*2000/1000</f>
        <v>366.66666666666669</v>
      </c>
      <c r="Q47" s="102">
        <f>P47*E47/100</f>
        <v>36.666666666666671</v>
      </c>
      <c r="R47" s="91" t="str">
        <f t="shared" si="1"/>
        <v>1200001169PSV-76000 SB HC MY VN</v>
      </c>
      <c r="S47" s="91">
        <f>IFERROR(VLOOKUP(R47,quotation!E:J,6,0),0)</f>
        <v>543000</v>
      </c>
    </row>
    <row r="48" spans="1:19" ht="19.5" customHeight="1">
      <c r="A48" s="186"/>
      <c r="B48" s="107" t="str">
        <f>CS!X62</f>
        <v>PSV-76000 SB HC MY VN</v>
      </c>
      <c r="C48" s="203">
        <f t="shared" si="0"/>
        <v>543000</v>
      </c>
      <c r="D48" s="204"/>
      <c r="E48" s="143">
        <f>CS!Y62</f>
        <v>10</v>
      </c>
      <c r="F48" s="187"/>
      <c r="G48" s="189"/>
      <c r="H48" s="181"/>
      <c r="I48" s="182"/>
      <c r="J48" s="183"/>
      <c r="K48" s="183"/>
      <c r="L48" s="184"/>
      <c r="M48" s="104"/>
      <c r="N48" s="104"/>
      <c r="O48" s="108"/>
      <c r="P48" s="185"/>
      <c r="Q48" s="102">
        <f>P47*E48/100</f>
        <v>36.666666666666671</v>
      </c>
      <c r="R48" s="91" t="str">
        <f t="shared" si="1"/>
        <v>1200001169PSV-76000 SB HC MY VN</v>
      </c>
      <c r="S48" s="91">
        <f>IFERROR(VLOOKUP(R48,quotation!E:J,6,0),0)</f>
        <v>543000</v>
      </c>
    </row>
    <row r="49" spans="1:19" ht="23.25" customHeight="1">
      <c r="A49" s="186"/>
      <c r="B49" s="107" t="str">
        <f>CS!X63</f>
        <v>PSV-76000 SB HC MY VN</v>
      </c>
      <c r="C49" s="203">
        <f t="shared" si="0"/>
        <v>543000</v>
      </c>
      <c r="D49" s="204"/>
      <c r="E49" s="143">
        <f>CS!Y63</f>
        <v>60</v>
      </c>
      <c r="F49" s="187"/>
      <c r="G49" s="189"/>
      <c r="H49" s="181"/>
      <c r="I49" s="182"/>
      <c r="J49" s="183"/>
      <c r="K49" s="183"/>
      <c r="L49" s="184"/>
      <c r="M49" s="104"/>
      <c r="N49" s="104"/>
      <c r="O49" s="103"/>
      <c r="P49" s="185"/>
      <c r="Q49" s="102">
        <f>P47*E49/100</f>
        <v>220</v>
      </c>
      <c r="R49" s="91" t="str">
        <f t="shared" si="1"/>
        <v>1200001169PSV-76000 SB HC MY VN</v>
      </c>
      <c r="S49" s="91">
        <f>IFERROR(VLOOKUP(R49,quotation!E:J,6,0),0)</f>
        <v>543000</v>
      </c>
    </row>
    <row r="50" spans="1:19" ht="23.25" customHeight="1">
      <c r="A50" s="186"/>
      <c r="B50" s="107" t="str">
        <f>CS!X64</f>
        <v>THPU-71306 01 KD VN</v>
      </c>
      <c r="C50" s="203">
        <f t="shared" si="0"/>
        <v>52000</v>
      </c>
      <c r="D50" s="204"/>
      <c r="E50" s="143">
        <f>CS!Y64</f>
        <v>20</v>
      </c>
      <c r="F50" s="187"/>
      <c r="G50" s="189"/>
      <c r="H50" s="181"/>
      <c r="I50" s="182"/>
      <c r="J50" s="183"/>
      <c r="K50" s="183"/>
      <c r="L50" s="184"/>
      <c r="M50" s="104"/>
      <c r="N50" s="104"/>
      <c r="O50" s="103"/>
      <c r="P50" s="185"/>
      <c r="Q50" s="102">
        <f>P47*E50/100</f>
        <v>73.333333333333343</v>
      </c>
      <c r="R50" s="91" t="str">
        <f t="shared" si="1"/>
        <v>1200001169THPU-71306 01 KD VN</v>
      </c>
      <c r="S50" s="91">
        <f>IFERROR(VLOOKUP(R50,quotation!E:J,6,0),0)</f>
        <v>52000</v>
      </c>
    </row>
    <row r="51" spans="1:19" ht="23.25" customHeight="1">
      <c r="A51" s="186"/>
      <c r="B51" s="107" t="str">
        <f>CS!X65</f>
        <v>THPU-71306 01 KD VN</v>
      </c>
      <c r="C51" s="203">
        <f t="shared" si="0"/>
        <v>52000</v>
      </c>
      <c r="D51" s="204"/>
      <c r="E51" s="143">
        <f>CS!Y65</f>
        <v>20</v>
      </c>
      <c r="F51" s="187"/>
      <c r="G51" s="190"/>
      <c r="H51" s="181"/>
      <c r="I51" s="182"/>
      <c r="J51" s="183"/>
      <c r="K51" s="183"/>
      <c r="L51" s="184"/>
      <c r="M51" s="104"/>
      <c r="N51" s="104"/>
      <c r="O51" s="103"/>
      <c r="P51" s="185"/>
      <c r="Q51" s="102">
        <f>P47*E51/100</f>
        <v>73.333333333333343</v>
      </c>
      <c r="R51" s="91" t="str">
        <f t="shared" si="1"/>
        <v>1200001169THPU-71306 01 KD VN</v>
      </c>
      <c r="S51" s="91">
        <f>IFERROR(VLOOKUP(R51,quotation!E:J,6,0),0)</f>
        <v>52000</v>
      </c>
    </row>
    <row r="52" spans="1:19" ht="19.5" customHeight="1">
      <c r="A52" s="186" t="str">
        <f>CS!W67</f>
        <v>TOP COAT COLOR</v>
      </c>
      <c r="B52" s="107" t="str">
        <f>CS!X67</f>
        <v>PSV-76000 SB HC MY VN</v>
      </c>
      <c r="C52" s="203">
        <f t="shared" si="0"/>
        <v>543000</v>
      </c>
      <c r="D52" s="204"/>
      <c r="E52" s="143">
        <f>CS!Y67</f>
        <v>10</v>
      </c>
      <c r="F52" s="187">
        <f t="shared" ref="F52" si="9">IFERROR(((C52*E52)+(C53*E53)+(C54*E54)+(C55*E55)+(C56*E56))/(E52+E53+E54+E55+E56),0)</f>
        <v>379333.33333333331</v>
      </c>
      <c r="G52" s="188" t="str">
        <f>CS!Z67</f>
        <v>SPRAY</v>
      </c>
      <c r="H52" s="181">
        <f>(CS!U67+CS!V67)/2</f>
        <v>110</v>
      </c>
      <c r="I52" s="182">
        <f>VLOOKUP(G52,'app-method'!A:B,2,0)</f>
        <v>0.6</v>
      </c>
      <c r="J52" s="183">
        <f>(1/I52)*H52</f>
        <v>183.33333333333334</v>
      </c>
      <c r="K52" s="183">
        <f>1000/J52</f>
        <v>5.4545454545454541</v>
      </c>
      <c r="L52" s="184">
        <f>J52*F52/1000</f>
        <v>69544.444444444453</v>
      </c>
      <c r="M52" s="104"/>
      <c r="N52" s="104"/>
      <c r="O52" s="108"/>
      <c r="P52" s="185">
        <f>J52*2000/1000</f>
        <v>366.66666666666669</v>
      </c>
      <c r="Q52" s="102">
        <f>P52*E52/100</f>
        <v>36.666666666666671</v>
      </c>
      <c r="R52" s="91" t="str">
        <f t="shared" si="1"/>
        <v>1200001169PSV-76000 SB HC MY VN</v>
      </c>
      <c r="S52" s="91">
        <f>IFERROR(VLOOKUP(R52,quotation!E:J,6,0),0)</f>
        <v>543000</v>
      </c>
    </row>
    <row r="53" spans="1:19" ht="19.5" customHeight="1">
      <c r="A53" s="186"/>
      <c r="B53" s="107" t="str">
        <f>CS!X68</f>
        <v>PSV-76000 SB HC MY VN</v>
      </c>
      <c r="C53" s="203">
        <f t="shared" si="0"/>
        <v>543000</v>
      </c>
      <c r="D53" s="204"/>
      <c r="E53" s="143">
        <f>CS!Y68</f>
        <v>10</v>
      </c>
      <c r="F53" s="187"/>
      <c r="G53" s="189"/>
      <c r="H53" s="181"/>
      <c r="I53" s="182"/>
      <c r="J53" s="183"/>
      <c r="K53" s="183"/>
      <c r="L53" s="184"/>
      <c r="M53" s="104"/>
      <c r="N53" s="104"/>
      <c r="O53" s="108"/>
      <c r="P53" s="185"/>
      <c r="Q53" s="102">
        <f>P52*E53/100</f>
        <v>36.666666666666671</v>
      </c>
      <c r="R53" s="91" t="str">
        <f t="shared" si="1"/>
        <v>1200001169PSV-76000 SB HC MY VN</v>
      </c>
      <c r="S53" s="91">
        <f>IFERROR(VLOOKUP(R53,quotation!E:J,6,0),0)</f>
        <v>543000</v>
      </c>
    </row>
    <row r="54" spans="1:19" ht="23.25" customHeight="1">
      <c r="A54" s="186"/>
      <c r="B54" s="107" t="str">
        <f>CS!X69</f>
        <v>PSV-76000 SB HC MY VN</v>
      </c>
      <c r="C54" s="203">
        <f t="shared" si="0"/>
        <v>543000</v>
      </c>
      <c r="D54" s="204"/>
      <c r="E54" s="143">
        <f>CS!Y69</f>
        <v>60</v>
      </c>
      <c r="F54" s="187"/>
      <c r="G54" s="189"/>
      <c r="H54" s="181"/>
      <c r="I54" s="182"/>
      <c r="J54" s="183"/>
      <c r="K54" s="183"/>
      <c r="L54" s="184"/>
      <c r="M54" s="104"/>
      <c r="N54" s="104"/>
      <c r="O54" s="103"/>
      <c r="P54" s="185"/>
      <c r="Q54" s="102">
        <f>P52*E54/100</f>
        <v>220</v>
      </c>
      <c r="R54" s="91" t="str">
        <f t="shared" si="1"/>
        <v>1200001169PSV-76000 SB HC MY VN</v>
      </c>
      <c r="S54" s="91">
        <f>IFERROR(VLOOKUP(R54,quotation!E:J,6,0),0)</f>
        <v>543000</v>
      </c>
    </row>
    <row r="55" spans="1:19" ht="23.25" customHeight="1">
      <c r="A55" s="186"/>
      <c r="B55" s="107" t="str">
        <f>CS!X70</f>
        <v>THPU-71306 01 KD VN</v>
      </c>
      <c r="C55" s="203">
        <f t="shared" si="0"/>
        <v>52000</v>
      </c>
      <c r="D55" s="204"/>
      <c r="E55" s="143">
        <f>CS!Y70</f>
        <v>20</v>
      </c>
      <c r="F55" s="187"/>
      <c r="G55" s="189"/>
      <c r="H55" s="181"/>
      <c r="I55" s="182"/>
      <c r="J55" s="183"/>
      <c r="K55" s="183"/>
      <c r="L55" s="184"/>
      <c r="M55" s="104"/>
      <c r="N55" s="104"/>
      <c r="O55" s="103"/>
      <c r="P55" s="185"/>
      <c r="Q55" s="102">
        <f>P52*E55/100</f>
        <v>73.333333333333343</v>
      </c>
      <c r="R55" s="91" t="str">
        <f t="shared" si="1"/>
        <v>1200001169THPU-71306 01 KD VN</v>
      </c>
      <c r="S55" s="91">
        <f>IFERROR(VLOOKUP(R55,quotation!E:J,6,0),0)</f>
        <v>52000</v>
      </c>
    </row>
    <row r="56" spans="1:19" ht="23.25" customHeight="1">
      <c r="A56" s="186"/>
      <c r="B56" s="107" t="str">
        <f>CS!X71</f>
        <v>THPU-71306 01 KD VN</v>
      </c>
      <c r="C56" s="203">
        <f t="shared" si="0"/>
        <v>52000</v>
      </c>
      <c r="D56" s="204"/>
      <c r="E56" s="143">
        <f>CS!Y71</f>
        <v>20</v>
      </c>
      <c r="F56" s="187"/>
      <c r="G56" s="190"/>
      <c r="H56" s="181"/>
      <c r="I56" s="182"/>
      <c r="J56" s="183"/>
      <c r="K56" s="183"/>
      <c r="L56" s="184"/>
      <c r="M56" s="104"/>
      <c r="N56" s="104"/>
      <c r="O56" s="103"/>
      <c r="P56" s="185"/>
      <c r="Q56" s="102">
        <f>P52*E56/100</f>
        <v>73.333333333333343</v>
      </c>
      <c r="R56" s="91" t="str">
        <f t="shared" si="1"/>
        <v>1200001169THPU-71306 01 KD VN</v>
      </c>
      <c r="S56" s="91">
        <f>IFERROR(VLOOKUP(R56,quotation!E:J,6,0),0)</f>
        <v>52000</v>
      </c>
    </row>
    <row r="57" spans="1:19" ht="17.25" customHeight="1">
      <c r="A57" s="186" t="s">
        <v>63</v>
      </c>
      <c r="B57" s="186"/>
      <c r="C57" s="186"/>
      <c r="D57" s="186"/>
      <c r="E57" s="186"/>
      <c r="F57" s="186"/>
      <c r="G57" s="186"/>
      <c r="H57" s="186"/>
      <c r="I57" s="186"/>
      <c r="J57" s="186"/>
      <c r="K57" s="186"/>
      <c r="L57" s="101">
        <f>SUM(L7:L56)</f>
        <v>894142.85714285728</v>
      </c>
      <c r="M57" s="100"/>
      <c r="N57" s="100"/>
      <c r="O57" s="99"/>
    </row>
    <row r="58" spans="1:19">
      <c r="A58" s="98" t="s">
        <v>3925</v>
      </c>
      <c r="B58" s="94"/>
      <c r="C58" s="94"/>
      <c r="D58" s="94"/>
      <c r="E58" s="144"/>
      <c r="F58" s="94"/>
      <c r="G58" s="94"/>
      <c r="H58" s="94"/>
      <c r="I58" s="94"/>
      <c r="J58" s="140"/>
      <c r="K58" s="140"/>
      <c r="L58" s="94"/>
      <c r="M58" s="94"/>
      <c r="N58" s="94"/>
    </row>
    <row r="59" spans="1:19">
      <c r="A59" s="94"/>
      <c r="B59" s="94"/>
      <c r="C59" s="94"/>
      <c r="D59" s="94"/>
      <c r="E59" s="144"/>
      <c r="F59" s="94"/>
      <c r="G59" s="94"/>
      <c r="H59" s="94"/>
      <c r="I59" s="94"/>
      <c r="J59" s="140"/>
      <c r="K59" s="140"/>
      <c r="L59" s="94"/>
      <c r="M59" s="94"/>
      <c r="N59" s="94"/>
    </row>
    <row r="60" spans="1:19">
      <c r="A60" s="96" t="s">
        <v>62</v>
      </c>
      <c r="B60" s="97" t="s">
        <v>61</v>
      </c>
      <c r="C60" s="97"/>
      <c r="D60" s="97"/>
      <c r="E60" s="142"/>
      <c r="F60" s="97"/>
      <c r="G60" s="97"/>
      <c r="H60" s="97"/>
      <c r="I60" s="94"/>
      <c r="J60" s="140"/>
      <c r="K60" s="140"/>
      <c r="L60" s="94"/>
      <c r="M60" s="94"/>
      <c r="N60" s="94"/>
    </row>
    <row r="61" spans="1:19">
      <c r="A61" s="96"/>
      <c r="B61" s="97"/>
      <c r="C61" s="97"/>
      <c r="D61" s="97"/>
      <c r="E61" s="142"/>
      <c r="F61" s="97"/>
      <c r="G61" s="97"/>
      <c r="H61" s="97"/>
      <c r="I61" s="94"/>
      <c r="J61" s="140"/>
      <c r="K61" s="140"/>
      <c r="L61" s="94"/>
      <c r="M61" s="94"/>
      <c r="N61" s="94"/>
    </row>
    <row r="62" spans="1:19">
      <c r="A62" s="96"/>
      <c r="B62" s="94"/>
      <c r="C62" s="94"/>
      <c r="D62" s="94"/>
      <c r="E62" s="144"/>
      <c r="F62" s="94"/>
      <c r="G62" s="94"/>
      <c r="H62" s="94"/>
      <c r="I62" s="94"/>
      <c r="J62" s="140"/>
      <c r="K62" s="140"/>
      <c r="L62" s="94"/>
      <c r="M62" s="94"/>
      <c r="N62" s="94"/>
    </row>
    <row r="63" spans="1:19">
      <c r="A63" s="95"/>
      <c r="B63" s="94"/>
      <c r="C63" s="94"/>
      <c r="D63" s="94"/>
      <c r="E63" s="144"/>
      <c r="F63" s="94"/>
      <c r="G63" s="94"/>
      <c r="H63" s="94"/>
      <c r="I63" s="94"/>
      <c r="J63" s="140"/>
      <c r="K63" s="140"/>
      <c r="L63" s="94"/>
      <c r="M63" s="94"/>
      <c r="N63" s="94"/>
    </row>
    <row r="64" spans="1:19">
      <c r="A64" s="95"/>
      <c r="B64" s="94"/>
      <c r="C64" s="94"/>
      <c r="D64" s="94"/>
      <c r="E64" s="144"/>
      <c r="F64" s="94"/>
      <c r="G64" s="94"/>
      <c r="H64" s="94"/>
      <c r="I64" s="94"/>
      <c r="J64" s="140"/>
      <c r="K64" s="140"/>
      <c r="L64" s="94"/>
      <c r="M64" s="94"/>
      <c r="N64" s="94"/>
    </row>
    <row r="65" spans="1:14">
      <c r="A65" s="95"/>
      <c r="B65" s="94"/>
      <c r="C65" s="94"/>
      <c r="D65" s="94"/>
      <c r="E65" s="144"/>
      <c r="F65" s="94"/>
      <c r="G65" s="94"/>
      <c r="H65" s="94"/>
      <c r="I65" s="94"/>
      <c r="J65" s="140"/>
      <c r="K65" s="140"/>
      <c r="L65" s="94"/>
      <c r="M65" s="94"/>
      <c r="N65" s="94"/>
    </row>
  </sheetData>
  <autoFilter ref="A6:AMM58"/>
  <mergeCells count="149">
    <mergeCell ref="C56:D56"/>
    <mergeCell ref="C51:D51"/>
    <mergeCell ref="C52:D52"/>
    <mergeCell ref="C53:D53"/>
    <mergeCell ref="C54:D54"/>
    <mergeCell ref="C55:D55"/>
    <mergeCell ref="C46:D46"/>
    <mergeCell ref="C47:D47"/>
    <mergeCell ref="C48:D48"/>
    <mergeCell ref="C49:D49"/>
    <mergeCell ref="C50:D50"/>
    <mergeCell ref="C32:D32"/>
    <mergeCell ref="C33:D33"/>
    <mergeCell ref="C34:D34"/>
    <mergeCell ref="C35:D35"/>
    <mergeCell ref="C36:D36"/>
    <mergeCell ref="C18:D18"/>
    <mergeCell ref="C19:D19"/>
    <mergeCell ref="C20:D20"/>
    <mergeCell ref="C21:D21"/>
    <mergeCell ref="C22:D22"/>
    <mergeCell ref="C13:D13"/>
    <mergeCell ref="C14:D14"/>
    <mergeCell ref="C15:D15"/>
    <mergeCell ref="C16:D16"/>
    <mergeCell ref="C17:D17"/>
    <mergeCell ref="L52:L56"/>
    <mergeCell ref="P52:P56"/>
    <mergeCell ref="G52:G56"/>
    <mergeCell ref="H52:H56"/>
    <mergeCell ref="I52:I56"/>
    <mergeCell ref="J52:J56"/>
    <mergeCell ref="L42:L46"/>
    <mergeCell ref="P42:P46"/>
    <mergeCell ref="A37:A41"/>
    <mergeCell ref="F37:F41"/>
    <mergeCell ref="G37:G41"/>
    <mergeCell ref="J42:J46"/>
    <mergeCell ref="P37:P41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F22:F26"/>
    <mergeCell ref="G22:G26"/>
    <mergeCell ref="A52:A56"/>
    <mergeCell ref="F52:F56"/>
    <mergeCell ref="A57:K57"/>
    <mergeCell ref="K42:K46"/>
    <mergeCell ref="K52:K56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P7:P11"/>
    <mergeCell ref="A12:A16"/>
    <mergeCell ref="F12:F16"/>
    <mergeCell ref="H12:H16"/>
    <mergeCell ref="I12:I16"/>
    <mergeCell ref="J12:J16"/>
    <mergeCell ref="K12:K16"/>
    <mergeCell ref="L12:L16"/>
    <mergeCell ref="P12:P16"/>
    <mergeCell ref="G12:G16"/>
    <mergeCell ref="C7:D7"/>
    <mergeCell ref="C8:D8"/>
    <mergeCell ref="C9:D9"/>
    <mergeCell ref="C10:D10"/>
    <mergeCell ref="C11:D11"/>
    <mergeCell ref="C12:D12"/>
    <mergeCell ref="D5:L5"/>
    <mergeCell ref="A7:A11"/>
    <mergeCell ref="F7:F11"/>
    <mergeCell ref="H7:H11"/>
    <mergeCell ref="I7:I11"/>
    <mergeCell ref="J7:J11"/>
    <mergeCell ref="K7:K11"/>
    <mergeCell ref="L7:L11"/>
    <mergeCell ref="G7:G11"/>
    <mergeCell ref="C6:D6"/>
    <mergeCell ref="A1:L1"/>
    <mergeCell ref="B2:L2"/>
    <mergeCell ref="B3:L3"/>
    <mergeCell ref="D4:H4"/>
    <mergeCell ref="I4:J4"/>
    <mergeCell ref="K4:L4"/>
    <mergeCell ref="P22:P26"/>
    <mergeCell ref="A17:A21"/>
    <mergeCell ref="F17:F21"/>
    <mergeCell ref="G17:G21"/>
    <mergeCell ref="H17:H21"/>
    <mergeCell ref="I17:I21"/>
    <mergeCell ref="J17:J21"/>
    <mergeCell ref="K17:K21"/>
    <mergeCell ref="L17:L21"/>
    <mergeCell ref="P17:P21"/>
    <mergeCell ref="H22:H26"/>
    <mergeCell ref="I22:I26"/>
    <mergeCell ref="J22:J26"/>
    <mergeCell ref="K22:K26"/>
    <mergeCell ref="L22:L26"/>
    <mergeCell ref="A22:A26"/>
    <mergeCell ref="J27:J31"/>
    <mergeCell ref="K27:K31"/>
    <mergeCell ref="L27:L31"/>
    <mergeCell ref="P27:P31"/>
    <mergeCell ref="A32:A36"/>
    <mergeCell ref="F32:F36"/>
    <mergeCell ref="G32:G36"/>
    <mergeCell ref="A27:A31"/>
    <mergeCell ref="F27:F31"/>
    <mergeCell ref="G27:G31"/>
    <mergeCell ref="H27:H31"/>
    <mergeCell ref="I27:I31"/>
    <mergeCell ref="H32:H36"/>
    <mergeCell ref="I32:I36"/>
    <mergeCell ref="J32:J36"/>
    <mergeCell ref="K32:K36"/>
    <mergeCell ref="L32:L36"/>
    <mergeCell ref="P32:P36"/>
    <mergeCell ref="A47:A51"/>
    <mergeCell ref="F47:F51"/>
    <mergeCell ref="G47:G51"/>
    <mergeCell ref="H47:H51"/>
    <mergeCell ref="I47:I51"/>
    <mergeCell ref="J47:J51"/>
    <mergeCell ref="K47:K51"/>
    <mergeCell ref="L47:L51"/>
    <mergeCell ref="P47:P51"/>
    <mergeCell ref="A42:A46"/>
    <mergeCell ref="F42:F46"/>
    <mergeCell ref="G42:G46"/>
    <mergeCell ref="H42:H46"/>
    <mergeCell ref="I42:I46"/>
    <mergeCell ref="H37:H41"/>
    <mergeCell ref="I37:I41"/>
    <mergeCell ref="J37:J41"/>
    <mergeCell ref="K37:K41"/>
    <mergeCell ref="L37:L41"/>
  </mergeCells>
  <conditionalFormatting sqref="B7">
    <cfRule type="duplicateValues" dxfId="18" priority="20"/>
  </conditionalFormatting>
  <conditionalFormatting sqref="B22:B26">
    <cfRule type="duplicateValues" dxfId="17" priority="17"/>
  </conditionalFormatting>
  <conditionalFormatting sqref="B17:B21">
    <cfRule type="duplicateValues" dxfId="16" priority="16"/>
  </conditionalFormatting>
  <conditionalFormatting sqref="B52:B56">
    <cfRule type="duplicateValues" dxfId="15" priority="23"/>
  </conditionalFormatting>
  <conditionalFormatting sqref="B27:B31">
    <cfRule type="duplicateValues" dxfId="14" priority="14"/>
  </conditionalFormatting>
  <conditionalFormatting sqref="B12:B16">
    <cfRule type="duplicateValues" dxfId="13" priority="24"/>
  </conditionalFormatting>
  <conditionalFormatting sqref="B32:B36">
    <cfRule type="duplicateValues" dxfId="12" priority="13"/>
  </conditionalFormatting>
  <conditionalFormatting sqref="B47:B51">
    <cfRule type="duplicateValues" dxfId="11" priority="12"/>
  </conditionalFormatting>
  <conditionalFormatting sqref="B42:B46">
    <cfRule type="duplicateValues" dxfId="10" priority="11"/>
  </conditionalFormatting>
  <conditionalFormatting sqref="B37:B41">
    <cfRule type="duplicateValues" dxfId="9" priority="10"/>
  </conditionalFormatting>
  <conditionalFormatting sqref="B8:B11">
    <cfRule type="duplicateValues" dxfId="8" priority="9"/>
  </conditionalFormatting>
  <conditionalFormatting sqref="E22:E26">
    <cfRule type="duplicateValues" dxfId="7" priority="7"/>
  </conditionalFormatting>
  <conditionalFormatting sqref="E17:E21">
    <cfRule type="duplicateValues" dxfId="6" priority="6"/>
  </conditionalFormatting>
  <conditionalFormatting sqref="E52:E56">
    <cfRule type="duplicateValues" dxfId="5" priority="8"/>
  </conditionalFormatting>
  <conditionalFormatting sqref="E27:E31">
    <cfRule type="duplicateValues" dxfId="4" priority="5"/>
  </conditionalFormatting>
  <conditionalFormatting sqref="E32:E36">
    <cfRule type="duplicateValues" dxfId="3" priority="4"/>
  </conditionalFormatting>
  <conditionalFormatting sqref="E47:E51">
    <cfRule type="duplicateValues" dxfId="2" priority="3"/>
  </conditionalFormatting>
  <conditionalFormatting sqref="E42:E46">
    <cfRule type="duplicateValues" dxfId="1" priority="2"/>
  </conditionalFormatting>
  <conditionalFormatting sqref="E37:E41">
    <cfRule type="duplicateValues" dxfId="0" priority="1"/>
  </conditionalFormatting>
  <pageMargins left="0.23125000000000001" right="0.23194444444444401" top="0.55902777777777801" bottom="0.51111111111111096" header="0.29375000000000001" footer="0.24583333333333299"/>
  <pageSetup orientation="portrait" useFirstPageNumber="1" r:id="rId1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workbookViewId="0">
      <selection activeCell="A7" sqref="A7"/>
    </sheetView>
  </sheetViews>
  <sheetFormatPr defaultRowHeight="12.5"/>
  <cols>
    <col min="1" max="1" width="35.1796875" bestFit="1" customWidth="1"/>
  </cols>
  <sheetData>
    <row r="1" spans="1:1">
      <c r="A1" t="s">
        <v>29</v>
      </c>
    </row>
    <row r="2" spans="1:1">
      <c r="A2" t="s">
        <v>55</v>
      </c>
    </row>
    <row r="3" spans="1:1">
      <c r="A3" t="s">
        <v>56</v>
      </c>
    </row>
    <row r="4" spans="1:1">
      <c r="A4" t="s">
        <v>57</v>
      </c>
    </row>
    <row r="5" spans="1:1">
      <c r="A5" t="s">
        <v>29</v>
      </c>
    </row>
    <row r="6" spans="1:1">
      <c r="A6" t="s">
        <v>58</v>
      </c>
    </row>
    <row r="7" spans="1:1">
      <c r="A7" t="s">
        <v>59</v>
      </c>
    </row>
    <row r="8" spans="1:1">
      <c r="A8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A9" sqref="A9"/>
    </sheetView>
  </sheetViews>
  <sheetFormatPr defaultRowHeight="12.5"/>
  <cols>
    <col min="2" max="2" width="8.26953125" bestFit="1" customWidth="1"/>
  </cols>
  <sheetData>
    <row r="1" spans="1:2" ht="52">
      <c r="A1" s="124" t="s">
        <v>3916</v>
      </c>
      <c r="B1" s="106" t="s">
        <v>69</v>
      </c>
    </row>
    <row r="2" spans="1:2">
      <c r="A2" s="125" t="s">
        <v>32</v>
      </c>
      <c r="B2" s="134">
        <v>0.35</v>
      </c>
    </row>
    <row r="3" spans="1:2">
      <c r="A3" s="126" t="s">
        <v>36</v>
      </c>
      <c r="B3" s="134">
        <v>0.6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542"/>
  <sheetViews>
    <sheetView workbookViewId="0">
      <selection activeCell="A519" sqref="A519"/>
    </sheetView>
  </sheetViews>
  <sheetFormatPr defaultRowHeight="12.5"/>
  <cols>
    <col min="1" max="1" width="10.26953125" bestFit="1" customWidth="1"/>
    <col min="2" max="2" width="12" style="115" bestFit="1" customWidth="1"/>
    <col min="3" max="3" width="102" style="115" bestFit="1" customWidth="1"/>
  </cols>
  <sheetData>
    <row r="1" spans="1:3">
      <c r="A1" t="s">
        <v>1162</v>
      </c>
      <c r="B1" s="118" t="s">
        <v>87</v>
      </c>
      <c r="C1" s="118" t="s">
        <v>88</v>
      </c>
    </row>
    <row r="2" spans="1:3" hidden="1">
      <c r="A2">
        <v>1</v>
      </c>
      <c r="B2" s="115" t="s">
        <v>89</v>
      </c>
      <c r="C2" s="115" t="s">
        <v>90</v>
      </c>
    </row>
    <row r="3" spans="1:3" hidden="1">
      <c r="A3">
        <v>2</v>
      </c>
      <c r="B3" s="115" t="s">
        <v>91</v>
      </c>
      <c r="C3" s="115" t="s">
        <v>92</v>
      </c>
    </row>
    <row r="4" spans="1:3" hidden="1">
      <c r="A4">
        <v>3</v>
      </c>
      <c r="B4" s="115" t="s">
        <v>93</v>
      </c>
      <c r="C4" s="115" t="s">
        <v>94</v>
      </c>
    </row>
    <row r="5" spans="1:3" hidden="1">
      <c r="A5">
        <v>4</v>
      </c>
      <c r="B5" s="115" t="s">
        <v>95</v>
      </c>
      <c r="C5" s="115" t="s">
        <v>96</v>
      </c>
    </row>
    <row r="6" spans="1:3" hidden="1">
      <c r="A6">
        <v>5</v>
      </c>
      <c r="B6" s="115" t="s">
        <v>97</v>
      </c>
      <c r="C6" s="115" t="s">
        <v>98</v>
      </c>
    </row>
    <row r="7" spans="1:3" hidden="1">
      <c r="A7">
        <v>6</v>
      </c>
      <c r="B7" s="115" t="s">
        <v>99</v>
      </c>
      <c r="C7" s="115" t="s">
        <v>100</v>
      </c>
    </row>
    <row r="8" spans="1:3" hidden="1">
      <c r="A8">
        <v>7</v>
      </c>
      <c r="B8" s="115" t="s">
        <v>101</v>
      </c>
      <c r="C8" s="115" t="s">
        <v>102</v>
      </c>
    </row>
    <row r="9" spans="1:3" hidden="1">
      <c r="A9">
        <v>8</v>
      </c>
      <c r="B9" s="115" t="s">
        <v>103</v>
      </c>
      <c r="C9" s="115" t="s">
        <v>104</v>
      </c>
    </row>
    <row r="10" spans="1:3" hidden="1">
      <c r="A10">
        <v>9</v>
      </c>
      <c r="B10" s="115" t="s">
        <v>105</v>
      </c>
      <c r="C10" s="115" t="s">
        <v>106</v>
      </c>
    </row>
    <row r="11" spans="1:3" hidden="1">
      <c r="A11">
        <v>10</v>
      </c>
      <c r="B11" s="115" t="s">
        <v>107</v>
      </c>
      <c r="C11" s="115" t="s">
        <v>108</v>
      </c>
    </row>
    <row r="12" spans="1:3" hidden="1">
      <c r="A12">
        <v>11</v>
      </c>
      <c r="B12" s="115" t="s">
        <v>109</v>
      </c>
      <c r="C12" s="115" t="s">
        <v>110</v>
      </c>
    </row>
    <row r="13" spans="1:3" hidden="1">
      <c r="A13">
        <v>12</v>
      </c>
      <c r="B13" s="115" t="s">
        <v>111</v>
      </c>
      <c r="C13" s="115" t="s">
        <v>112</v>
      </c>
    </row>
    <row r="14" spans="1:3" hidden="1">
      <c r="A14">
        <v>13</v>
      </c>
      <c r="B14" s="115" t="s">
        <v>113</v>
      </c>
      <c r="C14" s="115" t="s">
        <v>114</v>
      </c>
    </row>
    <row r="15" spans="1:3" hidden="1">
      <c r="A15">
        <v>14</v>
      </c>
      <c r="B15" s="115" t="s">
        <v>115</v>
      </c>
      <c r="C15" s="115" t="s">
        <v>116</v>
      </c>
    </row>
    <row r="16" spans="1:3" hidden="1">
      <c r="A16">
        <v>15</v>
      </c>
      <c r="B16" s="115" t="s">
        <v>117</v>
      </c>
      <c r="C16" s="115" t="s">
        <v>118</v>
      </c>
    </row>
    <row r="17" spans="1:3" hidden="1">
      <c r="A17">
        <v>16</v>
      </c>
      <c r="B17" s="115" t="s">
        <v>119</v>
      </c>
      <c r="C17" s="115" t="s">
        <v>120</v>
      </c>
    </row>
    <row r="18" spans="1:3" hidden="1">
      <c r="A18">
        <v>17</v>
      </c>
      <c r="B18" s="115" t="s">
        <v>121</v>
      </c>
      <c r="C18" s="115" t="s">
        <v>122</v>
      </c>
    </row>
    <row r="19" spans="1:3" hidden="1">
      <c r="A19">
        <v>18</v>
      </c>
      <c r="B19" s="115" t="s">
        <v>123</v>
      </c>
      <c r="C19" s="115" t="s">
        <v>124</v>
      </c>
    </row>
    <row r="20" spans="1:3" hidden="1">
      <c r="A20">
        <v>19</v>
      </c>
      <c r="B20" s="115" t="s">
        <v>125</v>
      </c>
      <c r="C20" s="115" t="s">
        <v>126</v>
      </c>
    </row>
    <row r="21" spans="1:3" hidden="1">
      <c r="A21">
        <v>20</v>
      </c>
      <c r="B21" s="115" t="s">
        <v>127</v>
      </c>
      <c r="C21" s="115" t="s">
        <v>128</v>
      </c>
    </row>
    <row r="22" spans="1:3" hidden="1">
      <c r="A22">
        <v>21</v>
      </c>
      <c r="B22" s="115" t="s">
        <v>129</v>
      </c>
      <c r="C22" s="115" t="s">
        <v>130</v>
      </c>
    </row>
    <row r="23" spans="1:3" hidden="1">
      <c r="A23">
        <v>22</v>
      </c>
      <c r="B23" s="115" t="s">
        <v>131</v>
      </c>
      <c r="C23" s="115" t="s">
        <v>132</v>
      </c>
    </row>
    <row r="24" spans="1:3" hidden="1">
      <c r="A24">
        <v>23</v>
      </c>
      <c r="B24" s="115" t="s">
        <v>133</v>
      </c>
      <c r="C24" s="115" t="s">
        <v>134</v>
      </c>
    </row>
    <row r="25" spans="1:3" hidden="1">
      <c r="A25">
        <v>24</v>
      </c>
      <c r="B25" s="115" t="s">
        <v>135</v>
      </c>
      <c r="C25" s="115" t="s">
        <v>136</v>
      </c>
    </row>
    <row r="26" spans="1:3" hidden="1">
      <c r="A26">
        <v>25</v>
      </c>
      <c r="B26" s="115" t="s">
        <v>137</v>
      </c>
      <c r="C26" s="115" t="s">
        <v>138</v>
      </c>
    </row>
    <row r="27" spans="1:3" hidden="1">
      <c r="A27">
        <v>26</v>
      </c>
      <c r="B27" s="115" t="s">
        <v>139</v>
      </c>
      <c r="C27" s="115" t="s">
        <v>140</v>
      </c>
    </row>
    <row r="28" spans="1:3" hidden="1">
      <c r="A28">
        <v>27</v>
      </c>
      <c r="B28" s="115" t="s">
        <v>141</v>
      </c>
      <c r="C28" s="115" t="s">
        <v>142</v>
      </c>
    </row>
    <row r="29" spans="1:3" hidden="1">
      <c r="A29">
        <v>28</v>
      </c>
      <c r="B29" s="115" t="s">
        <v>143</v>
      </c>
      <c r="C29" s="115" t="s">
        <v>144</v>
      </c>
    </row>
    <row r="30" spans="1:3" hidden="1">
      <c r="A30">
        <v>29</v>
      </c>
      <c r="B30" s="115" t="s">
        <v>145</v>
      </c>
      <c r="C30" s="115" t="s">
        <v>146</v>
      </c>
    </row>
    <row r="31" spans="1:3" hidden="1">
      <c r="A31">
        <v>30</v>
      </c>
      <c r="B31" s="115" t="s">
        <v>147</v>
      </c>
      <c r="C31" s="115" t="s">
        <v>148</v>
      </c>
    </row>
    <row r="32" spans="1:3" hidden="1">
      <c r="A32">
        <v>31</v>
      </c>
      <c r="B32" s="115" t="s">
        <v>149</v>
      </c>
      <c r="C32" s="115" t="s">
        <v>150</v>
      </c>
    </row>
    <row r="33" spans="1:3" hidden="1">
      <c r="A33">
        <v>32</v>
      </c>
      <c r="B33" s="115" t="s">
        <v>151</v>
      </c>
      <c r="C33" s="115" t="s">
        <v>152</v>
      </c>
    </row>
    <row r="34" spans="1:3" hidden="1">
      <c r="A34">
        <v>33</v>
      </c>
      <c r="B34" s="115" t="s">
        <v>153</v>
      </c>
      <c r="C34" s="115" t="s">
        <v>154</v>
      </c>
    </row>
    <row r="35" spans="1:3" hidden="1">
      <c r="A35">
        <v>34</v>
      </c>
      <c r="B35" s="115" t="s">
        <v>155</v>
      </c>
      <c r="C35" s="115" t="s">
        <v>156</v>
      </c>
    </row>
    <row r="36" spans="1:3" hidden="1">
      <c r="A36">
        <v>35</v>
      </c>
      <c r="B36" s="115" t="s">
        <v>157</v>
      </c>
      <c r="C36" s="115" t="s">
        <v>158</v>
      </c>
    </row>
    <row r="37" spans="1:3" hidden="1">
      <c r="A37">
        <v>36</v>
      </c>
      <c r="B37" s="115" t="s">
        <v>159</v>
      </c>
      <c r="C37" s="115" t="s">
        <v>160</v>
      </c>
    </row>
    <row r="38" spans="1:3" hidden="1">
      <c r="A38">
        <v>37</v>
      </c>
      <c r="B38" s="115" t="s">
        <v>161</v>
      </c>
      <c r="C38" s="115" t="s">
        <v>162</v>
      </c>
    </row>
    <row r="39" spans="1:3" hidden="1">
      <c r="A39">
        <v>38</v>
      </c>
      <c r="B39" s="115" t="s">
        <v>163</v>
      </c>
      <c r="C39" s="115" t="s">
        <v>164</v>
      </c>
    </row>
    <row r="40" spans="1:3" hidden="1">
      <c r="A40">
        <v>39</v>
      </c>
      <c r="B40" s="115" t="s">
        <v>165</v>
      </c>
      <c r="C40" s="115" t="s">
        <v>166</v>
      </c>
    </row>
    <row r="41" spans="1:3" hidden="1">
      <c r="A41">
        <v>40</v>
      </c>
      <c r="B41" s="115" t="s">
        <v>167</v>
      </c>
      <c r="C41" s="115" t="s">
        <v>168</v>
      </c>
    </row>
    <row r="42" spans="1:3" hidden="1">
      <c r="A42">
        <v>41</v>
      </c>
      <c r="B42" s="115" t="s">
        <v>169</v>
      </c>
      <c r="C42" s="115" t="s">
        <v>170</v>
      </c>
    </row>
    <row r="43" spans="1:3" hidden="1">
      <c r="A43">
        <v>42</v>
      </c>
      <c r="B43" s="115" t="s">
        <v>171</v>
      </c>
      <c r="C43" s="115" t="s">
        <v>172</v>
      </c>
    </row>
    <row r="44" spans="1:3" hidden="1">
      <c r="A44">
        <v>43</v>
      </c>
      <c r="B44" s="115" t="s">
        <v>173</v>
      </c>
      <c r="C44" s="115" t="s">
        <v>174</v>
      </c>
    </row>
    <row r="45" spans="1:3" hidden="1">
      <c r="A45">
        <v>44</v>
      </c>
      <c r="B45" s="115" t="s">
        <v>175</v>
      </c>
      <c r="C45" s="115" t="s">
        <v>176</v>
      </c>
    </row>
    <row r="46" spans="1:3" hidden="1">
      <c r="A46">
        <v>45</v>
      </c>
      <c r="B46" s="115" t="s">
        <v>177</v>
      </c>
      <c r="C46" s="115" t="s">
        <v>178</v>
      </c>
    </row>
    <row r="47" spans="1:3" hidden="1">
      <c r="A47">
        <v>46</v>
      </c>
      <c r="B47" s="115" t="s">
        <v>179</v>
      </c>
      <c r="C47" s="115" t="s">
        <v>180</v>
      </c>
    </row>
    <row r="48" spans="1:3" hidden="1">
      <c r="A48">
        <v>47</v>
      </c>
      <c r="B48" s="115" t="s">
        <v>181</v>
      </c>
      <c r="C48" s="115" t="s">
        <v>182</v>
      </c>
    </row>
    <row r="49" spans="1:3" hidden="1">
      <c r="A49">
        <v>48</v>
      </c>
      <c r="B49" s="115" t="s">
        <v>183</v>
      </c>
      <c r="C49" s="115" t="s">
        <v>184</v>
      </c>
    </row>
    <row r="50" spans="1:3" hidden="1">
      <c r="A50">
        <v>49</v>
      </c>
      <c r="B50" s="115" t="s">
        <v>185</v>
      </c>
      <c r="C50" s="115" t="s">
        <v>186</v>
      </c>
    </row>
    <row r="51" spans="1:3" hidden="1">
      <c r="A51">
        <v>50</v>
      </c>
      <c r="B51" s="115" t="s">
        <v>187</v>
      </c>
      <c r="C51" s="115" t="s">
        <v>188</v>
      </c>
    </row>
    <row r="52" spans="1:3" hidden="1">
      <c r="A52">
        <v>51</v>
      </c>
      <c r="B52" s="115" t="s">
        <v>189</v>
      </c>
      <c r="C52" s="115" t="s">
        <v>190</v>
      </c>
    </row>
    <row r="53" spans="1:3" hidden="1">
      <c r="A53">
        <v>52</v>
      </c>
      <c r="B53" s="115" t="s">
        <v>191</v>
      </c>
      <c r="C53" s="115" t="s">
        <v>192</v>
      </c>
    </row>
    <row r="54" spans="1:3" hidden="1">
      <c r="A54">
        <v>53</v>
      </c>
      <c r="B54" s="115" t="s">
        <v>193</v>
      </c>
      <c r="C54" s="115" t="s">
        <v>194</v>
      </c>
    </row>
    <row r="55" spans="1:3" hidden="1">
      <c r="A55">
        <v>54</v>
      </c>
      <c r="B55" s="115" t="s">
        <v>195</v>
      </c>
      <c r="C55" s="115" t="s">
        <v>196</v>
      </c>
    </row>
    <row r="56" spans="1:3" hidden="1">
      <c r="A56">
        <v>55</v>
      </c>
      <c r="B56" s="115" t="s">
        <v>197</v>
      </c>
      <c r="C56" s="115" t="s">
        <v>198</v>
      </c>
    </row>
    <row r="57" spans="1:3" hidden="1">
      <c r="A57">
        <v>56</v>
      </c>
      <c r="B57" s="115" t="s">
        <v>199</v>
      </c>
      <c r="C57" s="115" t="s">
        <v>200</v>
      </c>
    </row>
    <row r="58" spans="1:3" hidden="1">
      <c r="A58">
        <v>57</v>
      </c>
      <c r="B58" s="115" t="s">
        <v>201</v>
      </c>
      <c r="C58" s="115" t="s">
        <v>202</v>
      </c>
    </row>
    <row r="59" spans="1:3" hidden="1">
      <c r="A59">
        <v>58</v>
      </c>
      <c r="B59" s="115" t="s">
        <v>203</v>
      </c>
      <c r="C59" s="115" t="s">
        <v>204</v>
      </c>
    </row>
    <row r="60" spans="1:3" hidden="1">
      <c r="A60">
        <v>59</v>
      </c>
      <c r="B60" s="115" t="s">
        <v>205</v>
      </c>
      <c r="C60" s="115" t="s">
        <v>206</v>
      </c>
    </row>
    <row r="61" spans="1:3" hidden="1">
      <c r="A61">
        <v>60</v>
      </c>
      <c r="B61" s="115" t="s">
        <v>207</v>
      </c>
      <c r="C61" s="115" t="s">
        <v>208</v>
      </c>
    </row>
    <row r="62" spans="1:3" hidden="1">
      <c r="A62">
        <v>61</v>
      </c>
      <c r="B62" s="115" t="s">
        <v>209</v>
      </c>
      <c r="C62" s="115" t="s">
        <v>210</v>
      </c>
    </row>
    <row r="63" spans="1:3" hidden="1">
      <c r="A63">
        <v>62</v>
      </c>
      <c r="B63" s="115" t="s">
        <v>211</v>
      </c>
      <c r="C63" s="115" t="s">
        <v>212</v>
      </c>
    </row>
    <row r="64" spans="1:3" hidden="1">
      <c r="A64">
        <v>63</v>
      </c>
      <c r="B64" s="115" t="s">
        <v>213</v>
      </c>
      <c r="C64" s="115" t="s">
        <v>214</v>
      </c>
    </row>
    <row r="65" spans="1:3" hidden="1">
      <c r="A65">
        <v>64</v>
      </c>
      <c r="B65" s="115" t="s">
        <v>215</v>
      </c>
      <c r="C65" s="115" t="s">
        <v>216</v>
      </c>
    </row>
    <row r="66" spans="1:3" hidden="1">
      <c r="A66">
        <v>65</v>
      </c>
      <c r="B66" s="115" t="s">
        <v>217</v>
      </c>
      <c r="C66" s="115" t="s">
        <v>218</v>
      </c>
    </row>
    <row r="67" spans="1:3" hidden="1">
      <c r="A67">
        <v>66</v>
      </c>
      <c r="B67" s="115" t="s">
        <v>219</v>
      </c>
      <c r="C67" s="115" t="s">
        <v>220</v>
      </c>
    </row>
    <row r="68" spans="1:3" hidden="1">
      <c r="A68">
        <v>67</v>
      </c>
      <c r="B68" s="115" t="s">
        <v>221</v>
      </c>
      <c r="C68" s="115" t="s">
        <v>222</v>
      </c>
    </row>
    <row r="69" spans="1:3" hidden="1">
      <c r="A69">
        <v>68</v>
      </c>
      <c r="B69" s="115" t="s">
        <v>223</v>
      </c>
      <c r="C69" s="115" t="s">
        <v>224</v>
      </c>
    </row>
    <row r="70" spans="1:3" hidden="1">
      <c r="A70">
        <v>69</v>
      </c>
      <c r="B70" s="115" t="s">
        <v>225</v>
      </c>
      <c r="C70" s="115" t="s">
        <v>226</v>
      </c>
    </row>
    <row r="71" spans="1:3" hidden="1">
      <c r="A71">
        <v>70</v>
      </c>
      <c r="B71" s="115" t="s">
        <v>227</v>
      </c>
      <c r="C71" s="115" t="s">
        <v>228</v>
      </c>
    </row>
    <row r="72" spans="1:3" hidden="1">
      <c r="A72">
        <v>71</v>
      </c>
      <c r="B72" s="115" t="s">
        <v>229</v>
      </c>
      <c r="C72" s="115" t="s">
        <v>230</v>
      </c>
    </row>
    <row r="73" spans="1:3" hidden="1">
      <c r="A73">
        <v>72</v>
      </c>
      <c r="B73" s="115" t="s">
        <v>231</v>
      </c>
      <c r="C73" s="115" t="s">
        <v>232</v>
      </c>
    </row>
    <row r="74" spans="1:3" hidden="1">
      <c r="A74">
        <v>73</v>
      </c>
      <c r="B74" s="115" t="s">
        <v>233</v>
      </c>
      <c r="C74" s="115" t="s">
        <v>234</v>
      </c>
    </row>
    <row r="75" spans="1:3" hidden="1">
      <c r="A75">
        <v>74</v>
      </c>
      <c r="B75" s="115" t="s">
        <v>235</v>
      </c>
      <c r="C75" s="115" t="s">
        <v>236</v>
      </c>
    </row>
    <row r="76" spans="1:3" hidden="1">
      <c r="A76">
        <v>75</v>
      </c>
      <c r="B76" s="115" t="s">
        <v>237</v>
      </c>
      <c r="C76" s="115" t="s">
        <v>238</v>
      </c>
    </row>
    <row r="77" spans="1:3" hidden="1">
      <c r="A77">
        <v>76</v>
      </c>
      <c r="B77" s="115" t="s">
        <v>239</v>
      </c>
      <c r="C77" s="115" t="s">
        <v>240</v>
      </c>
    </row>
    <row r="78" spans="1:3" hidden="1">
      <c r="A78">
        <v>77</v>
      </c>
      <c r="B78" s="115" t="s">
        <v>241</v>
      </c>
      <c r="C78" s="115" t="s">
        <v>242</v>
      </c>
    </row>
    <row r="79" spans="1:3" hidden="1">
      <c r="A79">
        <v>78</v>
      </c>
      <c r="B79" s="115" t="s">
        <v>243</v>
      </c>
      <c r="C79" s="115" t="s">
        <v>244</v>
      </c>
    </row>
    <row r="80" spans="1:3" hidden="1">
      <c r="A80">
        <v>79</v>
      </c>
      <c r="B80" s="115" t="s">
        <v>245</v>
      </c>
      <c r="C80" s="115" t="s">
        <v>246</v>
      </c>
    </row>
    <row r="81" spans="1:3" hidden="1">
      <c r="A81">
        <v>80</v>
      </c>
      <c r="B81" s="115" t="s">
        <v>247</v>
      </c>
      <c r="C81" s="115" t="s">
        <v>248</v>
      </c>
    </row>
    <row r="82" spans="1:3" hidden="1">
      <c r="A82">
        <v>81</v>
      </c>
      <c r="B82" s="115" t="s">
        <v>249</v>
      </c>
      <c r="C82" s="115" t="s">
        <v>250</v>
      </c>
    </row>
    <row r="83" spans="1:3" hidden="1">
      <c r="A83">
        <v>82</v>
      </c>
      <c r="B83" s="115" t="s">
        <v>251</v>
      </c>
      <c r="C83" s="115" t="s">
        <v>252</v>
      </c>
    </row>
    <row r="84" spans="1:3" hidden="1">
      <c r="A84">
        <v>83</v>
      </c>
      <c r="B84" s="115" t="s">
        <v>253</v>
      </c>
      <c r="C84" s="115" t="s">
        <v>254</v>
      </c>
    </row>
    <row r="85" spans="1:3" hidden="1">
      <c r="A85">
        <v>84</v>
      </c>
      <c r="B85" s="115" t="s">
        <v>255</v>
      </c>
      <c r="C85" s="115" t="s">
        <v>256</v>
      </c>
    </row>
    <row r="86" spans="1:3" hidden="1">
      <c r="A86">
        <v>85</v>
      </c>
      <c r="B86" s="115" t="s">
        <v>257</v>
      </c>
      <c r="C86" s="115" t="s">
        <v>258</v>
      </c>
    </row>
    <row r="87" spans="1:3" hidden="1">
      <c r="A87">
        <v>86</v>
      </c>
      <c r="B87" s="115" t="s">
        <v>259</v>
      </c>
      <c r="C87" s="115" t="s">
        <v>260</v>
      </c>
    </row>
    <row r="88" spans="1:3" hidden="1">
      <c r="A88">
        <v>87</v>
      </c>
      <c r="B88" s="115" t="s">
        <v>261</v>
      </c>
      <c r="C88" s="115" t="s">
        <v>262</v>
      </c>
    </row>
    <row r="89" spans="1:3" hidden="1">
      <c r="A89">
        <v>88</v>
      </c>
      <c r="B89" s="115" t="s">
        <v>263</v>
      </c>
      <c r="C89" s="115" t="s">
        <v>264</v>
      </c>
    </row>
    <row r="90" spans="1:3" hidden="1">
      <c r="A90">
        <v>89</v>
      </c>
      <c r="B90" s="115" t="s">
        <v>265</v>
      </c>
      <c r="C90" s="115" t="s">
        <v>266</v>
      </c>
    </row>
    <row r="91" spans="1:3" hidden="1">
      <c r="A91">
        <v>90</v>
      </c>
      <c r="B91" s="115" t="s">
        <v>267</v>
      </c>
      <c r="C91" s="115" t="s">
        <v>268</v>
      </c>
    </row>
    <row r="92" spans="1:3" hidden="1">
      <c r="A92">
        <v>91</v>
      </c>
      <c r="B92" s="115" t="s">
        <v>269</v>
      </c>
      <c r="C92" s="115" t="s">
        <v>270</v>
      </c>
    </row>
    <row r="93" spans="1:3" hidden="1">
      <c r="A93">
        <v>92</v>
      </c>
      <c r="B93" s="115" t="s">
        <v>271</v>
      </c>
      <c r="C93" s="115" t="s">
        <v>272</v>
      </c>
    </row>
    <row r="94" spans="1:3" hidden="1">
      <c r="A94">
        <v>93</v>
      </c>
      <c r="B94" s="115" t="s">
        <v>273</v>
      </c>
      <c r="C94" s="115" t="s">
        <v>274</v>
      </c>
    </row>
    <row r="95" spans="1:3" hidden="1">
      <c r="A95">
        <v>95</v>
      </c>
      <c r="B95" s="115" t="s">
        <v>275</v>
      </c>
      <c r="C95" s="115" t="s">
        <v>276</v>
      </c>
    </row>
    <row r="96" spans="1:3" hidden="1">
      <c r="A96">
        <v>96</v>
      </c>
      <c r="B96" s="115" t="s">
        <v>277</v>
      </c>
      <c r="C96" s="115" t="s">
        <v>278</v>
      </c>
    </row>
    <row r="97" spans="1:3" hidden="1">
      <c r="A97">
        <v>97</v>
      </c>
      <c r="B97" s="115" t="s">
        <v>279</v>
      </c>
      <c r="C97" s="115" t="s">
        <v>280</v>
      </c>
    </row>
    <row r="98" spans="1:3" hidden="1">
      <c r="A98">
        <v>98</v>
      </c>
      <c r="B98" s="115" t="s">
        <v>281</v>
      </c>
      <c r="C98" s="115" t="s">
        <v>282</v>
      </c>
    </row>
    <row r="99" spans="1:3" hidden="1">
      <c r="A99">
        <v>99</v>
      </c>
      <c r="B99" s="115" t="s">
        <v>283</v>
      </c>
      <c r="C99" s="115" t="s">
        <v>284</v>
      </c>
    </row>
    <row r="100" spans="1:3" hidden="1">
      <c r="A100">
        <v>100</v>
      </c>
      <c r="B100" s="115" t="s">
        <v>285</v>
      </c>
      <c r="C100" s="115" t="s">
        <v>286</v>
      </c>
    </row>
    <row r="101" spans="1:3" hidden="1">
      <c r="A101">
        <v>101</v>
      </c>
      <c r="B101" s="115" t="s">
        <v>287</v>
      </c>
      <c r="C101" s="115" t="s">
        <v>288</v>
      </c>
    </row>
    <row r="102" spans="1:3" hidden="1">
      <c r="A102">
        <v>102</v>
      </c>
      <c r="B102" s="115" t="s">
        <v>289</v>
      </c>
      <c r="C102" s="115" t="s">
        <v>290</v>
      </c>
    </row>
    <row r="103" spans="1:3" hidden="1">
      <c r="A103">
        <v>103</v>
      </c>
      <c r="B103" s="115" t="s">
        <v>291</v>
      </c>
      <c r="C103" s="115" t="s">
        <v>292</v>
      </c>
    </row>
    <row r="104" spans="1:3" hidden="1">
      <c r="A104">
        <v>104</v>
      </c>
      <c r="B104" s="115" t="s">
        <v>293</v>
      </c>
      <c r="C104" s="115" t="s">
        <v>294</v>
      </c>
    </row>
    <row r="105" spans="1:3" hidden="1">
      <c r="A105">
        <v>105</v>
      </c>
      <c r="B105" s="115" t="s">
        <v>295</v>
      </c>
      <c r="C105" s="115" t="s">
        <v>296</v>
      </c>
    </row>
    <row r="106" spans="1:3" hidden="1">
      <c r="A106">
        <v>106</v>
      </c>
      <c r="B106" s="115" t="s">
        <v>297</v>
      </c>
      <c r="C106" s="115" t="s">
        <v>298</v>
      </c>
    </row>
    <row r="107" spans="1:3" hidden="1">
      <c r="A107">
        <v>107</v>
      </c>
      <c r="B107" s="115" t="s">
        <v>299</v>
      </c>
      <c r="C107" s="115" t="s">
        <v>300</v>
      </c>
    </row>
    <row r="108" spans="1:3" hidden="1">
      <c r="A108">
        <v>108</v>
      </c>
      <c r="B108" s="115" t="s">
        <v>301</v>
      </c>
      <c r="C108" s="115" t="s">
        <v>302</v>
      </c>
    </row>
    <row r="109" spans="1:3" hidden="1">
      <c r="A109">
        <v>109</v>
      </c>
      <c r="B109" s="115" t="s">
        <v>303</v>
      </c>
      <c r="C109" s="115" t="s">
        <v>304</v>
      </c>
    </row>
    <row r="110" spans="1:3" hidden="1">
      <c r="A110">
        <v>110</v>
      </c>
      <c r="B110" s="115" t="s">
        <v>305</v>
      </c>
      <c r="C110" s="115" t="s">
        <v>306</v>
      </c>
    </row>
    <row r="111" spans="1:3" hidden="1">
      <c r="A111">
        <v>111</v>
      </c>
      <c r="B111" s="115" t="s">
        <v>307</v>
      </c>
      <c r="C111" s="115" t="s">
        <v>308</v>
      </c>
    </row>
    <row r="112" spans="1:3" hidden="1">
      <c r="A112">
        <v>112</v>
      </c>
      <c r="B112" s="115" t="s">
        <v>309</v>
      </c>
      <c r="C112" s="115" t="s">
        <v>310</v>
      </c>
    </row>
    <row r="113" spans="1:3" hidden="1">
      <c r="A113">
        <v>113</v>
      </c>
      <c r="B113" s="115" t="s">
        <v>311</v>
      </c>
      <c r="C113" s="115" t="s">
        <v>312</v>
      </c>
    </row>
    <row r="114" spans="1:3" hidden="1">
      <c r="A114">
        <v>114</v>
      </c>
      <c r="B114" s="115" t="s">
        <v>313</v>
      </c>
      <c r="C114" s="115" t="s">
        <v>314</v>
      </c>
    </row>
    <row r="115" spans="1:3" hidden="1">
      <c r="A115">
        <v>115</v>
      </c>
      <c r="B115" s="115" t="s">
        <v>315</v>
      </c>
      <c r="C115" s="115" t="s">
        <v>316</v>
      </c>
    </row>
    <row r="116" spans="1:3" hidden="1">
      <c r="A116">
        <v>116</v>
      </c>
      <c r="B116" s="115" t="s">
        <v>317</v>
      </c>
      <c r="C116" s="115" t="s">
        <v>318</v>
      </c>
    </row>
    <row r="117" spans="1:3" hidden="1">
      <c r="A117">
        <v>117</v>
      </c>
      <c r="B117" s="115" t="s">
        <v>319</v>
      </c>
      <c r="C117" s="115" t="s">
        <v>320</v>
      </c>
    </row>
    <row r="118" spans="1:3" hidden="1">
      <c r="A118">
        <v>118</v>
      </c>
      <c r="B118" s="115" t="s">
        <v>321</v>
      </c>
      <c r="C118" s="115" t="s">
        <v>322</v>
      </c>
    </row>
    <row r="119" spans="1:3" hidden="1">
      <c r="A119">
        <v>119</v>
      </c>
      <c r="B119" s="115" t="s">
        <v>323</v>
      </c>
      <c r="C119" s="115" t="s">
        <v>324</v>
      </c>
    </row>
    <row r="120" spans="1:3" hidden="1">
      <c r="A120">
        <v>120</v>
      </c>
      <c r="B120" s="115" t="s">
        <v>325</v>
      </c>
      <c r="C120" s="115" t="s">
        <v>326</v>
      </c>
    </row>
    <row r="121" spans="1:3" hidden="1">
      <c r="A121">
        <v>121</v>
      </c>
      <c r="B121" s="115" t="s">
        <v>327</v>
      </c>
      <c r="C121" s="115" t="s">
        <v>328</v>
      </c>
    </row>
    <row r="122" spans="1:3" hidden="1">
      <c r="A122">
        <v>122</v>
      </c>
      <c r="B122" s="115" t="s">
        <v>329</v>
      </c>
      <c r="C122" s="115" t="s">
        <v>330</v>
      </c>
    </row>
    <row r="123" spans="1:3" hidden="1">
      <c r="A123">
        <v>123</v>
      </c>
      <c r="B123" s="115" t="s">
        <v>331</v>
      </c>
      <c r="C123" s="115" t="s">
        <v>332</v>
      </c>
    </row>
    <row r="124" spans="1:3" hidden="1">
      <c r="A124">
        <v>124</v>
      </c>
      <c r="B124" s="115" t="s">
        <v>333</v>
      </c>
      <c r="C124" s="115" t="s">
        <v>334</v>
      </c>
    </row>
    <row r="125" spans="1:3" hidden="1">
      <c r="A125">
        <v>125</v>
      </c>
      <c r="B125" s="115" t="s">
        <v>335</v>
      </c>
      <c r="C125" s="115" t="s">
        <v>336</v>
      </c>
    </row>
    <row r="126" spans="1:3" hidden="1">
      <c r="A126">
        <v>126</v>
      </c>
      <c r="B126" s="115" t="s">
        <v>337</v>
      </c>
      <c r="C126" s="115" t="s">
        <v>338</v>
      </c>
    </row>
    <row r="127" spans="1:3" hidden="1">
      <c r="A127">
        <v>127</v>
      </c>
      <c r="B127" s="115" t="s">
        <v>339</v>
      </c>
      <c r="C127" s="115" t="s">
        <v>340</v>
      </c>
    </row>
    <row r="128" spans="1:3" hidden="1">
      <c r="A128">
        <v>128</v>
      </c>
      <c r="B128" s="115" t="s">
        <v>341</v>
      </c>
      <c r="C128" s="115" t="s">
        <v>342</v>
      </c>
    </row>
    <row r="129" spans="1:3" hidden="1">
      <c r="A129">
        <v>129</v>
      </c>
      <c r="B129" s="115" t="s">
        <v>343</v>
      </c>
      <c r="C129" s="115" t="s">
        <v>344</v>
      </c>
    </row>
    <row r="130" spans="1:3" hidden="1">
      <c r="A130">
        <v>130</v>
      </c>
      <c r="B130" s="115" t="s">
        <v>345</v>
      </c>
      <c r="C130" s="115" t="s">
        <v>346</v>
      </c>
    </row>
    <row r="131" spans="1:3" hidden="1">
      <c r="A131">
        <v>131</v>
      </c>
      <c r="B131" s="115" t="s">
        <v>347</v>
      </c>
      <c r="C131" s="115" t="s">
        <v>348</v>
      </c>
    </row>
    <row r="132" spans="1:3" hidden="1">
      <c r="A132">
        <v>132</v>
      </c>
      <c r="B132" s="115" t="s">
        <v>349</v>
      </c>
      <c r="C132" s="115" t="s">
        <v>350</v>
      </c>
    </row>
    <row r="133" spans="1:3" hidden="1">
      <c r="A133">
        <v>133</v>
      </c>
      <c r="B133" s="115" t="s">
        <v>351</v>
      </c>
      <c r="C133" s="115" t="s">
        <v>352</v>
      </c>
    </row>
    <row r="134" spans="1:3" hidden="1">
      <c r="A134">
        <v>134</v>
      </c>
      <c r="B134" s="115" t="s">
        <v>353</v>
      </c>
      <c r="C134" s="115" t="s">
        <v>354</v>
      </c>
    </row>
    <row r="135" spans="1:3" hidden="1">
      <c r="A135">
        <v>135</v>
      </c>
      <c r="B135" s="115" t="s">
        <v>355</v>
      </c>
      <c r="C135" s="115" t="s">
        <v>356</v>
      </c>
    </row>
    <row r="136" spans="1:3" hidden="1">
      <c r="A136">
        <v>136</v>
      </c>
      <c r="B136" s="115" t="s">
        <v>357</v>
      </c>
      <c r="C136" s="115" t="s">
        <v>358</v>
      </c>
    </row>
    <row r="137" spans="1:3" hidden="1">
      <c r="A137">
        <v>137</v>
      </c>
      <c r="B137" s="115" t="s">
        <v>359</v>
      </c>
      <c r="C137" s="115" t="s">
        <v>360</v>
      </c>
    </row>
    <row r="138" spans="1:3" hidden="1">
      <c r="A138">
        <v>138</v>
      </c>
      <c r="B138" s="115" t="s">
        <v>361</v>
      </c>
      <c r="C138" s="115" t="s">
        <v>362</v>
      </c>
    </row>
    <row r="139" spans="1:3" hidden="1">
      <c r="A139">
        <v>139</v>
      </c>
      <c r="B139" s="115" t="s">
        <v>363</v>
      </c>
      <c r="C139" s="115" t="s">
        <v>364</v>
      </c>
    </row>
    <row r="140" spans="1:3" hidden="1">
      <c r="A140">
        <v>140</v>
      </c>
      <c r="B140" s="115" t="s">
        <v>365</v>
      </c>
      <c r="C140" s="115" t="s">
        <v>366</v>
      </c>
    </row>
    <row r="141" spans="1:3" hidden="1">
      <c r="A141">
        <v>141</v>
      </c>
      <c r="B141" s="115" t="s">
        <v>367</v>
      </c>
      <c r="C141" s="115" t="s">
        <v>368</v>
      </c>
    </row>
    <row r="142" spans="1:3" hidden="1">
      <c r="A142">
        <v>142</v>
      </c>
      <c r="B142" s="115" t="s">
        <v>369</v>
      </c>
      <c r="C142" s="115" t="s">
        <v>370</v>
      </c>
    </row>
    <row r="143" spans="1:3" hidden="1">
      <c r="A143">
        <v>143</v>
      </c>
      <c r="B143" s="115" t="s">
        <v>371</v>
      </c>
      <c r="C143" s="115" t="s">
        <v>372</v>
      </c>
    </row>
    <row r="144" spans="1:3" hidden="1">
      <c r="A144">
        <v>144</v>
      </c>
      <c r="B144" s="115" t="s">
        <v>373</v>
      </c>
      <c r="C144" s="115" t="s">
        <v>374</v>
      </c>
    </row>
    <row r="145" spans="1:3" hidden="1">
      <c r="A145">
        <v>145</v>
      </c>
      <c r="B145" s="115" t="s">
        <v>375</v>
      </c>
      <c r="C145" s="115" t="s">
        <v>376</v>
      </c>
    </row>
    <row r="146" spans="1:3" hidden="1">
      <c r="A146">
        <v>146</v>
      </c>
      <c r="B146" s="115" t="s">
        <v>377</v>
      </c>
      <c r="C146" s="115" t="s">
        <v>378</v>
      </c>
    </row>
    <row r="147" spans="1:3" hidden="1">
      <c r="A147">
        <v>147</v>
      </c>
      <c r="B147" s="115" t="s">
        <v>379</v>
      </c>
      <c r="C147" s="115" t="s">
        <v>380</v>
      </c>
    </row>
    <row r="148" spans="1:3" hidden="1">
      <c r="A148">
        <v>148</v>
      </c>
      <c r="B148" s="115" t="s">
        <v>381</v>
      </c>
      <c r="C148" s="115" t="s">
        <v>382</v>
      </c>
    </row>
    <row r="149" spans="1:3" hidden="1">
      <c r="A149">
        <v>150</v>
      </c>
      <c r="B149" s="115" t="s">
        <v>383</v>
      </c>
      <c r="C149" s="115" t="s">
        <v>384</v>
      </c>
    </row>
    <row r="150" spans="1:3" hidden="1">
      <c r="A150">
        <v>151</v>
      </c>
      <c r="B150" s="115" t="s">
        <v>385</v>
      </c>
      <c r="C150" s="115" t="s">
        <v>386</v>
      </c>
    </row>
    <row r="151" spans="1:3" hidden="1">
      <c r="A151">
        <v>152</v>
      </c>
      <c r="B151" s="115" t="s">
        <v>387</v>
      </c>
      <c r="C151" s="115" t="s">
        <v>388</v>
      </c>
    </row>
    <row r="152" spans="1:3" hidden="1">
      <c r="A152">
        <v>153</v>
      </c>
      <c r="B152" s="115" t="s">
        <v>389</v>
      </c>
      <c r="C152" s="115" t="s">
        <v>390</v>
      </c>
    </row>
    <row r="153" spans="1:3" hidden="1">
      <c r="A153">
        <v>154</v>
      </c>
      <c r="B153" s="115" t="s">
        <v>391</v>
      </c>
      <c r="C153" s="115" t="s">
        <v>392</v>
      </c>
    </row>
    <row r="154" spans="1:3" hidden="1">
      <c r="A154">
        <v>155</v>
      </c>
      <c r="B154" s="115" t="s">
        <v>393</v>
      </c>
      <c r="C154" s="115" t="s">
        <v>394</v>
      </c>
    </row>
    <row r="155" spans="1:3" hidden="1">
      <c r="A155">
        <v>156</v>
      </c>
      <c r="B155" s="115" t="s">
        <v>395</v>
      </c>
      <c r="C155" s="115" t="s">
        <v>396</v>
      </c>
    </row>
    <row r="156" spans="1:3" hidden="1">
      <c r="A156">
        <v>157</v>
      </c>
      <c r="B156" s="115" t="s">
        <v>397</v>
      </c>
      <c r="C156" s="115" t="s">
        <v>398</v>
      </c>
    </row>
    <row r="157" spans="1:3" hidden="1">
      <c r="A157">
        <v>158</v>
      </c>
      <c r="B157" s="115" t="s">
        <v>399</v>
      </c>
      <c r="C157" s="115" t="s">
        <v>400</v>
      </c>
    </row>
    <row r="158" spans="1:3" hidden="1">
      <c r="A158">
        <v>159</v>
      </c>
      <c r="B158" s="115" t="s">
        <v>401</v>
      </c>
      <c r="C158" s="115" t="s">
        <v>402</v>
      </c>
    </row>
    <row r="159" spans="1:3" hidden="1">
      <c r="A159">
        <v>160</v>
      </c>
      <c r="B159" s="115" t="s">
        <v>403</v>
      </c>
      <c r="C159" s="115" t="s">
        <v>404</v>
      </c>
    </row>
    <row r="160" spans="1:3" hidden="1">
      <c r="A160">
        <v>161</v>
      </c>
      <c r="B160" s="115" t="s">
        <v>405</v>
      </c>
      <c r="C160" s="115" t="s">
        <v>406</v>
      </c>
    </row>
    <row r="161" spans="1:3" hidden="1">
      <c r="A161">
        <v>162</v>
      </c>
      <c r="B161" s="115" t="s">
        <v>407</v>
      </c>
      <c r="C161" s="115" t="s">
        <v>408</v>
      </c>
    </row>
    <row r="162" spans="1:3" hidden="1">
      <c r="A162">
        <v>163</v>
      </c>
      <c r="B162" s="115" t="s">
        <v>409</v>
      </c>
      <c r="C162" s="115" t="s">
        <v>410</v>
      </c>
    </row>
    <row r="163" spans="1:3" hidden="1">
      <c r="A163">
        <v>164</v>
      </c>
      <c r="B163" s="115" t="s">
        <v>411</v>
      </c>
      <c r="C163" s="115" t="s">
        <v>412</v>
      </c>
    </row>
    <row r="164" spans="1:3" hidden="1">
      <c r="A164">
        <v>165</v>
      </c>
      <c r="B164" s="115" t="s">
        <v>413</v>
      </c>
      <c r="C164" s="115" t="s">
        <v>414</v>
      </c>
    </row>
    <row r="165" spans="1:3" hidden="1">
      <c r="A165">
        <v>166</v>
      </c>
      <c r="B165" s="115" t="s">
        <v>415</v>
      </c>
      <c r="C165" s="115" t="s">
        <v>416</v>
      </c>
    </row>
    <row r="166" spans="1:3" hidden="1">
      <c r="A166">
        <v>167</v>
      </c>
      <c r="B166" s="115" t="s">
        <v>417</v>
      </c>
      <c r="C166" s="115" t="s">
        <v>418</v>
      </c>
    </row>
    <row r="167" spans="1:3" hidden="1">
      <c r="A167">
        <v>168</v>
      </c>
      <c r="B167" s="115" t="s">
        <v>419</v>
      </c>
      <c r="C167" s="115" t="s">
        <v>420</v>
      </c>
    </row>
    <row r="168" spans="1:3" hidden="1">
      <c r="A168">
        <v>169</v>
      </c>
      <c r="B168" s="115" t="s">
        <v>421</v>
      </c>
      <c r="C168" s="115" t="s">
        <v>422</v>
      </c>
    </row>
    <row r="169" spans="1:3" hidden="1">
      <c r="A169">
        <v>170</v>
      </c>
      <c r="B169" s="115" t="s">
        <v>423</v>
      </c>
      <c r="C169" s="115" t="s">
        <v>424</v>
      </c>
    </row>
    <row r="170" spans="1:3" hidden="1">
      <c r="A170">
        <v>171</v>
      </c>
      <c r="B170" s="115" t="s">
        <v>425</v>
      </c>
      <c r="C170" s="115" t="s">
        <v>426</v>
      </c>
    </row>
    <row r="171" spans="1:3" hidden="1">
      <c r="A171">
        <v>172</v>
      </c>
      <c r="B171" s="115" t="s">
        <v>427</v>
      </c>
      <c r="C171" s="115" t="s">
        <v>428</v>
      </c>
    </row>
    <row r="172" spans="1:3" hidden="1">
      <c r="A172">
        <v>173</v>
      </c>
      <c r="B172" s="115" t="s">
        <v>429</v>
      </c>
      <c r="C172" s="115" t="s">
        <v>430</v>
      </c>
    </row>
    <row r="173" spans="1:3" hidden="1">
      <c r="A173">
        <v>174</v>
      </c>
      <c r="B173" s="115" t="s">
        <v>431</v>
      </c>
      <c r="C173" s="115" t="s">
        <v>432</v>
      </c>
    </row>
    <row r="174" spans="1:3" hidden="1">
      <c r="A174">
        <v>175</v>
      </c>
      <c r="B174" s="115" t="s">
        <v>433</v>
      </c>
      <c r="C174" s="115" t="s">
        <v>434</v>
      </c>
    </row>
    <row r="175" spans="1:3" hidden="1">
      <c r="A175">
        <v>176</v>
      </c>
      <c r="B175" s="115" t="s">
        <v>435</v>
      </c>
      <c r="C175" s="115" t="s">
        <v>436</v>
      </c>
    </row>
    <row r="176" spans="1:3" hidden="1">
      <c r="A176">
        <v>177</v>
      </c>
      <c r="B176" s="115" t="s">
        <v>437</v>
      </c>
      <c r="C176" s="115" t="s">
        <v>438</v>
      </c>
    </row>
    <row r="177" spans="1:3" hidden="1">
      <c r="A177">
        <v>178</v>
      </c>
      <c r="B177" s="115" t="s">
        <v>439</v>
      </c>
      <c r="C177" s="115" t="s">
        <v>440</v>
      </c>
    </row>
    <row r="178" spans="1:3" hidden="1">
      <c r="A178">
        <v>179</v>
      </c>
      <c r="B178" s="115" t="s">
        <v>441</v>
      </c>
      <c r="C178" s="115" t="s">
        <v>442</v>
      </c>
    </row>
    <row r="179" spans="1:3" hidden="1">
      <c r="A179">
        <v>180</v>
      </c>
      <c r="B179" s="115" t="s">
        <v>443</v>
      </c>
      <c r="C179" s="115" t="s">
        <v>444</v>
      </c>
    </row>
    <row r="180" spans="1:3" hidden="1">
      <c r="A180">
        <v>181</v>
      </c>
      <c r="B180" s="115" t="s">
        <v>445</v>
      </c>
      <c r="C180" s="115" t="s">
        <v>446</v>
      </c>
    </row>
    <row r="181" spans="1:3" hidden="1">
      <c r="A181">
        <v>182</v>
      </c>
      <c r="B181" s="115" t="s">
        <v>447</v>
      </c>
      <c r="C181" s="115" t="s">
        <v>448</v>
      </c>
    </row>
    <row r="182" spans="1:3" hidden="1">
      <c r="A182">
        <v>183</v>
      </c>
      <c r="B182" s="115" t="s">
        <v>449</v>
      </c>
      <c r="C182" s="115" t="s">
        <v>450</v>
      </c>
    </row>
    <row r="183" spans="1:3" hidden="1">
      <c r="A183">
        <v>184</v>
      </c>
      <c r="B183" s="115" t="s">
        <v>451</v>
      </c>
      <c r="C183" s="115" t="s">
        <v>452</v>
      </c>
    </row>
    <row r="184" spans="1:3" hidden="1">
      <c r="A184">
        <v>185</v>
      </c>
      <c r="B184" s="115" t="s">
        <v>453</v>
      </c>
      <c r="C184" s="115" t="s">
        <v>454</v>
      </c>
    </row>
    <row r="185" spans="1:3" hidden="1">
      <c r="A185">
        <v>186</v>
      </c>
      <c r="B185" s="115" t="s">
        <v>455</v>
      </c>
      <c r="C185" s="115" t="s">
        <v>456</v>
      </c>
    </row>
    <row r="186" spans="1:3" hidden="1">
      <c r="A186">
        <v>187</v>
      </c>
      <c r="B186" s="115" t="s">
        <v>457</v>
      </c>
      <c r="C186" s="115" t="s">
        <v>458</v>
      </c>
    </row>
    <row r="187" spans="1:3" hidden="1">
      <c r="A187">
        <v>188</v>
      </c>
      <c r="B187" s="115" t="s">
        <v>459</v>
      </c>
      <c r="C187" s="115" t="s">
        <v>460</v>
      </c>
    </row>
    <row r="188" spans="1:3" hidden="1">
      <c r="A188">
        <v>189</v>
      </c>
      <c r="B188" s="115" t="s">
        <v>461</v>
      </c>
      <c r="C188" s="115" t="s">
        <v>462</v>
      </c>
    </row>
    <row r="189" spans="1:3" hidden="1">
      <c r="A189">
        <v>190</v>
      </c>
      <c r="B189" s="115" t="s">
        <v>463</v>
      </c>
      <c r="C189" s="115" t="s">
        <v>464</v>
      </c>
    </row>
    <row r="190" spans="1:3" hidden="1">
      <c r="A190">
        <v>191</v>
      </c>
      <c r="B190" s="115" t="s">
        <v>465</v>
      </c>
      <c r="C190" s="115" t="s">
        <v>466</v>
      </c>
    </row>
    <row r="191" spans="1:3" hidden="1">
      <c r="A191">
        <v>192</v>
      </c>
      <c r="B191" s="115" t="s">
        <v>467</v>
      </c>
      <c r="C191" s="115" t="s">
        <v>468</v>
      </c>
    </row>
    <row r="192" spans="1:3" hidden="1">
      <c r="A192">
        <v>193</v>
      </c>
      <c r="B192" s="115" t="s">
        <v>469</v>
      </c>
      <c r="C192" s="115" t="s">
        <v>470</v>
      </c>
    </row>
    <row r="193" spans="1:3" hidden="1">
      <c r="A193">
        <v>194</v>
      </c>
      <c r="B193" s="115" t="s">
        <v>471</v>
      </c>
      <c r="C193" s="115" t="s">
        <v>472</v>
      </c>
    </row>
    <row r="194" spans="1:3" hidden="1">
      <c r="A194">
        <v>195</v>
      </c>
      <c r="B194" s="115" t="s">
        <v>473</v>
      </c>
      <c r="C194" s="115" t="s">
        <v>474</v>
      </c>
    </row>
    <row r="195" spans="1:3" hidden="1">
      <c r="A195">
        <v>196</v>
      </c>
      <c r="B195" s="115" t="s">
        <v>475</v>
      </c>
      <c r="C195" s="115" t="s">
        <v>476</v>
      </c>
    </row>
    <row r="196" spans="1:3" hidden="1">
      <c r="A196">
        <v>197</v>
      </c>
      <c r="B196" s="115" t="s">
        <v>477</v>
      </c>
      <c r="C196" s="115" t="s">
        <v>478</v>
      </c>
    </row>
    <row r="197" spans="1:3" hidden="1">
      <c r="A197">
        <v>198</v>
      </c>
      <c r="B197" s="115" t="s">
        <v>479</v>
      </c>
      <c r="C197" s="115" t="s">
        <v>480</v>
      </c>
    </row>
    <row r="198" spans="1:3" hidden="1">
      <c r="A198">
        <v>199</v>
      </c>
      <c r="B198" s="115" t="s">
        <v>481</v>
      </c>
      <c r="C198" s="115" t="s">
        <v>482</v>
      </c>
    </row>
    <row r="199" spans="1:3" hidden="1">
      <c r="A199">
        <v>200</v>
      </c>
      <c r="B199" s="115" t="s">
        <v>483</v>
      </c>
      <c r="C199" s="115" t="s">
        <v>484</v>
      </c>
    </row>
    <row r="200" spans="1:3" hidden="1">
      <c r="A200">
        <v>201</v>
      </c>
      <c r="B200" s="115" t="s">
        <v>485</v>
      </c>
      <c r="C200" s="115" t="s">
        <v>486</v>
      </c>
    </row>
    <row r="201" spans="1:3" hidden="1">
      <c r="A201">
        <v>202</v>
      </c>
      <c r="B201" s="115" t="s">
        <v>487</v>
      </c>
      <c r="C201" s="115" t="s">
        <v>488</v>
      </c>
    </row>
    <row r="202" spans="1:3" hidden="1">
      <c r="A202">
        <v>203</v>
      </c>
      <c r="B202" s="115" t="s">
        <v>489</v>
      </c>
      <c r="C202" s="115" t="s">
        <v>490</v>
      </c>
    </row>
    <row r="203" spans="1:3" hidden="1">
      <c r="A203">
        <v>204</v>
      </c>
      <c r="B203" s="115" t="s">
        <v>491</v>
      </c>
      <c r="C203" s="115" t="s">
        <v>492</v>
      </c>
    </row>
    <row r="204" spans="1:3" hidden="1">
      <c r="A204">
        <v>205</v>
      </c>
      <c r="B204" s="115" t="s">
        <v>493</v>
      </c>
      <c r="C204" s="115" t="s">
        <v>494</v>
      </c>
    </row>
    <row r="205" spans="1:3" hidden="1">
      <c r="A205">
        <v>206</v>
      </c>
      <c r="B205" s="115" t="s">
        <v>495</v>
      </c>
      <c r="C205" s="115" t="s">
        <v>496</v>
      </c>
    </row>
    <row r="206" spans="1:3" hidden="1">
      <c r="A206">
        <v>207</v>
      </c>
      <c r="B206" s="115" t="s">
        <v>497</v>
      </c>
      <c r="C206" s="115" t="s">
        <v>498</v>
      </c>
    </row>
    <row r="207" spans="1:3" hidden="1">
      <c r="A207">
        <v>208</v>
      </c>
      <c r="B207" s="115" t="s">
        <v>499</v>
      </c>
      <c r="C207" s="115" t="s">
        <v>500</v>
      </c>
    </row>
    <row r="208" spans="1:3" hidden="1">
      <c r="A208">
        <v>209</v>
      </c>
      <c r="B208" s="115" t="s">
        <v>501</v>
      </c>
      <c r="C208" s="115" t="s">
        <v>502</v>
      </c>
    </row>
    <row r="209" spans="1:3" hidden="1">
      <c r="A209">
        <v>210</v>
      </c>
      <c r="B209" s="115" t="s">
        <v>503</v>
      </c>
      <c r="C209" s="115" t="s">
        <v>504</v>
      </c>
    </row>
    <row r="210" spans="1:3" hidden="1">
      <c r="A210">
        <v>211</v>
      </c>
      <c r="B210" s="115" t="s">
        <v>505</v>
      </c>
      <c r="C210" s="115" t="s">
        <v>506</v>
      </c>
    </row>
    <row r="211" spans="1:3" hidden="1">
      <c r="A211">
        <v>212</v>
      </c>
      <c r="B211" s="115" t="s">
        <v>507</v>
      </c>
      <c r="C211" s="115" t="s">
        <v>508</v>
      </c>
    </row>
    <row r="212" spans="1:3" hidden="1">
      <c r="A212">
        <v>213</v>
      </c>
      <c r="B212" s="115" t="s">
        <v>509</v>
      </c>
      <c r="C212" s="115" t="s">
        <v>510</v>
      </c>
    </row>
    <row r="213" spans="1:3" hidden="1">
      <c r="A213">
        <v>214</v>
      </c>
      <c r="B213" s="115" t="s">
        <v>511</v>
      </c>
      <c r="C213" s="115" t="s">
        <v>512</v>
      </c>
    </row>
    <row r="214" spans="1:3" hidden="1">
      <c r="A214">
        <v>215</v>
      </c>
      <c r="B214" s="115" t="s">
        <v>513</v>
      </c>
      <c r="C214" s="115" t="s">
        <v>514</v>
      </c>
    </row>
    <row r="215" spans="1:3" hidden="1">
      <c r="A215">
        <v>216</v>
      </c>
      <c r="B215" s="115" t="s">
        <v>515</v>
      </c>
      <c r="C215" s="115" t="s">
        <v>516</v>
      </c>
    </row>
    <row r="216" spans="1:3" hidden="1">
      <c r="A216">
        <v>217</v>
      </c>
      <c r="B216" s="115" t="s">
        <v>517</v>
      </c>
      <c r="C216" s="115" t="s">
        <v>518</v>
      </c>
    </row>
    <row r="217" spans="1:3" hidden="1">
      <c r="A217">
        <v>218</v>
      </c>
      <c r="B217" s="115" t="s">
        <v>519</v>
      </c>
      <c r="C217" s="115" t="s">
        <v>520</v>
      </c>
    </row>
    <row r="218" spans="1:3" hidden="1">
      <c r="A218">
        <v>219</v>
      </c>
      <c r="B218" s="115" t="s">
        <v>521</v>
      </c>
      <c r="C218" s="115" t="s">
        <v>522</v>
      </c>
    </row>
    <row r="219" spans="1:3" hidden="1">
      <c r="A219">
        <v>220</v>
      </c>
      <c r="B219" s="115" t="s">
        <v>523</v>
      </c>
      <c r="C219" s="115" t="s">
        <v>524</v>
      </c>
    </row>
    <row r="220" spans="1:3" hidden="1">
      <c r="A220">
        <v>221</v>
      </c>
      <c r="B220" s="115" t="s">
        <v>525</v>
      </c>
      <c r="C220" s="115" t="s">
        <v>526</v>
      </c>
    </row>
    <row r="221" spans="1:3" hidden="1">
      <c r="A221">
        <v>222</v>
      </c>
      <c r="B221" s="115" t="s">
        <v>527</v>
      </c>
      <c r="C221" s="115" t="s">
        <v>528</v>
      </c>
    </row>
    <row r="222" spans="1:3" hidden="1">
      <c r="A222">
        <v>223</v>
      </c>
      <c r="B222" s="115" t="s">
        <v>529</v>
      </c>
      <c r="C222" s="115" t="s">
        <v>530</v>
      </c>
    </row>
    <row r="223" spans="1:3" hidden="1">
      <c r="A223">
        <v>224</v>
      </c>
      <c r="B223" s="115" t="s">
        <v>531</v>
      </c>
      <c r="C223" s="115" t="s">
        <v>532</v>
      </c>
    </row>
    <row r="224" spans="1:3" hidden="1">
      <c r="A224">
        <v>225</v>
      </c>
      <c r="B224" s="115" t="s">
        <v>533</v>
      </c>
      <c r="C224" s="115" t="s">
        <v>534</v>
      </c>
    </row>
    <row r="225" spans="1:3" hidden="1">
      <c r="A225">
        <v>226</v>
      </c>
      <c r="B225" s="115" t="s">
        <v>535</v>
      </c>
      <c r="C225" s="115" t="s">
        <v>536</v>
      </c>
    </row>
    <row r="226" spans="1:3" hidden="1">
      <c r="A226">
        <v>227</v>
      </c>
      <c r="B226" s="115" t="s">
        <v>537</v>
      </c>
      <c r="C226" s="115" t="s">
        <v>538</v>
      </c>
    </row>
    <row r="227" spans="1:3" hidden="1">
      <c r="A227">
        <v>228</v>
      </c>
      <c r="B227" s="115" t="s">
        <v>539</v>
      </c>
      <c r="C227" s="115" t="s">
        <v>540</v>
      </c>
    </row>
    <row r="228" spans="1:3" hidden="1">
      <c r="A228">
        <v>229</v>
      </c>
      <c r="B228" s="115" t="s">
        <v>541</v>
      </c>
      <c r="C228" s="115" t="s">
        <v>542</v>
      </c>
    </row>
    <row r="229" spans="1:3" hidden="1">
      <c r="A229">
        <v>230</v>
      </c>
      <c r="B229" s="115" t="s">
        <v>543</v>
      </c>
      <c r="C229" s="115" t="s">
        <v>544</v>
      </c>
    </row>
    <row r="230" spans="1:3" hidden="1">
      <c r="A230">
        <v>231</v>
      </c>
      <c r="B230" s="115" t="s">
        <v>545</v>
      </c>
      <c r="C230" s="115" t="s">
        <v>546</v>
      </c>
    </row>
    <row r="231" spans="1:3" hidden="1">
      <c r="A231">
        <v>232</v>
      </c>
      <c r="B231" s="115" t="s">
        <v>547</v>
      </c>
      <c r="C231" s="115" t="s">
        <v>548</v>
      </c>
    </row>
    <row r="232" spans="1:3" hidden="1">
      <c r="A232">
        <v>233</v>
      </c>
      <c r="B232" s="115" t="s">
        <v>549</v>
      </c>
      <c r="C232" s="115" t="s">
        <v>550</v>
      </c>
    </row>
    <row r="233" spans="1:3" hidden="1">
      <c r="A233">
        <v>234</v>
      </c>
      <c r="B233" s="115" t="s">
        <v>551</v>
      </c>
      <c r="C233" s="115" t="s">
        <v>552</v>
      </c>
    </row>
    <row r="234" spans="1:3" hidden="1">
      <c r="A234">
        <v>235</v>
      </c>
      <c r="B234" s="115" t="s">
        <v>553</v>
      </c>
      <c r="C234" s="115" t="s">
        <v>554</v>
      </c>
    </row>
    <row r="235" spans="1:3" hidden="1">
      <c r="A235">
        <v>236</v>
      </c>
      <c r="B235" s="115" t="s">
        <v>555</v>
      </c>
      <c r="C235" s="115" t="s">
        <v>556</v>
      </c>
    </row>
    <row r="236" spans="1:3" hidden="1">
      <c r="A236">
        <v>237</v>
      </c>
      <c r="B236" s="115" t="s">
        <v>557</v>
      </c>
      <c r="C236" s="115" t="s">
        <v>558</v>
      </c>
    </row>
    <row r="237" spans="1:3" hidden="1">
      <c r="A237">
        <v>238</v>
      </c>
      <c r="B237" s="115" t="s">
        <v>559</v>
      </c>
      <c r="C237" s="115" t="s">
        <v>560</v>
      </c>
    </row>
    <row r="238" spans="1:3" hidden="1">
      <c r="A238">
        <v>239</v>
      </c>
      <c r="B238" s="115" t="s">
        <v>561</v>
      </c>
      <c r="C238" s="115" t="s">
        <v>562</v>
      </c>
    </row>
    <row r="239" spans="1:3" hidden="1">
      <c r="A239">
        <v>240</v>
      </c>
      <c r="B239" s="115" t="s">
        <v>563</v>
      </c>
      <c r="C239" s="115" t="s">
        <v>564</v>
      </c>
    </row>
    <row r="240" spans="1:3" hidden="1">
      <c r="A240">
        <v>241</v>
      </c>
      <c r="B240" s="115" t="s">
        <v>565</v>
      </c>
      <c r="C240" s="115" t="s">
        <v>566</v>
      </c>
    </row>
    <row r="241" spans="1:3" hidden="1">
      <c r="A241">
        <v>242</v>
      </c>
      <c r="B241" s="115" t="s">
        <v>567</v>
      </c>
      <c r="C241" s="115" t="s">
        <v>568</v>
      </c>
    </row>
    <row r="242" spans="1:3" hidden="1">
      <c r="A242">
        <v>243</v>
      </c>
      <c r="B242" s="115" t="s">
        <v>569</v>
      </c>
      <c r="C242" s="115" t="s">
        <v>570</v>
      </c>
    </row>
    <row r="243" spans="1:3" hidden="1">
      <c r="A243">
        <v>244</v>
      </c>
      <c r="B243" s="115" t="s">
        <v>571</v>
      </c>
      <c r="C243" s="115" t="s">
        <v>572</v>
      </c>
    </row>
    <row r="244" spans="1:3" hidden="1">
      <c r="A244">
        <v>245</v>
      </c>
      <c r="B244" s="115" t="s">
        <v>573</v>
      </c>
      <c r="C244" s="115" t="s">
        <v>574</v>
      </c>
    </row>
    <row r="245" spans="1:3" hidden="1">
      <c r="A245">
        <v>246</v>
      </c>
      <c r="B245" s="115" t="s">
        <v>575</v>
      </c>
      <c r="C245" s="115" t="s">
        <v>576</v>
      </c>
    </row>
    <row r="246" spans="1:3" hidden="1">
      <c r="A246">
        <v>247</v>
      </c>
      <c r="B246" s="115" t="s">
        <v>577</v>
      </c>
      <c r="C246" s="115" t="s">
        <v>578</v>
      </c>
    </row>
    <row r="247" spans="1:3" hidden="1">
      <c r="A247">
        <v>248</v>
      </c>
      <c r="B247" s="115" t="s">
        <v>579</v>
      </c>
      <c r="C247" s="115" t="s">
        <v>580</v>
      </c>
    </row>
    <row r="248" spans="1:3" hidden="1">
      <c r="A248">
        <v>249</v>
      </c>
      <c r="B248" s="115" t="s">
        <v>581</v>
      </c>
      <c r="C248" s="115" t="s">
        <v>582</v>
      </c>
    </row>
    <row r="249" spans="1:3" hidden="1">
      <c r="A249">
        <v>250</v>
      </c>
      <c r="B249" s="115" t="s">
        <v>583</v>
      </c>
      <c r="C249" s="115" t="s">
        <v>584</v>
      </c>
    </row>
    <row r="250" spans="1:3" hidden="1">
      <c r="A250">
        <v>251</v>
      </c>
      <c r="B250" s="115" t="s">
        <v>585</v>
      </c>
      <c r="C250" s="115" t="s">
        <v>586</v>
      </c>
    </row>
    <row r="251" spans="1:3" hidden="1">
      <c r="A251">
        <v>252</v>
      </c>
      <c r="B251" s="115" t="s">
        <v>587</v>
      </c>
      <c r="C251" s="115" t="s">
        <v>588</v>
      </c>
    </row>
    <row r="252" spans="1:3" hidden="1">
      <c r="A252">
        <v>253</v>
      </c>
      <c r="B252" s="115" t="s">
        <v>589</v>
      </c>
      <c r="C252" s="115" t="s">
        <v>590</v>
      </c>
    </row>
    <row r="253" spans="1:3" hidden="1">
      <c r="A253">
        <v>254</v>
      </c>
      <c r="B253" s="115" t="s">
        <v>591</v>
      </c>
      <c r="C253" s="115" t="s">
        <v>592</v>
      </c>
    </row>
    <row r="254" spans="1:3" hidden="1">
      <c r="A254">
        <v>255</v>
      </c>
      <c r="B254" s="115" t="s">
        <v>593</v>
      </c>
      <c r="C254" s="115" t="s">
        <v>594</v>
      </c>
    </row>
    <row r="255" spans="1:3" hidden="1">
      <c r="A255">
        <v>256</v>
      </c>
      <c r="B255" s="115" t="s">
        <v>595</v>
      </c>
      <c r="C255" s="115" t="s">
        <v>596</v>
      </c>
    </row>
    <row r="256" spans="1:3" hidden="1">
      <c r="A256">
        <v>257</v>
      </c>
      <c r="B256" s="115" t="s">
        <v>597</v>
      </c>
      <c r="C256" s="115" t="s">
        <v>598</v>
      </c>
    </row>
    <row r="257" spans="1:3" hidden="1">
      <c r="A257">
        <v>258</v>
      </c>
      <c r="B257" s="115" t="s">
        <v>599</v>
      </c>
      <c r="C257" s="115" t="s">
        <v>600</v>
      </c>
    </row>
    <row r="258" spans="1:3" hidden="1">
      <c r="A258">
        <v>259</v>
      </c>
      <c r="B258" s="115" t="s">
        <v>601</v>
      </c>
      <c r="C258" s="115" t="s">
        <v>602</v>
      </c>
    </row>
    <row r="259" spans="1:3" hidden="1">
      <c r="A259">
        <v>260</v>
      </c>
      <c r="B259" s="115" t="s">
        <v>603</v>
      </c>
      <c r="C259" s="115" t="s">
        <v>604</v>
      </c>
    </row>
    <row r="260" spans="1:3" hidden="1">
      <c r="A260">
        <v>261</v>
      </c>
      <c r="B260" s="115" t="s">
        <v>605</v>
      </c>
      <c r="C260" s="115" t="s">
        <v>606</v>
      </c>
    </row>
    <row r="261" spans="1:3" hidden="1">
      <c r="A261">
        <v>262</v>
      </c>
      <c r="B261" s="115" t="s">
        <v>607</v>
      </c>
      <c r="C261" s="115" t="s">
        <v>608</v>
      </c>
    </row>
    <row r="262" spans="1:3" hidden="1">
      <c r="A262">
        <v>263</v>
      </c>
      <c r="B262" s="115" t="s">
        <v>609</v>
      </c>
      <c r="C262" s="115" t="s">
        <v>610</v>
      </c>
    </row>
    <row r="263" spans="1:3" hidden="1">
      <c r="A263">
        <v>264</v>
      </c>
      <c r="B263" s="115" t="s">
        <v>611</v>
      </c>
      <c r="C263" s="115" t="s">
        <v>610</v>
      </c>
    </row>
    <row r="264" spans="1:3" hidden="1">
      <c r="A264">
        <v>265</v>
      </c>
      <c r="B264" s="115" t="s">
        <v>612</v>
      </c>
      <c r="C264" s="115" t="s">
        <v>613</v>
      </c>
    </row>
    <row r="265" spans="1:3" hidden="1">
      <c r="A265">
        <v>266</v>
      </c>
      <c r="B265" s="115" t="s">
        <v>614</v>
      </c>
      <c r="C265" s="115" t="s">
        <v>615</v>
      </c>
    </row>
    <row r="266" spans="1:3" hidden="1">
      <c r="A266">
        <v>267</v>
      </c>
      <c r="B266" s="115" t="s">
        <v>616</v>
      </c>
      <c r="C266" s="115" t="s">
        <v>617</v>
      </c>
    </row>
    <row r="267" spans="1:3" hidden="1">
      <c r="A267">
        <v>268</v>
      </c>
      <c r="B267" s="115" t="s">
        <v>618</v>
      </c>
      <c r="C267" s="115" t="s">
        <v>619</v>
      </c>
    </row>
    <row r="268" spans="1:3" hidden="1">
      <c r="A268">
        <v>269</v>
      </c>
      <c r="B268" s="115" t="s">
        <v>620</v>
      </c>
      <c r="C268" s="115" t="s">
        <v>621</v>
      </c>
    </row>
    <row r="269" spans="1:3" hidden="1">
      <c r="A269">
        <v>270</v>
      </c>
      <c r="B269" s="115" t="s">
        <v>622</v>
      </c>
      <c r="C269" s="115" t="s">
        <v>623</v>
      </c>
    </row>
    <row r="270" spans="1:3" hidden="1">
      <c r="A270">
        <v>271</v>
      </c>
      <c r="B270" s="115" t="s">
        <v>624</v>
      </c>
      <c r="C270" s="115" t="s">
        <v>625</v>
      </c>
    </row>
    <row r="271" spans="1:3" hidden="1">
      <c r="A271">
        <v>272</v>
      </c>
      <c r="B271" s="115" t="s">
        <v>626</v>
      </c>
      <c r="C271" s="115" t="s">
        <v>627</v>
      </c>
    </row>
    <row r="272" spans="1:3" hidden="1">
      <c r="A272">
        <v>273</v>
      </c>
      <c r="B272" s="115" t="s">
        <v>628</v>
      </c>
      <c r="C272" s="115" t="s">
        <v>629</v>
      </c>
    </row>
    <row r="273" spans="1:3" hidden="1">
      <c r="A273">
        <v>274</v>
      </c>
      <c r="B273" s="115" t="s">
        <v>630</v>
      </c>
      <c r="C273" s="115" t="s">
        <v>631</v>
      </c>
    </row>
    <row r="274" spans="1:3" hidden="1">
      <c r="A274">
        <v>275</v>
      </c>
      <c r="B274" s="115" t="s">
        <v>632</v>
      </c>
      <c r="C274" s="115" t="s">
        <v>633</v>
      </c>
    </row>
    <row r="275" spans="1:3" hidden="1">
      <c r="A275">
        <v>276</v>
      </c>
      <c r="B275" s="115" t="s">
        <v>634</v>
      </c>
      <c r="C275" s="115" t="s">
        <v>635</v>
      </c>
    </row>
    <row r="276" spans="1:3" hidden="1">
      <c r="A276">
        <v>277</v>
      </c>
      <c r="B276" s="115" t="s">
        <v>636</v>
      </c>
      <c r="C276" s="115" t="s">
        <v>637</v>
      </c>
    </row>
    <row r="277" spans="1:3" hidden="1">
      <c r="A277">
        <v>278</v>
      </c>
      <c r="B277" s="115" t="s">
        <v>638</v>
      </c>
      <c r="C277" s="115" t="s">
        <v>639</v>
      </c>
    </row>
    <row r="278" spans="1:3" hidden="1">
      <c r="A278">
        <v>279</v>
      </c>
      <c r="B278" s="115" t="s">
        <v>640</v>
      </c>
      <c r="C278" s="115" t="s">
        <v>641</v>
      </c>
    </row>
    <row r="279" spans="1:3" hidden="1">
      <c r="A279">
        <v>280</v>
      </c>
      <c r="B279" s="115" t="s">
        <v>642</v>
      </c>
      <c r="C279" s="115" t="s">
        <v>643</v>
      </c>
    </row>
    <row r="280" spans="1:3" hidden="1">
      <c r="A280">
        <v>281</v>
      </c>
      <c r="B280" s="115" t="s">
        <v>644</v>
      </c>
      <c r="C280" s="115" t="s">
        <v>645</v>
      </c>
    </row>
    <row r="281" spans="1:3" hidden="1">
      <c r="A281">
        <v>282</v>
      </c>
      <c r="B281" s="115" t="s">
        <v>646</v>
      </c>
      <c r="C281" s="115" t="s">
        <v>647</v>
      </c>
    </row>
    <row r="282" spans="1:3" hidden="1">
      <c r="A282">
        <v>283</v>
      </c>
      <c r="B282" s="115" t="s">
        <v>648</v>
      </c>
      <c r="C282" s="115" t="s">
        <v>649</v>
      </c>
    </row>
    <row r="283" spans="1:3" hidden="1">
      <c r="A283">
        <v>284</v>
      </c>
      <c r="B283" s="115" t="s">
        <v>650</v>
      </c>
      <c r="C283" s="115" t="s">
        <v>651</v>
      </c>
    </row>
    <row r="284" spans="1:3" hidden="1">
      <c r="A284">
        <v>285</v>
      </c>
      <c r="B284" s="115" t="s">
        <v>652</v>
      </c>
      <c r="C284" s="115" t="s">
        <v>653</v>
      </c>
    </row>
    <row r="285" spans="1:3" hidden="1">
      <c r="A285">
        <v>286</v>
      </c>
      <c r="B285" s="115" t="s">
        <v>654</v>
      </c>
      <c r="C285" s="115" t="s">
        <v>655</v>
      </c>
    </row>
    <row r="286" spans="1:3" hidden="1">
      <c r="A286">
        <v>287</v>
      </c>
      <c r="B286" s="115" t="s">
        <v>656</v>
      </c>
      <c r="C286" s="115" t="s">
        <v>657</v>
      </c>
    </row>
    <row r="287" spans="1:3" hidden="1">
      <c r="A287">
        <v>288</v>
      </c>
      <c r="B287" s="115" t="s">
        <v>658</v>
      </c>
      <c r="C287" s="115" t="s">
        <v>659</v>
      </c>
    </row>
    <row r="288" spans="1:3" hidden="1">
      <c r="A288">
        <v>289</v>
      </c>
      <c r="B288" s="115" t="s">
        <v>660</v>
      </c>
      <c r="C288" s="115" t="s">
        <v>661</v>
      </c>
    </row>
    <row r="289" spans="1:3" hidden="1">
      <c r="A289">
        <v>290</v>
      </c>
      <c r="B289" s="115" t="s">
        <v>662</v>
      </c>
      <c r="C289" s="115" t="s">
        <v>663</v>
      </c>
    </row>
    <row r="290" spans="1:3" hidden="1">
      <c r="A290">
        <v>291</v>
      </c>
      <c r="B290" s="115" t="s">
        <v>664</v>
      </c>
      <c r="C290" s="115" t="s">
        <v>665</v>
      </c>
    </row>
    <row r="291" spans="1:3" hidden="1">
      <c r="A291">
        <v>292</v>
      </c>
      <c r="B291" s="115" t="s">
        <v>666</v>
      </c>
      <c r="C291" s="115" t="s">
        <v>667</v>
      </c>
    </row>
    <row r="292" spans="1:3" hidden="1">
      <c r="A292">
        <v>293</v>
      </c>
      <c r="B292" s="115" t="s">
        <v>668</v>
      </c>
      <c r="C292" s="115" t="s">
        <v>669</v>
      </c>
    </row>
    <row r="293" spans="1:3" hidden="1">
      <c r="A293">
        <v>294</v>
      </c>
      <c r="B293" s="115" t="s">
        <v>670</v>
      </c>
      <c r="C293" s="115" t="s">
        <v>671</v>
      </c>
    </row>
    <row r="294" spans="1:3" hidden="1">
      <c r="A294">
        <v>295</v>
      </c>
      <c r="B294" s="115" t="s">
        <v>672</v>
      </c>
      <c r="C294" s="115" t="s">
        <v>673</v>
      </c>
    </row>
    <row r="295" spans="1:3" hidden="1">
      <c r="A295">
        <v>296</v>
      </c>
      <c r="B295" s="115" t="s">
        <v>674</v>
      </c>
      <c r="C295" s="115" t="s">
        <v>675</v>
      </c>
    </row>
    <row r="296" spans="1:3" hidden="1">
      <c r="A296">
        <v>297</v>
      </c>
      <c r="B296" s="115" t="s">
        <v>676</v>
      </c>
      <c r="C296" s="115" t="s">
        <v>677</v>
      </c>
    </row>
    <row r="297" spans="1:3" hidden="1">
      <c r="A297">
        <v>298</v>
      </c>
      <c r="B297" s="115" t="s">
        <v>678</v>
      </c>
      <c r="C297" s="115" t="s">
        <v>679</v>
      </c>
    </row>
    <row r="298" spans="1:3" hidden="1">
      <c r="A298">
        <v>299</v>
      </c>
      <c r="B298" s="115" t="s">
        <v>680</v>
      </c>
      <c r="C298" s="115" t="s">
        <v>681</v>
      </c>
    </row>
    <row r="299" spans="1:3" hidden="1">
      <c r="A299">
        <v>300</v>
      </c>
      <c r="B299" s="115" t="s">
        <v>682</v>
      </c>
      <c r="C299" s="115" t="s">
        <v>683</v>
      </c>
    </row>
    <row r="300" spans="1:3" hidden="1">
      <c r="A300">
        <v>301</v>
      </c>
      <c r="B300" s="115" t="s">
        <v>684</v>
      </c>
      <c r="C300" s="115" t="s">
        <v>685</v>
      </c>
    </row>
    <row r="301" spans="1:3" hidden="1">
      <c r="A301">
        <v>302</v>
      </c>
      <c r="B301" s="115" t="s">
        <v>686</v>
      </c>
      <c r="C301" s="115" t="s">
        <v>687</v>
      </c>
    </row>
    <row r="302" spans="1:3" hidden="1">
      <c r="A302">
        <v>303</v>
      </c>
      <c r="B302" s="115" t="s">
        <v>688</v>
      </c>
      <c r="C302" s="115" t="s">
        <v>689</v>
      </c>
    </row>
    <row r="303" spans="1:3" hidden="1">
      <c r="A303">
        <v>304</v>
      </c>
      <c r="B303" s="115" t="s">
        <v>690</v>
      </c>
      <c r="C303" s="115" t="s">
        <v>691</v>
      </c>
    </row>
    <row r="304" spans="1:3" hidden="1">
      <c r="A304">
        <v>305</v>
      </c>
      <c r="B304" s="115" t="s">
        <v>692</v>
      </c>
      <c r="C304" s="115" t="s">
        <v>693</v>
      </c>
    </row>
    <row r="305" spans="1:3" hidden="1">
      <c r="A305">
        <v>306</v>
      </c>
      <c r="B305" s="115" t="s">
        <v>694</v>
      </c>
      <c r="C305" s="115" t="s">
        <v>695</v>
      </c>
    </row>
    <row r="306" spans="1:3" hidden="1">
      <c r="A306">
        <v>307</v>
      </c>
      <c r="B306" s="115" t="s">
        <v>696</v>
      </c>
      <c r="C306" s="115" t="s">
        <v>697</v>
      </c>
    </row>
    <row r="307" spans="1:3" hidden="1">
      <c r="A307">
        <v>308</v>
      </c>
      <c r="B307" s="115" t="s">
        <v>698</v>
      </c>
      <c r="C307" s="115" t="s">
        <v>699</v>
      </c>
    </row>
    <row r="308" spans="1:3" hidden="1">
      <c r="A308">
        <v>309</v>
      </c>
      <c r="B308" s="115" t="s">
        <v>700</v>
      </c>
      <c r="C308" s="115" t="s">
        <v>701</v>
      </c>
    </row>
    <row r="309" spans="1:3" hidden="1">
      <c r="A309">
        <v>310</v>
      </c>
      <c r="B309" s="115" t="s">
        <v>702</v>
      </c>
      <c r="C309" s="115" t="s">
        <v>703</v>
      </c>
    </row>
    <row r="310" spans="1:3" hidden="1">
      <c r="A310">
        <v>311</v>
      </c>
      <c r="B310" s="115" t="s">
        <v>704</v>
      </c>
      <c r="C310" s="115" t="s">
        <v>705</v>
      </c>
    </row>
    <row r="311" spans="1:3" hidden="1">
      <c r="A311">
        <v>312</v>
      </c>
      <c r="B311" s="115" t="s">
        <v>706</v>
      </c>
      <c r="C311" s="115" t="s">
        <v>707</v>
      </c>
    </row>
    <row r="312" spans="1:3" hidden="1">
      <c r="A312">
        <v>313</v>
      </c>
      <c r="B312" s="115" t="s">
        <v>708</v>
      </c>
      <c r="C312" s="115" t="s">
        <v>709</v>
      </c>
    </row>
    <row r="313" spans="1:3" hidden="1">
      <c r="A313">
        <v>314</v>
      </c>
      <c r="B313" s="115" t="s">
        <v>710</v>
      </c>
      <c r="C313" s="115" t="s">
        <v>711</v>
      </c>
    </row>
    <row r="314" spans="1:3" hidden="1">
      <c r="A314">
        <v>315</v>
      </c>
      <c r="B314" s="115" t="s">
        <v>712</v>
      </c>
      <c r="C314" s="115" t="s">
        <v>713</v>
      </c>
    </row>
    <row r="315" spans="1:3" hidden="1">
      <c r="A315">
        <v>316</v>
      </c>
      <c r="B315" s="115" t="s">
        <v>714</v>
      </c>
      <c r="C315" s="115" t="s">
        <v>715</v>
      </c>
    </row>
    <row r="316" spans="1:3" hidden="1">
      <c r="A316">
        <v>317</v>
      </c>
      <c r="B316" s="115" t="s">
        <v>716</v>
      </c>
      <c r="C316" s="115" t="s">
        <v>717</v>
      </c>
    </row>
    <row r="317" spans="1:3" hidden="1">
      <c r="A317">
        <v>318</v>
      </c>
      <c r="B317" s="115" t="s">
        <v>718</v>
      </c>
      <c r="C317" s="115" t="s">
        <v>719</v>
      </c>
    </row>
    <row r="318" spans="1:3" hidden="1">
      <c r="A318">
        <v>319</v>
      </c>
      <c r="B318" s="115" t="s">
        <v>720</v>
      </c>
      <c r="C318" s="115" t="s">
        <v>721</v>
      </c>
    </row>
    <row r="319" spans="1:3" hidden="1">
      <c r="A319">
        <v>320</v>
      </c>
      <c r="B319" s="115" t="s">
        <v>722</v>
      </c>
      <c r="C319" s="115" t="s">
        <v>723</v>
      </c>
    </row>
    <row r="320" spans="1:3" hidden="1">
      <c r="A320">
        <v>321</v>
      </c>
      <c r="B320" s="115" t="s">
        <v>724</v>
      </c>
      <c r="C320" s="115" t="s">
        <v>725</v>
      </c>
    </row>
    <row r="321" spans="1:3" hidden="1">
      <c r="A321">
        <v>322</v>
      </c>
      <c r="B321" s="115" t="s">
        <v>726</v>
      </c>
      <c r="C321" s="115" t="s">
        <v>727</v>
      </c>
    </row>
    <row r="322" spans="1:3" hidden="1">
      <c r="A322">
        <v>323</v>
      </c>
      <c r="B322" s="115" t="s">
        <v>728</v>
      </c>
      <c r="C322" s="115" t="s">
        <v>729</v>
      </c>
    </row>
    <row r="323" spans="1:3" hidden="1">
      <c r="A323">
        <v>324</v>
      </c>
      <c r="B323" s="115" t="s">
        <v>730</v>
      </c>
      <c r="C323" s="115" t="s">
        <v>731</v>
      </c>
    </row>
    <row r="324" spans="1:3" hidden="1">
      <c r="A324">
        <v>325</v>
      </c>
      <c r="B324" s="115" t="s">
        <v>732</v>
      </c>
      <c r="C324" s="115" t="s">
        <v>733</v>
      </c>
    </row>
    <row r="325" spans="1:3" hidden="1">
      <c r="A325">
        <v>326</v>
      </c>
      <c r="B325" s="115" t="s">
        <v>734</v>
      </c>
      <c r="C325" s="115" t="s">
        <v>735</v>
      </c>
    </row>
    <row r="326" spans="1:3" hidden="1">
      <c r="A326">
        <v>327</v>
      </c>
      <c r="B326" s="115" t="s">
        <v>736</v>
      </c>
      <c r="C326" s="115" t="s">
        <v>737</v>
      </c>
    </row>
    <row r="327" spans="1:3" hidden="1">
      <c r="A327">
        <v>328</v>
      </c>
      <c r="B327" s="115" t="s">
        <v>738</v>
      </c>
      <c r="C327" s="115" t="s">
        <v>739</v>
      </c>
    </row>
    <row r="328" spans="1:3" hidden="1">
      <c r="A328">
        <v>329</v>
      </c>
      <c r="B328" s="115" t="s">
        <v>740</v>
      </c>
      <c r="C328" s="115" t="s">
        <v>741</v>
      </c>
    </row>
    <row r="329" spans="1:3" hidden="1">
      <c r="A329">
        <v>330</v>
      </c>
      <c r="B329" s="115" t="s">
        <v>742</v>
      </c>
      <c r="C329" s="115" t="s">
        <v>743</v>
      </c>
    </row>
    <row r="330" spans="1:3" hidden="1">
      <c r="A330">
        <v>331</v>
      </c>
      <c r="B330" s="115" t="s">
        <v>744</v>
      </c>
      <c r="C330" s="115" t="s">
        <v>745</v>
      </c>
    </row>
    <row r="331" spans="1:3" hidden="1">
      <c r="A331">
        <v>332</v>
      </c>
      <c r="B331" s="115" t="s">
        <v>746</v>
      </c>
      <c r="C331" s="115" t="s">
        <v>747</v>
      </c>
    </row>
    <row r="332" spans="1:3" hidden="1">
      <c r="A332">
        <v>333</v>
      </c>
      <c r="B332" s="115" t="s">
        <v>748</v>
      </c>
      <c r="C332" s="115" t="s">
        <v>749</v>
      </c>
    </row>
    <row r="333" spans="1:3" hidden="1">
      <c r="A333">
        <v>334</v>
      </c>
      <c r="B333" s="115" t="s">
        <v>750</v>
      </c>
      <c r="C333" s="115" t="s">
        <v>751</v>
      </c>
    </row>
    <row r="334" spans="1:3" hidden="1">
      <c r="A334">
        <v>335</v>
      </c>
      <c r="B334" s="115" t="s">
        <v>752</v>
      </c>
      <c r="C334" s="115" t="s">
        <v>753</v>
      </c>
    </row>
    <row r="335" spans="1:3" hidden="1">
      <c r="A335">
        <v>336</v>
      </c>
      <c r="B335" s="115" t="s">
        <v>754</v>
      </c>
      <c r="C335" s="115" t="s">
        <v>755</v>
      </c>
    </row>
    <row r="336" spans="1:3" hidden="1">
      <c r="A336">
        <v>337</v>
      </c>
      <c r="B336" s="115" t="s">
        <v>756</v>
      </c>
      <c r="C336" s="115" t="s">
        <v>757</v>
      </c>
    </row>
    <row r="337" spans="1:3" hidden="1">
      <c r="A337">
        <v>338</v>
      </c>
      <c r="B337" s="115" t="s">
        <v>758</v>
      </c>
      <c r="C337" s="115" t="s">
        <v>759</v>
      </c>
    </row>
    <row r="338" spans="1:3" hidden="1">
      <c r="A338">
        <v>339</v>
      </c>
      <c r="B338" s="115" t="s">
        <v>760</v>
      </c>
      <c r="C338" s="115" t="s">
        <v>761</v>
      </c>
    </row>
    <row r="339" spans="1:3" hidden="1">
      <c r="A339">
        <v>340</v>
      </c>
      <c r="B339" s="115" t="s">
        <v>762</v>
      </c>
      <c r="C339" s="115" t="s">
        <v>763</v>
      </c>
    </row>
    <row r="340" spans="1:3" hidden="1">
      <c r="A340">
        <v>341</v>
      </c>
      <c r="B340" s="115" t="s">
        <v>764</v>
      </c>
      <c r="C340" s="115" t="s">
        <v>765</v>
      </c>
    </row>
    <row r="341" spans="1:3" hidden="1">
      <c r="A341">
        <v>342</v>
      </c>
      <c r="B341" s="115" t="s">
        <v>766</v>
      </c>
      <c r="C341" s="115" t="s">
        <v>767</v>
      </c>
    </row>
    <row r="342" spans="1:3" hidden="1">
      <c r="A342">
        <v>343</v>
      </c>
      <c r="B342" s="115" t="s">
        <v>768</v>
      </c>
      <c r="C342" s="115" t="s">
        <v>769</v>
      </c>
    </row>
    <row r="343" spans="1:3" hidden="1">
      <c r="A343">
        <v>344</v>
      </c>
      <c r="B343" s="115" t="s">
        <v>770</v>
      </c>
      <c r="C343" s="115" t="s">
        <v>771</v>
      </c>
    </row>
    <row r="344" spans="1:3" hidden="1">
      <c r="A344">
        <v>345</v>
      </c>
      <c r="B344" s="115" t="s">
        <v>772</v>
      </c>
      <c r="C344" s="115" t="s">
        <v>773</v>
      </c>
    </row>
    <row r="345" spans="1:3" hidden="1">
      <c r="A345">
        <v>346</v>
      </c>
      <c r="B345" s="115" t="s">
        <v>774</v>
      </c>
      <c r="C345" s="115" t="s">
        <v>775</v>
      </c>
    </row>
    <row r="346" spans="1:3" hidden="1">
      <c r="A346">
        <v>347</v>
      </c>
      <c r="B346" s="115" t="s">
        <v>776</v>
      </c>
      <c r="C346" s="115" t="s">
        <v>777</v>
      </c>
    </row>
    <row r="347" spans="1:3" hidden="1">
      <c r="A347">
        <v>348</v>
      </c>
      <c r="B347" s="115" t="s">
        <v>778</v>
      </c>
      <c r="C347" s="115" t="s">
        <v>779</v>
      </c>
    </row>
    <row r="348" spans="1:3" hidden="1">
      <c r="A348">
        <v>349</v>
      </c>
      <c r="B348" s="115" t="s">
        <v>780</v>
      </c>
      <c r="C348" s="115" t="s">
        <v>781</v>
      </c>
    </row>
    <row r="349" spans="1:3" hidden="1">
      <c r="A349">
        <v>350</v>
      </c>
      <c r="B349" s="115" t="s">
        <v>782</v>
      </c>
      <c r="C349" s="115" t="s">
        <v>783</v>
      </c>
    </row>
    <row r="350" spans="1:3" hidden="1">
      <c r="A350">
        <v>351</v>
      </c>
      <c r="B350" s="115" t="s">
        <v>784</v>
      </c>
      <c r="C350" s="115" t="s">
        <v>785</v>
      </c>
    </row>
    <row r="351" spans="1:3" hidden="1">
      <c r="A351">
        <v>352</v>
      </c>
      <c r="B351" s="115" t="s">
        <v>786</v>
      </c>
      <c r="C351" s="115" t="s">
        <v>787</v>
      </c>
    </row>
    <row r="352" spans="1:3" hidden="1">
      <c r="A352">
        <v>353</v>
      </c>
      <c r="B352" s="115" t="s">
        <v>788</v>
      </c>
      <c r="C352" s="115" t="s">
        <v>789</v>
      </c>
    </row>
    <row r="353" spans="1:3" hidden="1">
      <c r="A353">
        <v>354</v>
      </c>
      <c r="B353" s="115" t="s">
        <v>790</v>
      </c>
      <c r="C353" s="115" t="s">
        <v>791</v>
      </c>
    </row>
    <row r="354" spans="1:3" hidden="1">
      <c r="A354">
        <v>355</v>
      </c>
      <c r="B354" s="115" t="s">
        <v>792</v>
      </c>
      <c r="C354" s="115" t="s">
        <v>793</v>
      </c>
    </row>
    <row r="355" spans="1:3" hidden="1">
      <c r="A355">
        <v>356</v>
      </c>
      <c r="B355" s="115" t="s">
        <v>794</v>
      </c>
      <c r="C355" s="115" t="s">
        <v>795</v>
      </c>
    </row>
    <row r="356" spans="1:3" hidden="1">
      <c r="A356">
        <v>357</v>
      </c>
      <c r="B356" s="115" t="s">
        <v>796</v>
      </c>
      <c r="C356" s="115" t="s">
        <v>797</v>
      </c>
    </row>
    <row r="357" spans="1:3" hidden="1">
      <c r="A357">
        <v>358</v>
      </c>
      <c r="B357" s="115" t="s">
        <v>798</v>
      </c>
      <c r="C357" s="115" t="s">
        <v>799</v>
      </c>
    </row>
    <row r="358" spans="1:3" hidden="1">
      <c r="A358">
        <v>359</v>
      </c>
      <c r="B358" s="115" t="s">
        <v>800</v>
      </c>
      <c r="C358" s="115" t="s">
        <v>801</v>
      </c>
    </row>
    <row r="359" spans="1:3" hidden="1">
      <c r="A359">
        <v>360</v>
      </c>
      <c r="B359" s="115" t="s">
        <v>802</v>
      </c>
      <c r="C359" s="115" t="s">
        <v>803</v>
      </c>
    </row>
    <row r="360" spans="1:3" hidden="1">
      <c r="A360">
        <v>361</v>
      </c>
      <c r="B360" s="115" t="s">
        <v>804</v>
      </c>
      <c r="C360" s="115" t="s">
        <v>805</v>
      </c>
    </row>
    <row r="361" spans="1:3" hidden="1">
      <c r="A361">
        <v>362</v>
      </c>
      <c r="B361" s="115" t="s">
        <v>806</v>
      </c>
      <c r="C361" s="115" t="s">
        <v>807</v>
      </c>
    </row>
    <row r="362" spans="1:3" hidden="1">
      <c r="A362">
        <v>363</v>
      </c>
      <c r="B362" s="115" t="s">
        <v>808</v>
      </c>
      <c r="C362" s="115" t="s">
        <v>809</v>
      </c>
    </row>
    <row r="363" spans="1:3" hidden="1">
      <c r="A363">
        <v>364</v>
      </c>
      <c r="B363" s="115" t="s">
        <v>810</v>
      </c>
      <c r="C363" s="115" t="s">
        <v>811</v>
      </c>
    </row>
    <row r="364" spans="1:3" hidden="1">
      <c r="A364">
        <v>365</v>
      </c>
      <c r="B364" s="115" t="s">
        <v>812</v>
      </c>
      <c r="C364" s="115" t="s">
        <v>813</v>
      </c>
    </row>
    <row r="365" spans="1:3" hidden="1">
      <c r="A365">
        <v>366</v>
      </c>
      <c r="B365" s="115" t="s">
        <v>814</v>
      </c>
      <c r="C365" s="115" t="s">
        <v>815</v>
      </c>
    </row>
    <row r="366" spans="1:3" hidden="1">
      <c r="A366">
        <v>367</v>
      </c>
      <c r="B366" s="115" t="s">
        <v>816</v>
      </c>
      <c r="C366" s="115" t="s">
        <v>817</v>
      </c>
    </row>
    <row r="367" spans="1:3" hidden="1">
      <c r="A367">
        <v>368</v>
      </c>
      <c r="B367" s="115" t="s">
        <v>818</v>
      </c>
      <c r="C367" s="115" t="s">
        <v>819</v>
      </c>
    </row>
    <row r="368" spans="1:3" hidden="1">
      <c r="A368">
        <v>369</v>
      </c>
      <c r="B368" s="115" t="s">
        <v>820</v>
      </c>
      <c r="C368" s="115" t="s">
        <v>821</v>
      </c>
    </row>
    <row r="369" spans="1:3" hidden="1">
      <c r="A369">
        <v>370</v>
      </c>
      <c r="B369" s="115" t="s">
        <v>822</v>
      </c>
      <c r="C369" s="115" t="s">
        <v>823</v>
      </c>
    </row>
    <row r="370" spans="1:3" hidden="1">
      <c r="A370">
        <v>371</v>
      </c>
      <c r="B370" s="115" t="s">
        <v>824</v>
      </c>
      <c r="C370" s="115" t="s">
        <v>825</v>
      </c>
    </row>
    <row r="371" spans="1:3" hidden="1">
      <c r="A371">
        <v>372</v>
      </c>
      <c r="B371" s="115" t="s">
        <v>826</v>
      </c>
      <c r="C371" s="115" t="s">
        <v>827</v>
      </c>
    </row>
    <row r="372" spans="1:3" hidden="1">
      <c r="A372">
        <v>373</v>
      </c>
      <c r="B372" s="115" t="s">
        <v>828</v>
      </c>
      <c r="C372" s="115" t="s">
        <v>829</v>
      </c>
    </row>
    <row r="373" spans="1:3" hidden="1">
      <c r="A373">
        <v>374</v>
      </c>
      <c r="B373" s="115" t="s">
        <v>830</v>
      </c>
      <c r="C373" s="115" t="s">
        <v>831</v>
      </c>
    </row>
    <row r="374" spans="1:3" hidden="1">
      <c r="A374">
        <v>375</v>
      </c>
      <c r="B374" s="115" t="s">
        <v>832</v>
      </c>
      <c r="C374" s="115" t="s">
        <v>833</v>
      </c>
    </row>
    <row r="375" spans="1:3" hidden="1">
      <c r="A375">
        <v>376</v>
      </c>
      <c r="B375" s="115" t="s">
        <v>834</v>
      </c>
      <c r="C375" s="115" t="s">
        <v>835</v>
      </c>
    </row>
    <row r="376" spans="1:3" hidden="1">
      <c r="A376">
        <v>377</v>
      </c>
      <c r="B376" s="115" t="s">
        <v>836</v>
      </c>
      <c r="C376" s="115" t="s">
        <v>837</v>
      </c>
    </row>
    <row r="377" spans="1:3" hidden="1">
      <c r="A377">
        <v>378</v>
      </c>
      <c r="B377" s="115" t="s">
        <v>838</v>
      </c>
      <c r="C377" s="115" t="s">
        <v>839</v>
      </c>
    </row>
    <row r="378" spans="1:3" hidden="1">
      <c r="A378">
        <v>379</v>
      </c>
      <c r="B378" s="115" t="s">
        <v>840</v>
      </c>
      <c r="C378" s="115" t="s">
        <v>841</v>
      </c>
    </row>
    <row r="379" spans="1:3" hidden="1">
      <c r="A379">
        <v>380</v>
      </c>
      <c r="B379" s="115" t="s">
        <v>842</v>
      </c>
      <c r="C379" s="115" t="s">
        <v>843</v>
      </c>
    </row>
    <row r="380" spans="1:3" hidden="1">
      <c r="A380">
        <v>381</v>
      </c>
      <c r="B380" s="115" t="s">
        <v>844</v>
      </c>
      <c r="C380" s="115" t="s">
        <v>845</v>
      </c>
    </row>
    <row r="381" spans="1:3" hidden="1">
      <c r="A381">
        <v>382</v>
      </c>
      <c r="B381" s="115" t="s">
        <v>846</v>
      </c>
      <c r="C381" s="115" t="s">
        <v>847</v>
      </c>
    </row>
    <row r="382" spans="1:3" hidden="1">
      <c r="A382">
        <v>383</v>
      </c>
      <c r="B382" s="115" t="s">
        <v>848</v>
      </c>
      <c r="C382" s="115" t="s">
        <v>849</v>
      </c>
    </row>
    <row r="383" spans="1:3" hidden="1">
      <c r="A383">
        <v>384</v>
      </c>
      <c r="B383" s="115" t="s">
        <v>850</v>
      </c>
      <c r="C383" s="115" t="s">
        <v>851</v>
      </c>
    </row>
    <row r="384" spans="1:3" hidden="1">
      <c r="A384">
        <v>385</v>
      </c>
      <c r="B384" s="115" t="s">
        <v>852</v>
      </c>
      <c r="C384" s="115" t="s">
        <v>853</v>
      </c>
    </row>
    <row r="385" spans="1:3" hidden="1">
      <c r="A385">
        <v>386</v>
      </c>
      <c r="B385" s="115" t="s">
        <v>854</v>
      </c>
      <c r="C385" s="115" t="s">
        <v>855</v>
      </c>
    </row>
    <row r="386" spans="1:3" hidden="1">
      <c r="A386">
        <v>387</v>
      </c>
      <c r="B386" s="115" t="s">
        <v>856</v>
      </c>
      <c r="C386" s="115" t="s">
        <v>857</v>
      </c>
    </row>
    <row r="387" spans="1:3" hidden="1">
      <c r="A387">
        <v>388</v>
      </c>
      <c r="B387" s="115" t="s">
        <v>858</v>
      </c>
      <c r="C387" s="115" t="s">
        <v>859</v>
      </c>
    </row>
    <row r="388" spans="1:3" hidden="1">
      <c r="A388">
        <v>389</v>
      </c>
      <c r="B388" s="115" t="s">
        <v>860</v>
      </c>
      <c r="C388" s="115" t="s">
        <v>861</v>
      </c>
    </row>
    <row r="389" spans="1:3" hidden="1">
      <c r="A389">
        <v>390</v>
      </c>
      <c r="B389" s="115" t="s">
        <v>862</v>
      </c>
      <c r="C389" s="115" t="s">
        <v>863</v>
      </c>
    </row>
    <row r="390" spans="1:3" hidden="1">
      <c r="A390">
        <v>391</v>
      </c>
      <c r="B390" s="115" t="s">
        <v>864</v>
      </c>
      <c r="C390" s="115" t="s">
        <v>865</v>
      </c>
    </row>
    <row r="391" spans="1:3" hidden="1">
      <c r="A391">
        <v>392</v>
      </c>
      <c r="B391" s="115" t="s">
        <v>866</v>
      </c>
      <c r="C391" s="115" t="s">
        <v>867</v>
      </c>
    </row>
    <row r="392" spans="1:3" hidden="1">
      <c r="A392">
        <v>393</v>
      </c>
      <c r="B392" s="115" t="s">
        <v>868</v>
      </c>
      <c r="C392" s="115" t="s">
        <v>869</v>
      </c>
    </row>
    <row r="393" spans="1:3" hidden="1">
      <c r="A393">
        <v>394</v>
      </c>
      <c r="B393" s="115" t="s">
        <v>870</v>
      </c>
      <c r="C393" s="115" t="s">
        <v>783</v>
      </c>
    </row>
    <row r="394" spans="1:3" hidden="1">
      <c r="A394">
        <v>395</v>
      </c>
      <c r="B394" s="115" t="s">
        <v>871</v>
      </c>
      <c r="C394" s="115" t="s">
        <v>872</v>
      </c>
    </row>
    <row r="395" spans="1:3" hidden="1">
      <c r="A395">
        <v>396</v>
      </c>
      <c r="B395" s="115" t="s">
        <v>873</v>
      </c>
      <c r="C395" s="115" t="s">
        <v>874</v>
      </c>
    </row>
    <row r="396" spans="1:3" hidden="1">
      <c r="A396">
        <v>397</v>
      </c>
      <c r="B396" s="115" t="s">
        <v>875</v>
      </c>
      <c r="C396" s="115" t="s">
        <v>876</v>
      </c>
    </row>
    <row r="397" spans="1:3" hidden="1">
      <c r="A397">
        <v>398</v>
      </c>
      <c r="B397" s="115" t="s">
        <v>877</v>
      </c>
      <c r="C397" s="115" t="s">
        <v>878</v>
      </c>
    </row>
    <row r="398" spans="1:3" hidden="1">
      <c r="A398">
        <v>399</v>
      </c>
      <c r="B398" s="115" t="s">
        <v>879</v>
      </c>
      <c r="C398" s="115" t="s">
        <v>880</v>
      </c>
    </row>
    <row r="399" spans="1:3" hidden="1">
      <c r="A399">
        <v>400</v>
      </c>
      <c r="B399" s="115" t="s">
        <v>881</v>
      </c>
      <c r="C399" s="115" t="s">
        <v>882</v>
      </c>
    </row>
    <row r="400" spans="1:3" hidden="1">
      <c r="A400">
        <v>401</v>
      </c>
      <c r="B400" s="115" t="s">
        <v>883</v>
      </c>
      <c r="C400" s="115" t="s">
        <v>884</v>
      </c>
    </row>
    <row r="401" spans="1:3" hidden="1">
      <c r="A401">
        <v>402</v>
      </c>
      <c r="B401" s="115" t="s">
        <v>885</v>
      </c>
      <c r="C401" s="115" t="s">
        <v>886</v>
      </c>
    </row>
    <row r="402" spans="1:3" hidden="1">
      <c r="A402">
        <v>403</v>
      </c>
      <c r="B402" s="115" t="s">
        <v>887</v>
      </c>
      <c r="C402" s="115" t="s">
        <v>888</v>
      </c>
    </row>
    <row r="403" spans="1:3" hidden="1">
      <c r="A403">
        <v>404</v>
      </c>
      <c r="B403" s="115" t="s">
        <v>889</v>
      </c>
      <c r="C403" s="115" t="s">
        <v>890</v>
      </c>
    </row>
    <row r="404" spans="1:3" hidden="1">
      <c r="A404">
        <v>405</v>
      </c>
      <c r="B404" s="115" t="s">
        <v>891</v>
      </c>
      <c r="C404" s="115" t="s">
        <v>892</v>
      </c>
    </row>
    <row r="405" spans="1:3" hidden="1">
      <c r="A405">
        <v>406</v>
      </c>
      <c r="B405" s="115" t="s">
        <v>893</v>
      </c>
      <c r="C405" s="115" t="s">
        <v>894</v>
      </c>
    </row>
    <row r="406" spans="1:3" hidden="1">
      <c r="A406">
        <v>407</v>
      </c>
      <c r="B406" s="115" t="s">
        <v>895</v>
      </c>
      <c r="C406" s="115" t="s">
        <v>896</v>
      </c>
    </row>
    <row r="407" spans="1:3" hidden="1">
      <c r="A407">
        <v>408</v>
      </c>
      <c r="B407" s="115" t="s">
        <v>897</v>
      </c>
      <c r="C407" s="115" t="s">
        <v>898</v>
      </c>
    </row>
    <row r="408" spans="1:3" hidden="1">
      <c r="A408">
        <v>409</v>
      </c>
      <c r="B408" s="115" t="s">
        <v>899</v>
      </c>
      <c r="C408" s="115" t="s">
        <v>900</v>
      </c>
    </row>
    <row r="409" spans="1:3" hidden="1">
      <c r="A409">
        <v>410</v>
      </c>
      <c r="B409" s="115" t="s">
        <v>901</v>
      </c>
      <c r="C409" s="115" t="s">
        <v>606</v>
      </c>
    </row>
    <row r="410" spans="1:3" hidden="1">
      <c r="A410">
        <v>411</v>
      </c>
      <c r="B410" s="115" t="s">
        <v>902</v>
      </c>
      <c r="C410" s="115" t="s">
        <v>903</v>
      </c>
    </row>
    <row r="411" spans="1:3" hidden="1">
      <c r="A411">
        <v>412</v>
      </c>
      <c r="B411" s="115" t="s">
        <v>904</v>
      </c>
      <c r="C411" s="115" t="s">
        <v>905</v>
      </c>
    </row>
    <row r="412" spans="1:3" hidden="1">
      <c r="A412">
        <v>413</v>
      </c>
      <c r="B412" s="115" t="s">
        <v>906</v>
      </c>
      <c r="C412" s="115" t="s">
        <v>907</v>
      </c>
    </row>
    <row r="413" spans="1:3" hidden="1">
      <c r="A413">
        <v>414</v>
      </c>
      <c r="B413" s="115" t="s">
        <v>908</v>
      </c>
      <c r="C413" s="115" t="s">
        <v>909</v>
      </c>
    </row>
    <row r="414" spans="1:3" hidden="1">
      <c r="A414">
        <v>415</v>
      </c>
      <c r="B414" s="115" t="s">
        <v>910</v>
      </c>
      <c r="C414" s="115" t="s">
        <v>911</v>
      </c>
    </row>
    <row r="415" spans="1:3" hidden="1">
      <c r="A415">
        <v>416</v>
      </c>
      <c r="B415" s="115" t="s">
        <v>912</v>
      </c>
      <c r="C415" s="115" t="s">
        <v>913</v>
      </c>
    </row>
    <row r="416" spans="1:3" hidden="1">
      <c r="A416">
        <v>417</v>
      </c>
      <c r="B416" s="115" t="s">
        <v>914</v>
      </c>
      <c r="C416" s="115" t="s">
        <v>915</v>
      </c>
    </row>
    <row r="417" spans="1:3" hidden="1">
      <c r="A417">
        <v>418</v>
      </c>
      <c r="B417" s="115" t="s">
        <v>916</v>
      </c>
      <c r="C417" s="115" t="s">
        <v>917</v>
      </c>
    </row>
    <row r="418" spans="1:3" hidden="1">
      <c r="A418">
        <v>419</v>
      </c>
      <c r="B418" s="115" t="s">
        <v>918</v>
      </c>
      <c r="C418" s="115" t="s">
        <v>919</v>
      </c>
    </row>
    <row r="419" spans="1:3" hidden="1">
      <c r="A419">
        <v>420</v>
      </c>
      <c r="B419" s="115" t="s">
        <v>920</v>
      </c>
      <c r="C419" s="115" t="s">
        <v>921</v>
      </c>
    </row>
    <row r="420" spans="1:3" hidden="1">
      <c r="A420">
        <v>421</v>
      </c>
      <c r="B420" s="115" t="s">
        <v>922</v>
      </c>
      <c r="C420" s="115" t="s">
        <v>923</v>
      </c>
    </row>
    <row r="421" spans="1:3" hidden="1">
      <c r="A421">
        <v>422</v>
      </c>
      <c r="B421" s="115" t="s">
        <v>924</v>
      </c>
      <c r="C421" s="115" t="s">
        <v>925</v>
      </c>
    </row>
    <row r="422" spans="1:3" hidden="1">
      <c r="A422">
        <v>423</v>
      </c>
      <c r="B422" s="115" t="s">
        <v>926</v>
      </c>
      <c r="C422" s="115" t="s">
        <v>927</v>
      </c>
    </row>
    <row r="423" spans="1:3" hidden="1">
      <c r="A423">
        <v>424</v>
      </c>
      <c r="B423" s="115" t="s">
        <v>928</v>
      </c>
      <c r="C423" s="115" t="s">
        <v>929</v>
      </c>
    </row>
    <row r="424" spans="1:3" hidden="1">
      <c r="A424">
        <v>425</v>
      </c>
      <c r="B424" s="115" t="s">
        <v>930</v>
      </c>
      <c r="C424" s="115" t="s">
        <v>931</v>
      </c>
    </row>
    <row r="425" spans="1:3" hidden="1">
      <c r="A425">
        <v>426</v>
      </c>
      <c r="B425" s="115" t="s">
        <v>932</v>
      </c>
      <c r="C425" s="115" t="s">
        <v>933</v>
      </c>
    </row>
    <row r="426" spans="1:3" hidden="1">
      <c r="A426">
        <v>427</v>
      </c>
      <c r="B426" s="115" t="s">
        <v>934</v>
      </c>
      <c r="C426" s="115" t="s">
        <v>935</v>
      </c>
    </row>
    <row r="427" spans="1:3" hidden="1">
      <c r="A427">
        <v>428</v>
      </c>
      <c r="B427" s="115" t="s">
        <v>936</v>
      </c>
      <c r="C427" s="115" t="s">
        <v>937</v>
      </c>
    </row>
    <row r="428" spans="1:3" hidden="1">
      <c r="A428">
        <v>429</v>
      </c>
      <c r="B428" s="115" t="s">
        <v>938</v>
      </c>
      <c r="C428" s="115" t="s">
        <v>939</v>
      </c>
    </row>
    <row r="429" spans="1:3" hidden="1">
      <c r="A429">
        <v>430</v>
      </c>
      <c r="B429" s="115" t="s">
        <v>940</v>
      </c>
      <c r="C429" s="115" t="s">
        <v>941</v>
      </c>
    </row>
    <row r="430" spans="1:3" hidden="1">
      <c r="A430">
        <v>431</v>
      </c>
      <c r="B430" s="115" t="s">
        <v>942</v>
      </c>
      <c r="C430" s="115" t="s">
        <v>943</v>
      </c>
    </row>
    <row r="431" spans="1:3" hidden="1">
      <c r="A431">
        <v>432</v>
      </c>
      <c r="B431" s="115" t="s">
        <v>944</v>
      </c>
      <c r="C431" s="115" t="s">
        <v>945</v>
      </c>
    </row>
    <row r="432" spans="1:3" hidden="1">
      <c r="A432">
        <v>433</v>
      </c>
      <c r="B432" s="115" t="s">
        <v>946</v>
      </c>
      <c r="C432" s="115" t="s">
        <v>947</v>
      </c>
    </row>
    <row r="433" spans="1:3" hidden="1">
      <c r="A433">
        <v>434</v>
      </c>
      <c r="B433" s="115" t="s">
        <v>948</v>
      </c>
      <c r="C433" s="115" t="s">
        <v>949</v>
      </c>
    </row>
    <row r="434" spans="1:3" hidden="1">
      <c r="A434">
        <v>435</v>
      </c>
      <c r="B434" s="115" t="s">
        <v>950</v>
      </c>
      <c r="C434" s="115" t="s">
        <v>951</v>
      </c>
    </row>
    <row r="435" spans="1:3" hidden="1">
      <c r="A435">
        <v>436</v>
      </c>
      <c r="B435" s="115" t="s">
        <v>952</v>
      </c>
      <c r="C435" s="115" t="s">
        <v>953</v>
      </c>
    </row>
    <row r="436" spans="1:3" hidden="1">
      <c r="A436">
        <v>437</v>
      </c>
      <c r="B436" s="115" t="s">
        <v>954</v>
      </c>
      <c r="C436" s="115" t="s">
        <v>955</v>
      </c>
    </row>
    <row r="437" spans="1:3" hidden="1">
      <c r="A437">
        <v>438</v>
      </c>
      <c r="B437" s="115" t="s">
        <v>956</v>
      </c>
      <c r="C437" s="115" t="s">
        <v>957</v>
      </c>
    </row>
    <row r="438" spans="1:3" hidden="1">
      <c r="A438">
        <v>439</v>
      </c>
      <c r="B438" s="115" t="s">
        <v>958</v>
      </c>
      <c r="C438" s="115" t="s">
        <v>959</v>
      </c>
    </row>
    <row r="439" spans="1:3" hidden="1">
      <c r="A439">
        <v>440</v>
      </c>
      <c r="B439" s="115" t="s">
        <v>960</v>
      </c>
      <c r="C439" s="115" t="s">
        <v>961</v>
      </c>
    </row>
    <row r="440" spans="1:3" hidden="1">
      <c r="A440">
        <v>441</v>
      </c>
      <c r="B440" s="115" t="s">
        <v>962</v>
      </c>
      <c r="C440" s="115" t="s">
        <v>963</v>
      </c>
    </row>
    <row r="441" spans="1:3" hidden="1">
      <c r="A441">
        <v>442</v>
      </c>
      <c r="B441" s="115" t="s">
        <v>964</v>
      </c>
      <c r="C441" s="115" t="s">
        <v>965</v>
      </c>
    </row>
    <row r="442" spans="1:3" hidden="1">
      <c r="A442">
        <v>443</v>
      </c>
      <c r="B442" s="115" t="s">
        <v>966</v>
      </c>
      <c r="C442" s="115" t="s">
        <v>967</v>
      </c>
    </row>
    <row r="443" spans="1:3" hidden="1">
      <c r="A443">
        <v>444</v>
      </c>
      <c r="B443" s="115" t="s">
        <v>968</v>
      </c>
      <c r="C443" s="115" t="s">
        <v>969</v>
      </c>
    </row>
    <row r="444" spans="1:3" hidden="1">
      <c r="A444">
        <v>445</v>
      </c>
      <c r="B444" s="115" t="s">
        <v>970</v>
      </c>
      <c r="C444" s="115" t="s">
        <v>971</v>
      </c>
    </row>
    <row r="445" spans="1:3" hidden="1">
      <c r="A445">
        <v>446</v>
      </c>
      <c r="B445" s="115" t="s">
        <v>972</v>
      </c>
      <c r="C445" s="115" t="s">
        <v>973</v>
      </c>
    </row>
    <row r="446" spans="1:3" hidden="1">
      <c r="A446">
        <v>447</v>
      </c>
      <c r="B446" s="115" t="s">
        <v>974</v>
      </c>
      <c r="C446" s="115" t="s">
        <v>975</v>
      </c>
    </row>
    <row r="447" spans="1:3" hidden="1">
      <c r="A447">
        <v>448</v>
      </c>
      <c r="B447" s="115" t="s">
        <v>976</v>
      </c>
      <c r="C447" s="115" t="s">
        <v>977</v>
      </c>
    </row>
    <row r="448" spans="1:3" hidden="1">
      <c r="A448">
        <v>449</v>
      </c>
      <c r="B448" s="115" t="s">
        <v>978</v>
      </c>
      <c r="C448" s="115" t="s">
        <v>979</v>
      </c>
    </row>
    <row r="449" spans="1:3" hidden="1">
      <c r="A449">
        <v>450</v>
      </c>
      <c r="B449" s="115" t="s">
        <v>980</v>
      </c>
      <c r="C449" s="115" t="s">
        <v>981</v>
      </c>
    </row>
    <row r="450" spans="1:3" hidden="1">
      <c r="A450">
        <v>451</v>
      </c>
      <c r="B450" s="115" t="s">
        <v>982</v>
      </c>
      <c r="C450" s="115" t="s">
        <v>983</v>
      </c>
    </row>
    <row r="451" spans="1:3" hidden="1">
      <c r="A451">
        <v>452</v>
      </c>
      <c r="B451" s="115" t="s">
        <v>984</v>
      </c>
      <c r="C451" s="115" t="s">
        <v>985</v>
      </c>
    </row>
    <row r="452" spans="1:3" hidden="1">
      <c r="A452">
        <v>453</v>
      </c>
      <c r="B452" s="115" t="s">
        <v>986</v>
      </c>
      <c r="C452" s="115" t="s">
        <v>987</v>
      </c>
    </row>
    <row r="453" spans="1:3" hidden="1">
      <c r="A453">
        <v>454</v>
      </c>
      <c r="B453" s="115" t="s">
        <v>988</v>
      </c>
      <c r="C453" s="115" t="s">
        <v>989</v>
      </c>
    </row>
    <row r="454" spans="1:3" hidden="1">
      <c r="A454">
        <v>455</v>
      </c>
      <c r="B454" s="115" t="s">
        <v>990</v>
      </c>
      <c r="C454" s="115" t="s">
        <v>991</v>
      </c>
    </row>
    <row r="455" spans="1:3" hidden="1">
      <c r="A455">
        <v>456</v>
      </c>
      <c r="B455" s="115" t="s">
        <v>992</v>
      </c>
      <c r="C455" s="115" t="s">
        <v>993</v>
      </c>
    </row>
    <row r="456" spans="1:3" hidden="1">
      <c r="A456">
        <v>457</v>
      </c>
      <c r="B456" s="115" t="s">
        <v>994</v>
      </c>
      <c r="C456" s="115" t="s">
        <v>995</v>
      </c>
    </row>
    <row r="457" spans="1:3" hidden="1">
      <c r="A457">
        <v>458</v>
      </c>
      <c r="B457" s="115" t="s">
        <v>82</v>
      </c>
      <c r="C457" s="115" t="s">
        <v>996</v>
      </c>
    </row>
    <row r="458" spans="1:3" hidden="1">
      <c r="A458">
        <v>459</v>
      </c>
      <c r="B458" s="115" t="s">
        <v>997</v>
      </c>
      <c r="C458" s="115" t="s">
        <v>998</v>
      </c>
    </row>
    <row r="459" spans="1:3" hidden="1">
      <c r="A459">
        <v>460</v>
      </c>
      <c r="B459" s="115" t="s">
        <v>999</v>
      </c>
      <c r="C459" s="115" t="s">
        <v>1000</v>
      </c>
    </row>
    <row r="460" spans="1:3" hidden="1">
      <c r="A460">
        <v>461</v>
      </c>
      <c r="B460" s="115" t="s">
        <v>1001</v>
      </c>
      <c r="C460" s="115" t="s">
        <v>324</v>
      </c>
    </row>
    <row r="461" spans="1:3" hidden="1">
      <c r="A461">
        <v>462</v>
      </c>
      <c r="B461" s="115" t="s">
        <v>1002</v>
      </c>
      <c r="C461" s="115" t="s">
        <v>1003</v>
      </c>
    </row>
    <row r="462" spans="1:3" hidden="1">
      <c r="A462">
        <v>463</v>
      </c>
      <c r="B462" s="115" t="s">
        <v>1004</v>
      </c>
      <c r="C462" s="115" t="s">
        <v>1005</v>
      </c>
    </row>
    <row r="463" spans="1:3" hidden="1">
      <c r="A463">
        <v>465</v>
      </c>
      <c r="B463" s="115" t="s">
        <v>1007</v>
      </c>
      <c r="C463" s="115" t="s">
        <v>1008</v>
      </c>
    </row>
    <row r="464" spans="1:3" hidden="1">
      <c r="A464">
        <v>466</v>
      </c>
      <c r="B464" s="115" t="s">
        <v>1009</v>
      </c>
      <c r="C464" s="115" t="s">
        <v>1010</v>
      </c>
    </row>
    <row r="465" spans="1:3" hidden="1">
      <c r="A465">
        <v>467</v>
      </c>
      <c r="B465" s="115" t="s">
        <v>1011</v>
      </c>
      <c r="C465" s="115" t="s">
        <v>1012</v>
      </c>
    </row>
    <row r="466" spans="1:3" hidden="1">
      <c r="A466">
        <v>468</v>
      </c>
      <c r="B466" s="115" t="s">
        <v>1013</v>
      </c>
      <c r="C466" s="115" t="s">
        <v>1014</v>
      </c>
    </row>
    <row r="467" spans="1:3" hidden="1">
      <c r="A467">
        <v>469</v>
      </c>
      <c r="B467" s="115" t="s">
        <v>1015</v>
      </c>
      <c r="C467" s="115" t="s">
        <v>1016</v>
      </c>
    </row>
    <row r="468" spans="1:3" hidden="1">
      <c r="A468">
        <v>470</v>
      </c>
      <c r="B468" s="115" t="s">
        <v>1017</v>
      </c>
      <c r="C468" s="115" t="s">
        <v>1018</v>
      </c>
    </row>
    <row r="469" spans="1:3" hidden="1">
      <c r="A469">
        <v>471</v>
      </c>
      <c r="B469" s="115" t="s">
        <v>1019</v>
      </c>
      <c r="C469" s="115" t="s">
        <v>1020</v>
      </c>
    </row>
    <row r="470" spans="1:3" hidden="1">
      <c r="A470">
        <v>472</v>
      </c>
      <c r="B470" s="115" t="s">
        <v>1021</v>
      </c>
      <c r="C470" s="115" t="s">
        <v>1022</v>
      </c>
    </row>
    <row r="471" spans="1:3" hidden="1">
      <c r="A471">
        <v>473</v>
      </c>
      <c r="B471" s="115" t="s">
        <v>1023</v>
      </c>
      <c r="C471" s="115" t="s">
        <v>1024</v>
      </c>
    </row>
    <row r="472" spans="1:3" hidden="1">
      <c r="A472">
        <v>474</v>
      </c>
      <c r="B472" s="115" t="s">
        <v>1025</v>
      </c>
      <c r="C472" s="115" t="s">
        <v>1026</v>
      </c>
    </row>
    <row r="473" spans="1:3" hidden="1">
      <c r="A473">
        <v>475</v>
      </c>
      <c r="B473" s="115" t="s">
        <v>1027</v>
      </c>
      <c r="C473" s="115" t="s">
        <v>1028</v>
      </c>
    </row>
    <row r="474" spans="1:3" hidden="1">
      <c r="A474">
        <v>476</v>
      </c>
      <c r="B474" s="115" t="s">
        <v>1029</v>
      </c>
      <c r="C474" s="115" t="s">
        <v>1030</v>
      </c>
    </row>
    <row r="475" spans="1:3" hidden="1">
      <c r="A475">
        <v>477</v>
      </c>
      <c r="B475" s="115" t="s">
        <v>1031</v>
      </c>
      <c r="C475" s="115" t="s">
        <v>1032</v>
      </c>
    </row>
    <row r="476" spans="1:3" hidden="1">
      <c r="A476">
        <v>478</v>
      </c>
      <c r="B476" s="115" t="s">
        <v>1033</v>
      </c>
      <c r="C476" s="115" t="s">
        <v>1034</v>
      </c>
    </row>
    <row r="477" spans="1:3" hidden="1">
      <c r="A477">
        <v>479</v>
      </c>
      <c r="B477" s="115" t="s">
        <v>1035</v>
      </c>
      <c r="C477" s="115" t="s">
        <v>1036</v>
      </c>
    </row>
    <row r="478" spans="1:3" hidden="1">
      <c r="A478">
        <v>480</v>
      </c>
      <c r="B478" s="115" t="s">
        <v>1037</v>
      </c>
      <c r="C478" s="115" t="s">
        <v>1038</v>
      </c>
    </row>
    <row r="479" spans="1:3" hidden="1">
      <c r="A479">
        <v>481</v>
      </c>
      <c r="B479" s="115" t="s">
        <v>1039</v>
      </c>
      <c r="C479" s="115" t="s">
        <v>1040</v>
      </c>
    </row>
    <row r="480" spans="1:3" hidden="1">
      <c r="A480">
        <v>482</v>
      </c>
      <c r="B480" s="115" t="s">
        <v>1041</v>
      </c>
      <c r="C480" s="115" t="s">
        <v>1042</v>
      </c>
    </row>
    <row r="481" spans="1:3" hidden="1">
      <c r="A481">
        <v>483</v>
      </c>
      <c r="B481" s="115" t="s">
        <v>1043</v>
      </c>
      <c r="C481" s="115" t="s">
        <v>1044</v>
      </c>
    </row>
    <row r="482" spans="1:3" hidden="1">
      <c r="A482">
        <v>484</v>
      </c>
      <c r="B482" s="115" t="s">
        <v>1045</v>
      </c>
      <c r="C482" s="115" t="s">
        <v>1046</v>
      </c>
    </row>
    <row r="483" spans="1:3" hidden="1">
      <c r="A483">
        <v>485</v>
      </c>
      <c r="B483" s="115" t="s">
        <v>1047</v>
      </c>
      <c r="C483" s="115" t="s">
        <v>1048</v>
      </c>
    </row>
    <row r="484" spans="1:3" hidden="1">
      <c r="A484">
        <v>486</v>
      </c>
      <c r="B484" s="115" t="s">
        <v>1049</v>
      </c>
      <c r="C484" s="115" t="s">
        <v>1050</v>
      </c>
    </row>
    <row r="485" spans="1:3" hidden="1">
      <c r="A485">
        <v>487</v>
      </c>
      <c r="B485" s="115" t="s">
        <v>1051</v>
      </c>
      <c r="C485" s="115" t="s">
        <v>1052</v>
      </c>
    </row>
    <row r="486" spans="1:3" hidden="1">
      <c r="A486">
        <v>488</v>
      </c>
      <c r="B486" s="115" t="s">
        <v>1053</v>
      </c>
      <c r="C486" s="115" t="s">
        <v>1054</v>
      </c>
    </row>
    <row r="487" spans="1:3" hidden="1">
      <c r="A487">
        <v>489</v>
      </c>
      <c r="B487" s="115" t="s">
        <v>1055</v>
      </c>
      <c r="C487" s="115" t="s">
        <v>1056</v>
      </c>
    </row>
    <row r="488" spans="1:3" hidden="1">
      <c r="A488">
        <v>490</v>
      </c>
      <c r="B488" s="115" t="s">
        <v>1057</v>
      </c>
      <c r="C488" s="115" t="s">
        <v>1058</v>
      </c>
    </row>
    <row r="489" spans="1:3" hidden="1">
      <c r="A489">
        <v>491</v>
      </c>
      <c r="B489" s="115" t="s">
        <v>1059</v>
      </c>
      <c r="C489" s="115" t="s">
        <v>1060</v>
      </c>
    </row>
    <row r="490" spans="1:3" hidden="1">
      <c r="A490">
        <v>492</v>
      </c>
      <c r="B490" s="115" t="s">
        <v>1061</v>
      </c>
      <c r="C490" s="115" t="s">
        <v>1062</v>
      </c>
    </row>
    <row r="491" spans="1:3" hidden="1">
      <c r="A491">
        <v>493</v>
      </c>
      <c r="B491" s="115" t="s">
        <v>1063</v>
      </c>
      <c r="C491" s="115" t="s">
        <v>1064</v>
      </c>
    </row>
    <row r="492" spans="1:3" hidden="1">
      <c r="A492">
        <v>494</v>
      </c>
      <c r="B492" s="115" t="s">
        <v>1065</v>
      </c>
      <c r="C492" s="115" t="s">
        <v>1066</v>
      </c>
    </row>
    <row r="493" spans="1:3" hidden="1">
      <c r="A493">
        <v>495</v>
      </c>
      <c r="B493" s="115" t="s">
        <v>1067</v>
      </c>
      <c r="C493" s="115" t="s">
        <v>1068</v>
      </c>
    </row>
    <row r="494" spans="1:3" hidden="1">
      <c r="A494">
        <v>496</v>
      </c>
      <c r="B494" s="115" t="s">
        <v>1069</v>
      </c>
      <c r="C494" s="115" t="s">
        <v>1070</v>
      </c>
    </row>
    <row r="495" spans="1:3" hidden="1">
      <c r="A495">
        <v>497</v>
      </c>
      <c r="B495" s="115" t="s">
        <v>1071</v>
      </c>
      <c r="C495" s="115" t="s">
        <v>1072</v>
      </c>
    </row>
    <row r="496" spans="1:3" hidden="1">
      <c r="A496">
        <v>498</v>
      </c>
      <c r="B496" s="115" t="s">
        <v>1073</v>
      </c>
      <c r="C496" s="115" t="s">
        <v>1074</v>
      </c>
    </row>
    <row r="497" spans="1:3" hidden="1">
      <c r="A497">
        <v>499</v>
      </c>
      <c r="B497" s="115" t="s">
        <v>1075</v>
      </c>
      <c r="C497" s="115" t="s">
        <v>1076</v>
      </c>
    </row>
    <row r="498" spans="1:3" hidden="1">
      <c r="A498">
        <v>500</v>
      </c>
      <c r="B498" s="115" t="s">
        <v>1077</v>
      </c>
      <c r="C498" s="115" t="s">
        <v>1078</v>
      </c>
    </row>
    <row r="499" spans="1:3" hidden="1">
      <c r="A499">
        <v>501</v>
      </c>
      <c r="B499" s="115" t="s">
        <v>1079</v>
      </c>
      <c r="C499" s="115" t="s">
        <v>1080</v>
      </c>
    </row>
    <row r="500" spans="1:3" hidden="1">
      <c r="A500">
        <v>502</v>
      </c>
      <c r="B500" s="115" t="s">
        <v>1081</v>
      </c>
      <c r="C500" s="115" t="s">
        <v>1082</v>
      </c>
    </row>
    <row r="501" spans="1:3" hidden="1">
      <c r="A501">
        <v>503</v>
      </c>
      <c r="B501" s="115" t="s">
        <v>1083</v>
      </c>
      <c r="C501" s="115" t="s">
        <v>1084</v>
      </c>
    </row>
    <row r="502" spans="1:3" hidden="1">
      <c r="A502">
        <v>504</v>
      </c>
      <c r="B502" s="115" t="s">
        <v>1085</v>
      </c>
      <c r="C502" s="115" t="s">
        <v>1086</v>
      </c>
    </row>
    <row r="503" spans="1:3" hidden="1">
      <c r="A503">
        <v>505</v>
      </c>
      <c r="B503" s="115" t="s">
        <v>1087</v>
      </c>
      <c r="C503" s="115" t="s">
        <v>1088</v>
      </c>
    </row>
    <row r="504" spans="1:3" hidden="1">
      <c r="A504">
        <v>506</v>
      </c>
      <c r="B504" s="115" t="s">
        <v>1089</v>
      </c>
      <c r="C504" s="115" t="s">
        <v>1090</v>
      </c>
    </row>
    <row r="505" spans="1:3" hidden="1">
      <c r="A505">
        <v>507</v>
      </c>
      <c r="B505" s="115" t="s">
        <v>1091</v>
      </c>
      <c r="C505" s="115" t="s">
        <v>1092</v>
      </c>
    </row>
    <row r="506" spans="1:3" hidden="1">
      <c r="A506">
        <v>508</v>
      </c>
      <c r="B506" s="115" t="s">
        <v>1093</v>
      </c>
      <c r="C506" s="115" t="s">
        <v>1094</v>
      </c>
    </row>
    <row r="507" spans="1:3" hidden="1">
      <c r="A507">
        <v>509</v>
      </c>
      <c r="B507" s="115" t="s">
        <v>1095</v>
      </c>
      <c r="C507" s="115" t="s">
        <v>1096</v>
      </c>
    </row>
    <row r="508" spans="1:3" hidden="1">
      <c r="A508">
        <v>510</v>
      </c>
      <c r="B508" s="115" t="s">
        <v>1097</v>
      </c>
      <c r="C508" s="115" t="s">
        <v>1098</v>
      </c>
    </row>
    <row r="509" spans="1:3" hidden="1">
      <c r="A509">
        <v>511</v>
      </c>
      <c r="B509" s="115" t="s">
        <v>1099</v>
      </c>
      <c r="C509" s="115" t="s">
        <v>1100</v>
      </c>
    </row>
    <row r="510" spans="1:3" hidden="1">
      <c r="A510">
        <v>512</v>
      </c>
      <c r="B510" s="115" t="s">
        <v>1101</v>
      </c>
      <c r="C510" s="115" t="s">
        <v>1102</v>
      </c>
    </row>
    <row r="511" spans="1:3" hidden="1">
      <c r="A511">
        <v>513</v>
      </c>
      <c r="B511" s="115" t="s">
        <v>1103</v>
      </c>
      <c r="C511" s="115" t="s">
        <v>1104</v>
      </c>
    </row>
    <row r="512" spans="1:3" hidden="1">
      <c r="A512">
        <v>514</v>
      </c>
      <c r="B512" s="115" t="s">
        <v>1105</v>
      </c>
      <c r="C512" s="115" t="s">
        <v>1106</v>
      </c>
    </row>
    <row r="513" spans="1:3" hidden="1">
      <c r="A513">
        <v>515</v>
      </c>
      <c r="B513" s="115" t="s">
        <v>1107</v>
      </c>
      <c r="C513" s="115" t="s">
        <v>1108</v>
      </c>
    </row>
    <row r="514" spans="1:3" hidden="1">
      <c r="A514">
        <v>516</v>
      </c>
      <c r="B514" s="115" t="s">
        <v>1109</v>
      </c>
      <c r="C514" s="115" t="s">
        <v>1110</v>
      </c>
    </row>
    <row r="515" spans="1:3" hidden="1">
      <c r="A515">
        <v>517</v>
      </c>
      <c r="B515" s="115" t="s">
        <v>1111</v>
      </c>
      <c r="C515" s="115" t="s">
        <v>1112</v>
      </c>
    </row>
    <row r="516" spans="1:3" hidden="1">
      <c r="A516">
        <v>518</v>
      </c>
      <c r="B516" s="115" t="s">
        <v>1113</v>
      </c>
      <c r="C516" s="115" t="s">
        <v>1114</v>
      </c>
    </row>
    <row r="517" spans="1:3" hidden="1">
      <c r="A517">
        <v>519</v>
      </c>
      <c r="B517" s="115" t="s">
        <v>1115</v>
      </c>
      <c r="C517" s="115" t="s">
        <v>1116</v>
      </c>
    </row>
    <row r="518" spans="1:3" hidden="1">
      <c r="A518">
        <v>520</v>
      </c>
      <c r="B518" s="115" t="s">
        <v>1117</v>
      </c>
      <c r="C518" s="115" t="s">
        <v>1118</v>
      </c>
    </row>
    <row r="519" spans="1:3" ht="15.5">
      <c r="A519" s="25" t="s">
        <v>1</v>
      </c>
      <c r="B519" s="115" t="s">
        <v>1119</v>
      </c>
      <c r="C519" s="115" t="s">
        <v>1006</v>
      </c>
    </row>
    <row r="520" spans="1:3" hidden="1">
      <c r="A520">
        <v>522</v>
      </c>
      <c r="B520" s="115" t="s">
        <v>1120</v>
      </c>
      <c r="C520" s="115" t="s">
        <v>1121</v>
      </c>
    </row>
    <row r="521" spans="1:3" hidden="1">
      <c r="A521">
        <v>523</v>
      </c>
      <c r="B521" s="115" t="s">
        <v>1122</v>
      </c>
      <c r="C521" s="115" t="s">
        <v>1123</v>
      </c>
    </row>
    <row r="522" spans="1:3" hidden="1">
      <c r="A522">
        <v>524</v>
      </c>
      <c r="B522" s="115" t="s">
        <v>1124</v>
      </c>
      <c r="C522" s="115" t="s">
        <v>1125</v>
      </c>
    </row>
    <row r="523" spans="1:3" hidden="1">
      <c r="A523">
        <v>525</v>
      </c>
      <c r="B523" s="115" t="s">
        <v>1126</v>
      </c>
      <c r="C523" s="115" t="s">
        <v>1127</v>
      </c>
    </row>
    <row r="524" spans="1:3" hidden="1">
      <c r="A524">
        <v>526</v>
      </c>
      <c r="B524" s="115" t="s">
        <v>1128</v>
      </c>
      <c r="C524" s="115" t="s">
        <v>1129</v>
      </c>
    </row>
    <row r="525" spans="1:3" hidden="1">
      <c r="A525">
        <v>527</v>
      </c>
      <c r="B525" s="115" t="s">
        <v>1130</v>
      </c>
      <c r="C525" s="115" t="s">
        <v>1131</v>
      </c>
    </row>
    <row r="526" spans="1:3" hidden="1">
      <c r="A526">
        <v>528</v>
      </c>
      <c r="B526" s="115" t="s">
        <v>1132</v>
      </c>
      <c r="C526" s="115" t="s">
        <v>1133</v>
      </c>
    </row>
    <row r="527" spans="1:3" hidden="1">
      <c r="A527">
        <v>529</v>
      </c>
      <c r="B527" s="115" t="s">
        <v>1134</v>
      </c>
      <c r="C527" s="115" t="s">
        <v>1135</v>
      </c>
    </row>
    <row r="528" spans="1:3" hidden="1">
      <c r="A528">
        <v>530</v>
      </c>
      <c r="B528" s="115" t="s">
        <v>1136</v>
      </c>
      <c r="C528" s="115" t="s">
        <v>1137</v>
      </c>
    </row>
    <row r="529" spans="1:3" hidden="1">
      <c r="A529">
        <v>531</v>
      </c>
      <c r="B529" s="115" t="s">
        <v>1138</v>
      </c>
      <c r="C529" s="115" t="s">
        <v>1139</v>
      </c>
    </row>
    <row r="530" spans="1:3" hidden="1">
      <c r="A530">
        <v>532</v>
      </c>
      <c r="B530" s="115" t="s">
        <v>1140</v>
      </c>
      <c r="C530" s="115" t="s">
        <v>1141</v>
      </c>
    </row>
    <row r="531" spans="1:3" hidden="1">
      <c r="A531">
        <v>533</v>
      </c>
      <c r="B531" s="115" t="s">
        <v>1142</v>
      </c>
      <c r="C531" s="115" t="s">
        <v>1143</v>
      </c>
    </row>
    <row r="532" spans="1:3" hidden="1">
      <c r="A532">
        <v>534</v>
      </c>
      <c r="B532" s="115" t="s">
        <v>1144</v>
      </c>
      <c r="C532" s="115" t="s">
        <v>1145</v>
      </c>
    </row>
    <row r="533" spans="1:3" hidden="1">
      <c r="A533">
        <v>535</v>
      </c>
      <c r="B533" s="115" t="s">
        <v>1146</v>
      </c>
      <c r="C533" s="115" t="s">
        <v>1147</v>
      </c>
    </row>
    <row r="534" spans="1:3" hidden="1">
      <c r="A534">
        <v>536</v>
      </c>
      <c r="B534" s="115" t="s">
        <v>1148</v>
      </c>
      <c r="C534" s="115" t="s">
        <v>1149</v>
      </c>
    </row>
    <row r="535" spans="1:3" hidden="1">
      <c r="A535">
        <v>537</v>
      </c>
      <c r="B535" s="115" t="s">
        <v>1150</v>
      </c>
      <c r="C535" s="115" t="s">
        <v>1151</v>
      </c>
    </row>
    <row r="536" spans="1:3" hidden="1">
      <c r="A536">
        <v>538</v>
      </c>
      <c r="B536" s="115" t="s">
        <v>1152</v>
      </c>
      <c r="C536" s="115" t="s">
        <v>1153</v>
      </c>
    </row>
    <row r="537" spans="1:3" hidden="1">
      <c r="A537">
        <v>539</v>
      </c>
      <c r="B537" s="115" t="s">
        <v>1154</v>
      </c>
      <c r="C537" s="115" t="s">
        <v>1155</v>
      </c>
    </row>
    <row r="538" spans="1:3" hidden="1">
      <c r="A538">
        <v>540</v>
      </c>
      <c r="B538" s="115" t="s">
        <v>1156</v>
      </c>
      <c r="C538" s="115" t="s">
        <v>1157</v>
      </c>
    </row>
    <row r="539" spans="1:3" hidden="1">
      <c r="A539">
        <v>541</v>
      </c>
      <c r="B539" s="115" t="s">
        <v>1158</v>
      </c>
      <c r="C539" s="115" t="s">
        <v>1159</v>
      </c>
    </row>
    <row r="540" spans="1:3" hidden="1">
      <c r="A540">
        <v>542</v>
      </c>
      <c r="B540" s="115" t="s">
        <v>1160</v>
      </c>
      <c r="C540" s="115" t="s">
        <v>1161</v>
      </c>
    </row>
    <row r="542" spans="1:3">
      <c r="B542"/>
      <c r="C542"/>
    </row>
  </sheetData>
  <autoFilter ref="A1:C540">
    <filterColumn colId="0">
      <filters>
        <filter val="NITORI-HO CHI MINH"/>
      </filters>
    </filterColumn>
  </autoFilter>
  <dataValidations count="1">
    <dataValidation type="list" allowBlank="1" showInputMessage="1" showErrorMessage="1" sqref="A519">
      <formula1>$A:$A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76"/>
  <sheetViews>
    <sheetView topLeftCell="F1" workbookViewId="0">
      <selection activeCell="G15" sqref="G15"/>
    </sheetView>
  </sheetViews>
  <sheetFormatPr defaultRowHeight="12.5"/>
  <cols>
    <col min="1" max="1" width="12" style="115" bestFit="1" customWidth="1"/>
    <col min="2" max="2" width="70" style="115" customWidth="1"/>
    <col min="3" max="3" width="11" style="115" bestFit="1" customWidth="1"/>
    <col min="4" max="4" width="42" style="115" bestFit="1" customWidth="1"/>
    <col min="5" max="8" width="42" style="132" customWidth="1"/>
    <col min="9" max="9" width="13" style="138" customWidth="1"/>
    <col min="10" max="10" width="8.7265625" style="132"/>
    <col min="11" max="16384" width="8.7265625" style="115"/>
  </cols>
  <sheetData>
    <row r="1" spans="1:10">
      <c r="A1" s="118" t="s">
        <v>1163</v>
      </c>
      <c r="B1" s="118" t="s">
        <v>1164</v>
      </c>
      <c r="C1" s="118" t="s">
        <v>1165</v>
      </c>
      <c r="D1" s="118" t="s">
        <v>1166</v>
      </c>
      <c r="E1" s="120" t="s">
        <v>3919</v>
      </c>
      <c r="F1" s="120" t="s">
        <v>3037</v>
      </c>
      <c r="G1" s="120" t="s">
        <v>3913</v>
      </c>
      <c r="H1" s="120" t="s">
        <v>3912</v>
      </c>
      <c r="I1" s="135" t="s">
        <v>1167</v>
      </c>
      <c r="J1" s="132" t="s">
        <v>3914</v>
      </c>
    </row>
    <row r="2" spans="1:10">
      <c r="A2" s="119" t="s">
        <v>1107</v>
      </c>
      <c r="B2" s="119" t="s">
        <v>1108</v>
      </c>
      <c r="C2" s="119" t="s">
        <v>1168</v>
      </c>
      <c r="D2" s="119" t="s">
        <v>1169</v>
      </c>
      <c r="E2" s="133" t="str">
        <f>A2&amp;F2</f>
        <v>1200001152PUL-51339 CLEAR 10 VN</v>
      </c>
      <c r="F2" s="133" t="s">
        <v>3038</v>
      </c>
      <c r="G2" s="133" t="s">
        <v>3879</v>
      </c>
      <c r="H2" s="133">
        <f>VLOOKUP(G2,'packing mapping'!A:B,2,0)</f>
        <v>20</v>
      </c>
      <c r="I2" s="136">
        <v>2258000</v>
      </c>
      <c r="J2" s="132">
        <f>I2/H2</f>
        <v>112900</v>
      </c>
    </row>
    <row r="3" spans="1:10">
      <c r="A3" s="115" t="s">
        <v>1107</v>
      </c>
      <c r="B3" s="115" t="s">
        <v>1108</v>
      </c>
      <c r="C3" s="115" t="s">
        <v>1170</v>
      </c>
      <c r="D3" s="115" t="s">
        <v>1171</v>
      </c>
      <c r="E3" s="133" t="str">
        <f t="shared" ref="E3:E66" si="0">A3&amp;F3</f>
        <v>1200001152THPU-71306 ST VN</v>
      </c>
      <c r="F3" s="133" t="s">
        <v>3039</v>
      </c>
      <c r="G3" s="133" t="s">
        <v>3880</v>
      </c>
      <c r="H3" s="133">
        <f>VLOOKUP(G3,'packing mapping'!A:B,2,0)</f>
        <v>20</v>
      </c>
      <c r="I3" s="137">
        <v>1029600</v>
      </c>
      <c r="J3" s="132">
        <f t="shared" ref="J3:J66" si="1">I3/H3</f>
        <v>51480</v>
      </c>
    </row>
    <row r="4" spans="1:10">
      <c r="A4" s="115" t="s">
        <v>1107</v>
      </c>
      <c r="B4" s="115" t="s">
        <v>1108</v>
      </c>
      <c r="C4" s="115" t="s">
        <v>1172</v>
      </c>
      <c r="D4" s="115" t="s">
        <v>1173</v>
      </c>
      <c r="E4" s="133" t="str">
        <f t="shared" si="0"/>
        <v>1200001152PUH-56135 S VN</v>
      </c>
      <c r="F4" s="133" t="s">
        <v>3040</v>
      </c>
      <c r="G4" s="133" t="s">
        <v>3881</v>
      </c>
      <c r="H4" s="133">
        <f>VLOOKUP(G4,'packing mapping'!A:B,2,0)</f>
        <v>20</v>
      </c>
      <c r="I4" s="137">
        <v>1610800</v>
      </c>
      <c r="J4" s="132">
        <f t="shared" si="1"/>
        <v>80540</v>
      </c>
    </row>
    <row r="5" spans="1:10">
      <c r="A5" s="115" t="s">
        <v>1107</v>
      </c>
      <c r="B5" s="115" t="s">
        <v>1108</v>
      </c>
      <c r="C5" s="115" t="s">
        <v>1174</v>
      </c>
      <c r="D5" s="115" t="s">
        <v>1175</v>
      </c>
      <c r="E5" s="133" t="str">
        <f t="shared" si="0"/>
        <v>1200001152PUH-56139 VN</v>
      </c>
      <c r="F5" s="133" t="s">
        <v>3041</v>
      </c>
      <c r="G5" s="133" t="s">
        <v>3881</v>
      </c>
      <c r="H5" s="133">
        <f>VLOOKUP(G5,'packing mapping'!A:B,2,0)</f>
        <v>20</v>
      </c>
      <c r="I5" s="137">
        <v>1873200</v>
      </c>
      <c r="J5" s="132">
        <f t="shared" si="1"/>
        <v>93660</v>
      </c>
    </row>
    <row r="6" spans="1:10">
      <c r="A6" s="115" t="s">
        <v>1107</v>
      </c>
      <c r="B6" s="115" t="s">
        <v>1108</v>
      </c>
      <c r="C6" s="115" t="s">
        <v>1176</v>
      </c>
      <c r="D6" s="115" t="s">
        <v>1177</v>
      </c>
      <c r="E6" s="133" t="str">
        <f t="shared" si="0"/>
        <v>1200001152PUSS-51235 VN</v>
      </c>
      <c r="F6" s="133" t="s">
        <v>3042</v>
      </c>
      <c r="G6" s="133" t="s">
        <v>3881</v>
      </c>
      <c r="H6" s="133">
        <f>VLOOKUP(G6,'packing mapping'!A:B,2,0)</f>
        <v>20</v>
      </c>
      <c r="I6" s="137">
        <v>1757800</v>
      </c>
      <c r="J6" s="132">
        <f t="shared" si="1"/>
        <v>87890</v>
      </c>
    </row>
    <row r="7" spans="1:10">
      <c r="A7" s="115" t="s">
        <v>1107</v>
      </c>
      <c r="B7" s="115" t="s">
        <v>1108</v>
      </c>
      <c r="C7" s="115" t="s">
        <v>1178</v>
      </c>
      <c r="D7" s="115" t="s">
        <v>1179</v>
      </c>
      <c r="E7" s="133" t="str">
        <f t="shared" si="0"/>
        <v>1200001152PUL-51339 SR CLEAR 10 VN</v>
      </c>
      <c r="F7" s="133" t="s">
        <v>3043</v>
      </c>
      <c r="G7" s="133" t="s">
        <v>3882</v>
      </c>
      <c r="H7" s="133">
        <f>VLOOKUP(G7,'packing mapping'!A:B,2,0)</f>
        <v>18</v>
      </c>
      <c r="I7" s="137">
        <v>3177180</v>
      </c>
      <c r="J7" s="132">
        <f t="shared" si="1"/>
        <v>176510</v>
      </c>
    </row>
    <row r="8" spans="1:10">
      <c r="A8" s="115" t="s">
        <v>127</v>
      </c>
      <c r="B8" s="115" t="s">
        <v>128</v>
      </c>
      <c r="C8" s="115" t="s">
        <v>1180</v>
      </c>
      <c r="D8" s="115" t="s">
        <v>1181</v>
      </c>
      <c r="E8" s="133" t="str">
        <f t="shared" si="0"/>
        <v>1200000019GZPU-21500 RU BASE VN</v>
      </c>
      <c r="F8" s="133" t="s">
        <v>3044</v>
      </c>
      <c r="G8" s="133" t="s">
        <v>3882</v>
      </c>
      <c r="H8" s="133">
        <f>VLOOKUP(G8,'packing mapping'!A:B,2,0)</f>
        <v>18</v>
      </c>
      <c r="I8" s="137">
        <v>2990700</v>
      </c>
      <c r="J8" s="132">
        <f t="shared" si="1"/>
        <v>166150</v>
      </c>
    </row>
    <row r="9" spans="1:10">
      <c r="A9" s="115" t="s">
        <v>127</v>
      </c>
      <c r="B9" s="115" t="s">
        <v>128</v>
      </c>
      <c r="C9" s="115" t="s">
        <v>1182</v>
      </c>
      <c r="D9" s="115" t="s">
        <v>1183</v>
      </c>
      <c r="E9" s="133" t="str">
        <f t="shared" si="0"/>
        <v>1200000019MEP-12003 BROWN KI VN</v>
      </c>
      <c r="F9" s="133" t="s">
        <v>3045</v>
      </c>
      <c r="G9" s="133" t="s">
        <v>3882</v>
      </c>
      <c r="H9" s="133">
        <f>VLOOKUP(G9,'packing mapping'!A:B,2,0)</f>
        <v>18</v>
      </c>
      <c r="I9" s="137">
        <v>1507680</v>
      </c>
      <c r="J9" s="132">
        <f t="shared" si="1"/>
        <v>83760</v>
      </c>
    </row>
    <row r="10" spans="1:10">
      <c r="A10" s="115" t="s">
        <v>127</v>
      </c>
      <c r="B10" s="115" t="s">
        <v>128</v>
      </c>
      <c r="C10" s="115" t="s">
        <v>1184</v>
      </c>
      <c r="D10" s="115" t="s">
        <v>1185</v>
      </c>
      <c r="E10" s="133" t="str">
        <f t="shared" si="0"/>
        <v>1200000019MEP-12003 CLEAR BASE VN</v>
      </c>
      <c r="F10" s="133" t="s">
        <v>3046</v>
      </c>
      <c r="G10" s="133" t="s">
        <v>3882</v>
      </c>
      <c r="H10" s="133">
        <f>VLOOKUP(G10,'packing mapping'!A:B,2,0)</f>
        <v>18</v>
      </c>
      <c r="I10" s="137">
        <v>1726560</v>
      </c>
      <c r="J10" s="132">
        <f t="shared" si="1"/>
        <v>95920</v>
      </c>
    </row>
    <row r="11" spans="1:10">
      <c r="A11" s="115" t="s">
        <v>127</v>
      </c>
      <c r="B11" s="115" t="s">
        <v>128</v>
      </c>
      <c r="C11" s="115" t="s">
        <v>1186</v>
      </c>
      <c r="D11" s="115" t="s">
        <v>1187</v>
      </c>
      <c r="E11" s="133" t="str">
        <f t="shared" si="0"/>
        <v>1200000019MEP-12003 GREY VN</v>
      </c>
      <c r="F11" s="133" t="s">
        <v>3047</v>
      </c>
      <c r="G11" s="133" t="s">
        <v>3882</v>
      </c>
      <c r="H11" s="133">
        <f>VLOOKUP(G11,'packing mapping'!A:B,2,0)</f>
        <v>18</v>
      </c>
      <c r="I11" s="137">
        <v>1788840</v>
      </c>
      <c r="J11" s="132">
        <f t="shared" si="1"/>
        <v>99380</v>
      </c>
    </row>
    <row r="12" spans="1:10">
      <c r="A12" s="115" t="s">
        <v>127</v>
      </c>
      <c r="B12" s="115" t="s">
        <v>128</v>
      </c>
      <c r="C12" s="115" t="s">
        <v>1188</v>
      </c>
      <c r="D12" s="115" t="s">
        <v>1189</v>
      </c>
      <c r="E12" s="133" t="str">
        <f t="shared" si="0"/>
        <v>1200000019PCA-31100 BLACK PASTE VN</v>
      </c>
      <c r="F12" s="133" t="s">
        <v>3048</v>
      </c>
      <c r="G12" s="133" t="s">
        <v>3883</v>
      </c>
      <c r="H12" s="133">
        <f>VLOOKUP(G12,'packing mapping'!A:B,2,0)</f>
        <v>4</v>
      </c>
      <c r="I12" s="137">
        <v>1442080</v>
      </c>
      <c r="J12" s="132">
        <f t="shared" si="1"/>
        <v>360520</v>
      </c>
    </row>
    <row r="13" spans="1:10">
      <c r="A13" s="115" t="s">
        <v>127</v>
      </c>
      <c r="B13" s="115" t="s">
        <v>128</v>
      </c>
      <c r="C13" s="115" t="s">
        <v>1190</v>
      </c>
      <c r="D13" s="115" t="s">
        <v>1191</v>
      </c>
      <c r="E13" s="133" t="str">
        <f t="shared" si="0"/>
        <v>1200000019PCA-31100 WHITE PASTE VN</v>
      </c>
      <c r="F13" s="133" t="s">
        <v>3049</v>
      </c>
      <c r="G13" s="133" t="s">
        <v>3883</v>
      </c>
      <c r="H13" s="133">
        <f>VLOOKUP(G13,'packing mapping'!A:B,2,0)</f>
        <v>4</v>
      </c>
      <c r="I13" s="137">
        <v>1138360</v>
      </c>
      <c r="J13" s="132">
        <f t="shared" si="1"/>
        <v>284590</v>
      </c>
    </row>
    <row r="14" spans="1:10">
      <c r="A14" s="115" t="s">
        <v>127</v>
      </c>
      <c r="B14" s="115" t="s">
        <v>128</v>
      </c>
      <c r="C14" s="115" t="s">
        <v>1192</v>
      </c>
      <c r="D14" s="115" t="s">
        <v>1193</v>
      </c>
      <c r="E14" s="133" t="str">
        <f t="shared" si="0"/>
        <v>1200000019PCL-31300 BLACK PASTE</v>
      </c>
      <c r="F14" s="133" t="s">
        <v>3050</v>
      </c>
      <c r="G14" s="133" t="s">
        <v>3883</v>
      </c>
      <c r="H14" s="133">
        <f>VLOOKUP(G14,'packing mapping'!A:B,2,0)</f>
        <v>4</v>
      </c>
      <c r="I14" s="137">
        <v>1769960</v>
      </c>
      <c r="J14" s="132">
        <f t="shared" si="1"/>
        <v>442490</v>
      </c>
    </row>
    <row r="15" spans="1:10">
      <c r="A15" s="115" t="s">
        <v>127</v>
      </c>
      <c r="B15" s="115" t="s">
        <v>128</v>
      </c>
      <c r="C15" s="115" t="s">
        <v>1194</v>
      </c>
      <c r="D15" s="115" t="s">
        <v>1195</v>
      </c>
      <c r="E15" s="133" t="str">
        <f t="shared" si="0"/>
        <v>1200000019PCL-31300 BLUE OG PASTE</v>
      </c>
      <c r="F15" s="133" t="s">
        <v>3051</v>
      </c>
      <c r="G15" s="133" t="s">
        <v>3883</v>
      </c>
      <c r="H15" s="133">
        <f>VLOOKUP(G15,'packing mapping'!A:B,2,0)</f>
        <v>4</v>
      </c>
      <c r="I15" s="137">
        <v>2234560</v>
      </c>
      <c r="J15" s="132">
        <f t="shared" si="1"/>
        <v>558640</v>
      </c>
    </row>
    <row r="16" spans="1:10">
      <c r="A16" s="115" t="s">
        <v>127</v>
      </c>
      <c r="B16" s="115" t="s">
        <v>128</v>
      </c>
      <c r="C16" s="115" t="s">
        <v>1196</v>
      </c>
      <c r="D16" s="115" t="s">
        <v>1197</v>
      </c>
      <c r="E16" s="133" t="str">
        <f t="shared" si="0"/>
        <v>1200000019PCL-31300 BLUE OR 50 PASTE</v>
      </c>
      <c r="F16" s="133" t="s">
        <v>3052</v>
      </c>
      <c r="G16" s="133" t="s">
        <v>3883</v>
      </c>
      <c r="H16" s="133">
        <f>VLOOKUP(G16,'packing mapping'!A:B,2,0)</f>
        <v>4</v>
      </c>
      <c r="I16" s="137">
        <v>2515200</v>
      </c>
      <c r="J16" s="132">
        <f t="shared" si="1"/>
        <v>628800</v>
      </c>
    </row>
    <row r="17" spans="1:10">
      <c r="A17" s="115" t="s">
        <v>127</v>
      </c>
      <c r="B17" s="115" t="s">
        <v>128</v>
      </c>
      <c r="C17" s="115" t="s">
        <v>1198</v>
      </c>
      <c r="D17" s="115" t="s">
        <v>1199</v>
      </c>
      <c r="E17" s="133" t="str">
        <f t="shared" si="0"/>
        <v>1200000019PCL-31300 BROWN PASTE VN</v>
      </c>
      <c r="F17" s="133" t="s">
        <v>3053</v>
      </c>
      <c r="G17" s="133" t="s">
        <v>3883</v>
      </c>
      <c r="H17" s="133">
        <f>VLOOKUP(G17,'packing mapping'!A:B,2,0)</f>
        <v>4</v>
      </c>
      <c r="I17" s="137">
        <v>1341520</v>
      </c>
      <c r="J17" s="132">
        <f t="shared" si="1"/>
        <v>335380</v>
      </c>
    </row>
    <row r="18" spans="1:10">
      <c r="A18" s="115" t="s">
        <v>127</v>
      </c>
      <c r="B18" s="115" t="s">
        <v>128</v>
      </c>
      <c r="C18" s="115" t="s">
        <v>1200</v>
      </c>
      <c r="D18" s="115" t="s">
        <v>1201</v>
      </c>
      <c r="E18" s="133" t="str">
        <f t="shared" si="0"/>
        <v>1200000019PCL-31300 RED OB 35 PASTE</v>
      </c>
      <c r="F18" s="133" t="s">
        <v>3054</v>
      </c>
      <c r="G18" s="133" t="s">
        <v>3883</v>
      </c>
      <c r="H18" s="133">
        <f>VLOOKUP(G18,'packing mapping'!A:B,2,0)</f>
        <v>4</v>
      </c>
      <c r="I18" s="137">
        <v>2409480</v>
      </c>
      <c r="J18" s="132">
        <f t="shared" si="1"/>
        <v>602370</v>
      </c>
    </row>
    <row r="19" spans="1:10">
      <c r="A19" s="115" t="s">
        <v>127</v>
      </c>
      <c r="B19" s="115" t="s">
        <v>128</v>
      </c>
      <c r="C19" s="115" t="s">
        <v>1202</v>
      </c>
      <c r="D19" s="115" t="s">
        <v>1203</v>
      </c>
      <c r="E19" s="133" t="str">
        <f t="shared" si="0"/>
        <v>1200000019PCL-31300 WHITE PASTE</v>
      </c>
      <c r="F19" s="133" t="s">
        <v>3055</v>
      </c>
      <c r="G19" s="133" t="s">
        <v>3883</v>
      </c>
      <c r="H19" s="133">
        <f>VLOOKUP(G19,'packing mapping'!A:B,2,0)</f>
        <v>4</v>
      </c>
      <c r="I19" s="137">
        <v>952160</v>
      </c>
      <c r="J19" s="132">
        <f t="shared" si="1"/>
        <v>238040</v>
      </c>
    </row>
    <row r="20" spans="1:10">
      <c r="A20" s="115" t="s">
        <v>127</v>
      </c>
      <c r="B20" s="115" t="s">
        <v>128</v>
      </c>
      <c r="C20" s="115" t="s">
        <v>1204</v>
      </c>
      <c r="D20" s="115" t="s">
        <v>1205</v>
      </c>
      <c r="E20" s="133" t="str">
        <f t="shared" si="0"/>
        <v>1200000019PCL-31300 YELLOW OG 16 PASTE</v>
      </c>
      <c r="F20" s="133" t="s">
        <v>3056</v>
      </c>
      <c r="G20" s="133" t="s">
        <v>3883</v>
      </c>
      <c r="H20" s="133">
        <f>VLOOKUP(G20,'packing mapping'!A:B,2,0)</f>
        <v>4</v>
      </c>
      <c r="I20" s="137">
        <v>3136840</v>
      </c>
      <c r="J20" s="132">
        <f t="shared" si="1"/>
        <v>784210</v>
      </c>
    </row>
    <row r="21" spans="1:10">
      <c r="A21" s="115" t="s">
        <v>127</v>
      </c>
      <c r="B21" s="115" t="s">
        <v>128</v>
      </c>
      <c r="C21" s="115" t="s">
        <v>1206</v>
      </c>
      <c r="D21" s="115" t="s">
        <v>1207</v>
      </c>
      <c r="E21" s="133" t="str">
        <f t="shared" si="0"/>
        <v>1200000019PCL-31300 YELLOW OKER PASTE</v>
      </c>
      <c r="F21" s="133" t="s">
        <v>3057</v>
      </c>
      <c r="G21" s="133" t="s">
        <v>3883</v>
      </c>
      <c r="H21" s="133">
        <f>VLOOKUP(G21,'packing mapping'!A:B,2,0)</f>
        <v>4</v>
      </c>
      <c r="I21" s="137">
        <v>1445160</v>
      </c>
      <c r="J21" s="132">
        <f t="shared" si="1"/>
        <v>361290</v>
      </c>
    </row>
    <row r="22" spans="1:10">
      <c r="A22" s="115" t="s">
        <v>127</v>
      </c>
      <c r="B22" s="115" t="s">
        <v>128</v>
      </c>
      <c r="C22" s="115" t="s">
        <v>1208</v>
      </c>
      <c r="D22" s="115" t="s">
        <v>1209</v>
      </c>
      <c r="E22" s="133" t="str">
        <f t="shared" si="0"/>
        <v>1200000019PG-13900 WHITE 01 VN</v>
      </c>
      <c r="F22" s="133" t="s">
        <v>3058</v>
      </c>
      <c r="G22" s="133" t="s">
        <v>3881</v>
      </c>
      <c r="H22" s="133">
        <f>VLOOKUP(G22,'packing mapping'!A:B,2,0)</f>
        <v>20</v>
      </c>
      <c r="I22" s="137">
        <v>1609600</v>
      </c>
      <c r="J22" s="132">
        <f t="shared" si="1"/>
        <v>80480</v>
      </c>
    </row>
    <row r="23" spans="1:10">
      <c r="A23" s="115" t="s">
        <v>127</v>
      </c>
      <c r="B23" s="115" t="s">
        <v>128</v>
      </c>
      <c r="C23" s="115" t="s">
        <v>1210</v>
      </c>
      <c r="D23" s="115" t="s">
        <v>1211</v>
      </c>
      <c r="E23" s="133" t="str">
        <f t="shared" si="0"/>
        <v>1200000019PUH-56306 LY VN</v>
      </c>
      <c r="F23" s="133" t="s">
        <v>3059</v>
      </c>
      <c r="G23" s="133" t="s">
        <v>3879</v>
      </c>
      <c r="H23" s="133">
        <f>VLOOKUP(G23,'packing mapping'!A:B,2,0)</f>
        <v>20</v>
      </c>
      <c r="I23" s="137">
        <v>4045800</v>
      </c>
      <c r="J23" s="132">
        <f t="shared" si="1"/>
        <v>202290</v>
      </c>
    </row>
    <row r="24" spans="1:10">
      <c r="A24" s="115" t="s">
        <v>127</v>
      </c>
      <c r="B24" s="115" t="s">
        <v>128</v>
      </c>
      <c r="C24" s="115" t="s">
        <v>1212</v>
      </c>
      <c r="D24" s="115" t="s">
        <v>1213</v>
      </c>
      <c r="E24" s="133" t="str">
        <f t="shared" si="0"/>
        <v>1200000019PUL-53306 AC EX CLEAR 20 VN</v>
      </c>
      <c r="F24" s="133" t="s">
        <v>3060</v>
      </c>
      <c r="G24" s="133" t="s">
        <v>3879</v>
      </c>
      <c r="H24" s="133">
        <f>VLOOKUP(G24,'packing mapping'!A:B,2,0)</f>
        <v>20</v>
      </c>
      <c r="I24" s="137">
        <v>3521400</v>
      </c>
      <c r="J24" s="132">
        <f t="shared" si="1"/>
        <v>176070</v>
      </c>
    </row>
    <row r="25" spans="1:10">
      <c r="A25" s="115" t="s">
        <v>127</v>
      </c>
      <c r="B25" s="115" t="s">
        <v>128</v>
      </c>
      <c r="C25" s="115" t="s">
        <v>1214</v>
      </c>
      <c r="D25" s="115" t="s">
        <v>1215</v>
      </c>
      <c r="E25" s="133" t="str">
        <f t="shared" si="0"/>
        <v>1200000019PUL-53306 AC EX CLEAR 50 VN</v>
      </c>
      <c r="F25" s="133" t="s">
        <v>3061</v>
      </c>
      <c r="G25" s="133" t="s">
        <v>3879</v>
      </c>
      <c r="H25" s="133">
        <f>VLOOKUP(G25,'packing mapping'!A:B,2,0)</f>
        <v>20</v>
      </c>
      <c r="I25" s="137">
        <v>2996800</v>
      </c>
      <c r="J25" s="132">
        <f t="shared" si="1"/>
        <v>149840</v>
      </c>
    </row>
    <row r="26" spans="1:10">
      <c r="A26" s="115" t="s">
        <v>127</v>
      </c>
      <c r="B26" s="115" t="s">
        <v>128</v>
      </c>
      <c r="C26" s="115" t="s">
        <v>1216</v>
      </c>
      <c r="D26" s="115" t="s">
        <v>1217</v>
      </c>
      <c r="E26" s="133" t="str">
        <f t="shared" si="0"/>
        <v>1200000019PUL-53306 AC EX CLEAR 90 VN</v>
      </c>
      <c r="F26" s="133" t="s">
        <v>3062</v>
      </c>
      <c r="G26" s="133" t="s">
        <v>3879</v>
      </c>
      <c r="H26" s="133">
        <f>VLOOKUP(G26,'packing mapping'!A:B,2,0)</f>
        <v>20</v>
      </c>
      <c r="I26" s="137">
        <v>2861000</v>
      </c>
      <c r="J26" s="132">
        <f t="shared" si="1"/>
        <v>143050</v>
      </c>
    </row>
    <row r="27" spans="1:10">
      <c r="A27" s="115" t="s">
        <v>127</v>
      </c>
      <c r="B27" s="115" t="s">
        <v>128</v>
      </c>
      <c r="C27" s="115" t="s">
        <v>1218</v>
      </c>
      <c r="D27" s="115" t="s">
        <v>1219</v>
      </c>
      <c r="E27" s="133" t="str">
        <f t="shared" si="0"/>
        <v>1200000019PUSS-53206 AC EX VN</v>
      </c>
      <c r="F27" s="133" t="s">
        <v>3063</v>
      </c>
      <c r="G27" s="133" t="s">
        <v>3881</v>
      </c>
      <c r="H27" s="133">
        <f>VLOOKUP(G27,'packing mapping'!A:B,2,0)</f>
        <v>20</v>
      </c>
      <c r="I27" s="137">
        <v>2470400</v>
      </c>
      <c r="J27" s="132">
        <f t="shared" si="1"/>
        <v>123520</v>
      </c>
    </row>
    <row r="28" spans="1:10">
      <c r="A28" s="115" t="s">
        <v>127</v>
      </c>
      <c r="B28" s="115" t="s">
        <v>128</v>
      </c>
      <c r="C28" s="115" t="s">
        <v>1220</v>
      </c>
      <c r="D28" s="115" t="s">
        <v>1221</v>
      </c>
      <c r="E28" s="133" t="str">
        <f t="shared" si="0"/>
        <v>1200000019SST-11100 C10 BLACK</v>
      </c>
      <c r="F28" s="133" t="s">
        <v>3064</v>
      </c>
      <c r="G28" s="133" t="s">
        <v>3883</v>
      </c>
      <c r="H28" s="133">
        <f>VLOOKUP(G28,'packing mapping'!A:B,2,0)</f>
        <v>4</v>
      </c>
      <c r="I28" s="137">
        <v>943760</v>
      </c>
      <c r="J28" s="132">
        <f t="shared" si="1"/>
        <v>235940</v>
      </c>
    </row>
    <row r="29" spans="1:10">
      <c r="A29" s="115" t="s">
        <v>127</v>
      </c>
      <c r="B29" s="115" t="s">
        <v>128</v>
      </c>
      <c r="C29" s="115" t="s">
        <v>1222</v>
      </c>
      <c r="D29" s="115" t="s">
        <v>1223</v>
      </c>
      <c r="E29" s="133" t="str">
        <f t="shared" si="0"/>
        <v>1200000019SST-11100 C10 BLUE</v>
      </c>
      <c r="F29" s="133" t="s">
        <v>3065</v>
      </c>
      <c r="G29" s="133" t="s">
        <v>3883</v>
      </c>
      <c r="H29" s="133">
        <f>VLOOKUP(G29,'packing mapping'!A:B,2,0)</f>
        <v>4</v>
      </c>
      <c r="I29" s="137">
        <v>1629040</v>
      </c>
      <c r="J29" s="132">
        <f t="shared" si="1"/>
        <v>407260</v>
      </c>
    </row>
    <row r="30" spans="1:10">
      <c r="A30" s="115" t="s">
        <v>127</v>
      </c>
      <c r="B30" s="115" t="s">
        <v>128</v>
      </c>
      <c r="C30" s="115" t="s">
        <v>1224</v>
      </c>
      <c r="D30" s="115" t="s">
        <v>1225</v>
      </c>
      <c r="E30" s="133" t="str">
        <f t="shared" si="0"/>
        <v>1200000019SST-11100 C10 ORANGE</v>
      </c>
      <c r="F30" s="133" t="s">
        <v>3066</v>
      </c>
      <c r="G30" s="133" t="s">
        <v>3883</v>
      </c>
      <c r="H30" s="133">
        <f>VLOOKUP(G30,'packing mapping'!A:B,2,0)</f>
        <v>4</v>
      </c>
      <c r="I30" s="137">
        <v>1124360</v>
      </c>
      <c r="J30" s="132">
        <f t="shared" si="1"/>
        <v>281090</v>
      </c>
    </row>
    <row r="31" spans="1:10">
      <c r="A31" s="115" t="s">
        <v>127</v>
      </c>
      <c r="B31" s="115" t="s">
        <v>128</v>
      </c>
      <c r="C31" s="115" t="s">
        <v>1226</v>
      </c>
      <c r="D31" s="115" t="s">
        <v>1227</v>
      </c>
      <c r="E31" s="133" t="str">
        <f t="shared" si="0"/>
        <v>1200000019SST-11100 C10 RED</v>
      </c>
      <c r="F31" s="133" t="s">
        <v>3067</v>
      </c>
      <c r="G31" s="133" t="s">
        <v>3883</v>
      </c>
      <c r="H31" s="133">
        <f>VLOOKUP(G31,'packing mapping'!A:B,2,0)</f>
        <v>4</v>
      </c>
      <c r="I31" s="137">
        <v>1143080</v>
      </c>
      <c r="J31" s="132">
        <f t="shared" si="1"/>
        <v>285770</v>
      </c>
    </row>
    <row r="32" spans="1:10">
      <c r="A32" s="115" t="s">
        <v>127</v>
      </c>
      <c r="B32" s="115" t="s">
        <v>128</v>
      </c>
      <c r="C32" s="115" t="s">
        <v>1228</v>
      </c>
      <c r="D32" s="115" t="s">
        <v>1229</v>
      </c>
      <c r="E32" s="133" t="str">
        <f t="shared" si="0"/>
        <v>1200000019SST-11100 C10 YELLOW</v>
      </c>
      <c r="F32" s="133" t="s">
        <v>3068</v>
      </c>
      <c r="G32" s="133" t="s">
        <v>3883</v>
      </c>
      <c r="H32" s="133">
        <f>VLOOKUP(G32,'packing mapping'!A:B,2,0)</f>
        <v>4</v>
      </c>
      <c r="I32" s="137">
        <v>801520</v>
      </c>
      <c r="J32" s="132">
        <f t="shared" si="1"/>
        <v>200380</v>
      </c>
    </row>
    <row r="33" spans="1:10">
      <c r="A33" s="115" t="s">
        <v>127</v>
      </c>
      <c r="B33" s="115" t="s">
        <v>128</v>
      </c>
      <c r="C33" s="115" t="s">
        <v>1230</v>
      </c>
      <c r="D33" s="115" t="s">
        <v>1231</v>
      </c>
      <c r="E33" s="133" t="str">
        <f t="shared" si="0"/>
        <v>1200000019THC-73100 201 VN</v>
      </c>
      <c r="F33" s="133" t="s">
        <v>3069</v>
      </c>
      <c r="G33" s="133" t="s">
        <v>3884</v>
      </c>
      <c r="H33" s="133">
        <f>VLOOKUP(G33,'packing mapping'!A:B,2,0)</f>
        <v>200</v>
      </c>
      <c r="I33" s="137">
        <v>9494000</v>
      </c>
      <c r="J33" s="132">
        <f t="shared" si="1"/>
        <v>47470</v>
      </c>
    </row>
    <row r="34" spans="1:10">
      <c r="A34" s="115" t="s">
        <v>127</v>
      </c>
      <c r="B34" s="115" t="s">
        <v>128</v>
      </c>
      <c r="C34" s="115" t="s">
        <v>1232</v>
      </c>
      <c r="D34" s="115" t="s">
        <v>1233</v>
      </c>
      <c r="E34" s="133" t="str">
        <f t="shared" si="0"/>
        <v>1200000019THC-73100-201 VN</v>
      </c>
      <c r="F34" s="133" t="s">
        <v>3070</v>
      </c>
      <c r="G34" s="133" t="s">
        <v>3880</v>
      </c>
      <c r="H34" s="133">
        <f>VLOOKUP(G34,'packing mapping'!A:B,2,0)</f>
        <v>20</v>
      </c>
      <c r="I34" s="137">
        <v>1087400</v>
      </c>
      <c r="J34" s="132">
        <f t="shared" si="1"/>
        <v>54370</v>
      </c>
    </row>
    <row r="35" spans="1:10">
      <c r="A35" s="115" t="s">
        <v>127</v>
      </c>
      <c r="B35" s="115" t="s">
        <v>128</v>
      </c>
      <c r="C35" s="115" t="s">
        <v>1234</v>
      </c>
      <c r="D35" s="115" t="s">
        <v>1235</v>
      </c>
      <c r="E35" s="133" t="str">
        <f t="shared" si="0"/>
        <v>1200000019THC-73100-552 VN</v>
      </c>
      <c r="F35" s="133" t="s">
        <v>3071</v>
      </c>
      <c r="G35" s="133" t="s">
        <v>3885</v>
      </c>
      <c r="H35" s="133">
        <f>VLOOKUP(G35,'packing mapping'!A:B,2,0)</f>
        <v>18</v>
      </c>
      <c r="I35" s="137">
        <v>1830780</v>
      </c>
      <c r="J35" s="132">
        <f t="shared" si="1"/>
        <v>101710</v>
      </c>
    </row>
    <row r="36" spans="1:10">
      <c r="A36" s="115" t="s">
        <v>127</v>
      </c>
      <c r="B36" s="115" t="s">
        <v>128</v>
      </c>
      <c r="C36" s="115" t="s">
        <v>1236</v>
      </c>
      <c r="D36" s="115" t="s">
        <v>1237</v>
      </c>
      <c r="E36" s="133" t="str">
        <f t="shared" si="0"/>
        <v>1200000019THGZ-72200 PU VN</v>
      </c>
      <c r="F36" s="133" t="s">
        <v>3072</v>
      </c>
      <c r="G36" s="133" t="s">
        <v>3880</v>
      </c>
      <c r="H36" s="133">
        <f>VLOOKUP(G36,'packing mapping'!A:B,2,0)</f>
        <v>20</v>
      </c>
      <c r="I36" s="137">
        <v>1479400</v>
      </c>
      <c r="J36" s="132">
        <f t="shared" si="1"/>
        <v>73970</v>
      </c>
    </row>
    <row r="37" spans="1:10">
      <c r="A37" s="115" t="s">
        <v>127</v>
      </c>
      <c r="B37" s="115" t="s">
        <v>128</v>
      </c>
      <c r="C37" s="115" t="s">
        <v>1238</v>
      </c>
      <c r="D37" s="115" t="s">
        <v>1239</v>
      </c>
      <c r="E37" s="133" t="str">
        <f t="shared" si="0"/>
        <v>1200000019THGZ-72200 VN</v>
      </c>
      <c r="F37" s="133" t="s">
        <v>3073</v>
      </c>
      <c r="G37" s="133" t="s">
        <v>3880</v>
      </c>
      <c r="H37" s="133">
        <f>VLOOKUP(G37,'packing mapping'!A:B,2,0)</f>
        <v>20</v>
      </c>
      <c r="I37" s="137">
        <v>1258600</v>
      </c>
      <c r="J37" s="132">
        <f t="shared" si="1"/>
        <v>62930</v>
      </c>
    </row>
    <row r="38" spans="1:10">
      <c r="A38" s="115" t="s">
        <v>127</v>
      </c>
      <c r="B38" s="115" t="s">
        <v>128</v>
      </c>
      <c r="C38" s="115" t="s">
        <v>1240</v>
      </c>
      <c r="D38" s="115" t="s">
        <v>1241</v>
      </c>
      <c r="E38" s="133" t="str">
        <f t="shared" si="0"/>
        <v>1200000019THNC-71100 SD VN</v>
      </c>
      <c r="F38" s="133" t="s">
        <v>3074</v>
      </c>
      <c r="G38" s="133" t="s">
        <v>3884</v>
      </c>
      <c r="H38" s="133">
        <f>VLOOKUP(G38,'packing mapping'!A:B,2,0)</f>
        <v>200</v>
      </c>
      <c r="I38" s="137">
        <v>11028000</v>
      </c>
      <c r="J38" s="132">
        <f t="shared" si="1"/>
        <v>55140</v>
      </c>
    </row>
    <row r="39" spans="1:10">
      <c r="A39" s="115" t="s">
        <v>127</v>
      </c>
      <c r="B39" s="115" t="s">
        <v>128</v>
      </c>
      <c r="C39" s="115" t="s">
        <v>1242</v>
      </c>
      <c r="D39" s="115" t="s">
        <v>1243</v>
      </c>
      <c r="E39" s="133" t="str">
        <f t="shared" si="0"/>
        <v>1200000019THPU-71306 ST VN</v>
      </c>
      <c r="F39" s="133" t="s">
        <v>3039</v>
      </c>
      <c r="G39" s="133" t="s">
        <v>3884</v>
      </c>
      <c r="H39" s="133">
        <f>VLOOKUP(G39,'packing mapping'!A:B,2,0)</f>
        <v>200</v>
      </c>
      <c r="I39" s="137">
        <v>10860000</v>
      </c>
      <c r="J39" s="132">
        <f t="shared" si="1"/>
        <v>54300</v>
      </c>
    </row>
    <row r="40" spans="1:10">
      <c r="A40" s="115" t="s">
        <v>127</v>
      </c>
      <c r="B40" s="115" t="s">
        <v>128</v>
      </c>
      <c r="C40" s="115" t="s">
        <v>1244</v>
      </c>
      <c r="D40" s="115" t="s">
        <v>1245</v>
      </c>
      <c r="E40" s="133" t="str">
        <f t="shared" si="0"/>
        <v>1200000019TOL-76114 W VN</v>
      </c>
      <c r="F40" s="133" t="s">
        <v>3075</v>
      </c>
      <c r="G40" s="133" t="s">
        <v>3880</v>
      </c>
      <c r="H40" s="133">
        <f>VLOOKUP(G40,'packing mapping'!A:B,2,0)</f>
        <v>20</v>
      </c>
      <c r="I40" s="137">
        <v>2161000</v>
      </c>
      <c r="J40" s="132">
        <f t="shared" si="1"/>
        <v>108050</v>
      </c>
    </row>
    <row r="41" spans="1:10">
      <c r="A41" s="115" t="s">
        <v>127</v>
      </c>
      <c r="B41" s="115" t="s">
        <v>128</v>
      </c>
      <c r="C41" s="115" t="s">
        <v>1246</v>
      </c>
      <c r="D41" s="115" t="s">
        <v>1247</v>
      </c>
      <c r="E41" s="133" t="str">
        <f t="shared" si="0"/>
        <v>1200000019UVX-03300 VN</v>
      </c>
      <c r="F41" s="133" t="s">
        <v>3076</v>
      </c>
      <c r="G41" s="133" t="s">
        <v>3886</v>
      </c>
      <c r="H41" s="133">
        <f>VLOOKUP(G41,'packing mapping'!A:B,2,0)</f>
        <v>5</v>
      </c>
      <c r="I41" s="137">
        <v>4294250</v>
      </c>
      <c r="J41" s="132">
        <f t="shared" si="1"/>
        <v>858850</v>
      </c>
    </row>
    <row r="42" spans="1:10">
      <c r="A42" s="115" t="s">
        <v>127</v>
      </c>
      <c r="B42" s="115" t="s">
        <v>128</v>
      </c>
      <c r="C42" s="115" t="s">
        <v>1248</v>
      </c>
      <c r="D42" s="115" t="s">
        <v>1249</v>
      </c>
      <c r="E42" s="133" t="str">
        <f t="shared" si="0"/>
        <v>1200000019MEPH-12003 PS VN</v>
      </c>
      <c r="F42" s="133" t="s">
        <v>3077</v>
      </c>
      <c r="G42" s="133" t="s">
        <v>3887</v>
      </c>
      <c r="H42" s="133">
        <f>VLOOKUP(G42,'packing mapping'!A:B,2,0)</f>
        <v>2</v>
      </c>
      <c r="I42" s="137">
        <v>313000</v>
      </c>
      <c r="J42" s="132">
        <f t="shared" si="1"/>
        <v>156500</v>
      </c>
    </row>
    <row r="43" spans="1:10">
      <c r="A43" s="115" t="s">
        <v>127</v>
      </c>
      <c r="B43" s="115" t="s">
        <v>128</v>
      </c>
      <c r="C43" s="115" t="s">
        <v>1250</v>
      </c>
      <c r="D43" s="115" t="s">
        <v>1251</v>
      </c>
      <c r="E43" s="133" t="str">
        <f t="shared" si="0"/>
        <v>1200000019MPULH-13700 PS VN</v>
      </c>
      <c r="F43" s="133" t="s">
        <v>3078</v>
      </c>
      <c r="G43" s="133" t="s">
        <v>3883</v>
      </c>
      <c r="H43" s="133">
        <f>VLOOKUP(G43,'packing mapping'!A:B,2,0)</f>
        <v>4</v>
      </c>
      <c r="I43" s="137">
        <v>1245920</v>
      </c>
      <c r="J43" s="132">
        <f t="shared" si="1"/>
        <v>311480</v>
      </c>
    </row>
    <row r="44" spans="1:10">
      <c r="A44" s="115" t="s">
        <v>127</v>
      </c>
      <c r="B44" s="115" t="s">
        <v>128</v>
      </c>
      <c r="C44" s="115" t="s">
        <v>1252</v>
      </c>
      <c r="D44" s="115" t="s">
        <v>1253</v>
      </c>
      <c r="E44" s="133" t="str">
        <f t="shared" si="0"/>
        <v>1200000019SPE-9110 CRACKING VN</v>
      </c>
      <c r="F44" s="133" t="s">
        <v>3079</v>
      </c>
      <c r="G44" s="133" t="s">
        <v>3888</v>
      </c>
      <c r="H44" s="133">
        <f>VLOOKUP(G44,'packing mapping'!A:B,2,0)</f>
        <v>4</v>
      </c>
      <c r="I44" s="137">
        <v>493920</v>
      </c>
      <c r="J44" s="132">
        <f t="shared" si="1"/>
        <v>123480</v>
      </c>
    </row>
    <row r="45" spans="1:10">
      <c r="A45" s="115" t="s">
        <v>127</v>
      </c>
      <c r="B45" s="115" t="s">
        <v>128</v>
      </c>
      <c r="C45" s="115" t="s">
        <v>1254</v>
      </c>
      <c r="D45" s="115" t="s">
        <v>1255</v>
      </c>
      <c r="E45" s="133" t="str">
        <f t="shared" si="0"/>
        <v>1200000019MEP-12003 BLACK VN</v>
      </c>
      <c r="F45" s="133" t="s">
        <v>3080</v>
      </c>
      <c r="G45" s="133" t="s">
        <v>3882</v>
      </c>
      <c r="H45" s="133">
        <f>VLOOKUP(G45,'packing mapping'!A:B,2,0)</f>
        <v>18</v>
      </c>
      <c r="I45" s="137">
        <v>2260440</v>
      </c>
      <c r="J45" s="132">
        <f t="shared" si="1"/>
        <v>125580</v>
      </c>
    </row>
    <row r="46" spans="1:10">
      <c r="A46" s="115" t="s">
        <v>127</v>
      </c>
      <c r="B46" s="115" t="s">
        <v>128</v>
      </c>
      <c r="C46" s="115" t="s">
        <v>1256</v>
      </c>
      <c r="D46" s="115" t="s">
        <v>1257</v>
      </c>
      <c r="E46" s="133" t="str">
        <f t="shared" si="0"/>
        <v>1200000019DC-12223 LC WHITE 01 05 VN</v>
      </c>
      <c r="F46" s="133" t="s">
        <v>3081</v>
      </c>
      <c r="G46" s="133" t="s">
        <v>3882</v>
      </c>
      <c r="H46" s="133">
        <f>VLOOKUP(G46,'packing mapping'!A:B,2,0)</f>
        <v>18</v>
      </c>
      <c r="I46" s="137">
        <v>2879280</v>
      </c>
      <c r="J46" s="132">
        <f t="shared" si="1"/>
        <v>159960</v>
      </c>
    </row>
    <row r="47" spans="1:10">
      <c r="A47" s="115" t="s">
        <v>127</v>
      </c>
      <c r="B47" s="115" t="s">
        <v>128</v>
      </c>
      <c r="C47" s="115" t="s">
        <v>1258</v>
      </c>
      <c r="D47" s="115" t="s">
        <v>1259</v>
      </c>
      <c r="E47" s="133" t="str">
        <f t="shared" si="0"/>
        <v>1200000019DP-12123 LC WHITE 01 VN</v>
      </c>
      <c r="F47" s="133" t="s">
        <v>3082</v>
      </c>
      <c r="G47" s="133" t="s">
        <v>3881</v>
      </c>
      <c r="H47" s="133">
        <f>VLOOKUP(G47,'packing mapping'!A:B,2,0)</f>
        <v>20</v>
      </c>
      <c r="I47" s="137">
        <v>2876400</v>
      </c>
      <c r="J47" s="132">
        <f t="shared" si="1"/>
        <v>143820</v>
      </c>
    </row>
    <row r="48" spans="1:10">
      <c r="A48" s="115" t="s">
        <v>127</v>
      </c>
      <c r="B48" s="115" t="s">
        <v>128</v>
      </c>
      <c r="C48" s="115" t="s">
        <v>1260</v>
      </c>
      <c r="D48" s="115" t="s">
        <v>1261</v>
      </c>
      <c r="E48" s="133" t="str">
        <f t="shared" si="0"/>
        <v>1200000019NCL-11329 LC CLEAR 05 VN</v>
      </c>
      <c r="F48" s="133" t="s">
        <v>3083</v>
      </c>
      <c r="G48" s="133" t="s">
        <v>3879</v>
      </c>
      <c r="H48" s="133">
        <f>VLOOKUP(G48,'packing mapping'!A:B,2,0)</f>
        <v>20</v>
      </c>
      <c r="I48" s="137">
        <v>1956400</v>
      </c>
      <c r="J48" s="132">
        <f t="shared" si="1"/>
        <v>97820</v>
      </c>
    </row>
    <row r="49" spans="1:10">
      <c r="A49" s="115" t="s">
        <v>127</v>
      </c>
      <c r="B49" s="115" t="s">
        <v>128</v>
      </c>
      <c r="C49" s="115" t="s">
        <v>1262</v>
      </c>
      <c r="D49" s="115" t="s">
        <v>1263</v>
      </c>
      <c r="E49" s="133" t="str">
        <f t="shared" si="0"/>
        <v>1200000019NCL-11329 LC CLEAR 10 VN</v>
      </c>
      <c r="F49" s="133" t="s">
        <v>3084</v>
      </c>
      <c r="G49" s="133" t="s">
        <v>3879</v>
      </c>
      <c r="H49" s="133">
        <f>VLOOKUP(G49,'packing mapping'!A:B,2,0)</f>
        <v>20</v>
      </c>
      <c r="I49" s="137">
        <v>2015600</v>
      </c>
      <c r="J49" s="132">
        <f t="shared" si="1"/>
        <v>100780</v>
      </c>
    </row>
    <row r="50" spans="1:10">
      <c r="A50" s="115" t="s">
        <v>127</v>
      </c>
      <c r="B50" s="115" t="s">
        <v>128</v>
      </c>
      <c r="C50" s="115" t="s">
        <v>1264</v>
      </c>
      <c r="D50" s="115" t="s">
        <v>1265</v>
      </c>
      <c r="E50" s="133" t="str">
        <f t="shared" si="0"/>
        <v>1200000019NCL-11329 LC CLEAR 20 VN</v>
      </c>
      <c r="F50" s="133" t="s">
        <v>3085</v>
      </c>
      <c r="G50" s="133" t="s">
        <v>3879</v>
      </c>
      <c r="H50" s="133">
        <f>VLOOKUP(G50,'packing mapping'!A:B,2,0)</f>
        <v>20</v>
      </c>
      <c r="I50" s="137">
        <v>2087800</v>
      </c>
      <c r="J50" s="132">
        <f t="shared" si="1"/>
        <v>104390</v>
      </c>
    </row>
    <row r="51" spans="1:10">
      <c r="A51" s="115" t="s">
        <v>127</v>
      </c>
      <c r="B51" s="115" t="s">
        <v>128</v>
      </c>
      <c r="C51" s="115" t="s">
        <v>1266</v>
      </c>
      <c r="D51" s="115" t="s">
        <v>1267</v>
      </c>
      <c r="E51" s="133" t="str">
        <f t="shared" si="0"/>
        <v>1200000019NCL-11329 LC CLEAR 30 VN</v>
      </c>
      <c r="F51" s="133" t="s">
        <v>3086</v>
      </c>
      <c r="G51" s="133" t="s">
        <v>3879</v>
      </c>
      <c r="H51" s="133">
        <f>VLOOKUP(G51,'packing mapping'!A:B,2,0)</f>
        <v>20</v>
      </c>
      <c r="I51" s="137">
        <v>2087800</v>
      </c>
      <c r="J51" s="132">
        <f t="shared" si="1"/>
        <v>104390</v>
      </c>
    </row>
    <row r="52" spans="1:10">
      <c r="A52" s="115" t="s">
        <v>127</v>
      </c>
      <c r="B52" s="115" t="s">
        <v>128</v>
      </c>
      <c r="C52" s="115" t="s">
        <v>1268</v>
      </c>
      <c r="D52" s="115" t="s">
        <v>1269</v>
      </c>
      <c r="E52" s="133" t="str">
        <f t="shared" si="0"/>
        <v>1200000019NCL-11329 LC CLEAR 40 VN</v>
      </c>
      <c r="F52" s="133" t="s">
        <v>3087</v>
      </c>
      <c r="G52" s="133" t="s">
        <v>3879</v>
      </c>
      <c r="H52" s="133">
        <f>VLOOKUP(G52,'packing mapping'!A:B,2,0)</f>
        <v>20</v>
      </c>
      <c r="I52" s="137">
        <v>2095600</v>
      </c>
      <c r="J52" s="132">
        <f t="shared" si="1"/>
        <v>104780</v>
      </c>
    </row>
    <row r="53" spans="1:10">
      <c r="A53" s="115" t="s">
        <v>127</v>
      </c>
      <c r="B53" s="115" t="s">
        <v>128</v>
      </c>
      <c r="C53" s="115" t="s">
        <v>1270</v>
      </c>
      <c r="D53" s="115" t="s">
        <v>1271</v>
      </c>
      <c r="E53" s="133" t="str">
        <f t="shared" si="0"/>
        <v>1200000019NCL-11329 LC CLEAR 50 VN</v>
      </c>
      <c r="F53" s="133" t="s">
        <v>3088</v>
      </c>
      <c r="G53" s="133" t="s">
        <v>3879</v>
      </c>
      <c r="H53" s="133">
        <f>VLOOKUP(G53,'packing mapping'!A:B,2,0)</f>
        <v>20</v>
      </c>
      <c r="I53" s="137">
        <v>2095600</v>
      </c>
      <c r="J53" s="132">
        <f t="shared" si="1"/>
        <v>104780</v>
      </c>
    </row>
    <row r="54" spans="1:10">
      <c r="A54" s="115" t="s">
        <v>127</v>
      </c>
      <c r="B54" s="115" t="s">
        <v>128</v>
      </c>
      <c r="C54" s="115" t="s">
        <v>1272</v>
      </c>
      <c r="D54" s="115" t="s">
        <v>1273</v>
      </c>
      <c r="E54" s="133" t="str">
        <f t="shared" si="0"/>
        <v>1200000019NCSS-11229 LC VN</v>
      </c>
      <c r="F54" s="133" t="s">
        <v>3089</v>
      </c>
      <c r="G54" s="133" t="s">
        <v>3879</v>
      </c>
      <c r="H54" s="133">
        <f>VLOOKUP(G54,'packing mapping'!A:B,2,0)</f>
        <v>20</v>
      </c>
      <c r="I54" s="137">
        <v>1945400</v>
      </c>
      <c r="J54" s="132">
        <f t="shared" si="1"/>
        <v>97270</v>
      </c>
    </row>
    <row r="55" spans="1:10">
      <c r="A55" s="115" t="s">
        <v>127</v>
      </c>
      <c r="B55" s="115" t="s">
        <v>128</v>
      </c>
      <c r="C55" s="115" t="s">
        <v>1274</v>
      </c>
      <c r="D55" s="115" t="s">
        <v>1275</v>
      </c>
      <c r="E55" s="133" t="str">
        <f t="shared" si="0"/>
        <v>1200000019PSV-76000 SB HC MY VN</v>
      </c>
      <c r="F55" s="133" t="s">
        <v>3090</v>
      </c>
      <c r="G55" s="133" t="s">
        <v>3880</v>
      </c>
      <c r="H55" s="133">
        <f>VLOOKUP(G55,'packing mapping'!A:B,2,0)</f>
        <v>20</v>
      </c>
      <c r="I55" s="137">
        <v>10293000</v>
      </c>
      <c r="J55" s="132">
        <f t="shared" si="1"/>
        <v>514650</v>
      </c>
    </row>
    <row r="56" spans="1:10">
      <c r="A56" s="115" t="s">
        <v>127</v>
      </c>
      <c r="B56" s="115" t="s">
        <v>128</v>
      </c>
      <c r="C56" s="115" t="s">
        <v>1172</v>
      </c>
      <c r="D56" s="115" t="s">
        <v>1173</v>
      </c>
      <c r="E56" s="133" t="str">
        <f t="shared" si="0"/>
        <v>1200000019PUH-56135 S VN</v>
      </c>
      <c r="F56" s="133" t="s">
        <v>3040</v>
      </c>
      <c r="G56" s="133" t="s">
        <v>3881</v>
      </c>
      <c r="H56" s="133">
        <f>VLOOKUP(G56,'packing mapping'!A:B,2,0)</f>
        <v>20</v>
      </c>
      <c r="I56" s="137">
        <v>2656000</v>
      </c>
      <c r="J56" s="132">
        <f t="shared" si="1"/>
        <v>132800</v>
      </c>
    </row>
    <row r="57" spans="1:10">
      <c r="A57" s="115" t="s">
        <v>127</v>
      </c>
      <c r="B57" s="115" t="s">
        <v>128</v>
      </c>
      <c r="C57" s="115" t="s">
        <v>1276</v>
      </c>
      <c r="D57" s="115" t="s">
        <v>1277</v>
      </c>
      <c r="E57" s="133" t="str">
        <f t="shared" si="0"/>
        <v>1200000019PUL-51335 CLEAR 10 VN</v>
      </c>
      <c r="F57" s="133" t="s">
        <v>3091</v>
      </c>
      <c r="G57" s="133" t="s">
        <v>3881</v>
      </c>
      <c r="H57" s="133">
        <f>VLOOKUP(G57,'packing mapping'!A:B,2,0)</f>
        <v>20</v>
      </c>
      <c r="I57" s="137">
        <v>1693400</v>
      </c>
      <c r="J57" s="132">
        <f t="shared" si="1"/>
        <v>84670</v>
      </c>
    </row>
    <row r="58" spans="1:10">
      <c r="A58" s="115" t="s">
        <v>127</v>
      </c>
      <c r="B58" s="115" t="s">
        <v>128</v>
      </c>
      <c r="C58" s="115" t="s">
        <v>1278</v>
      </c>
      <c r="D58" s="115" t="s">
        <v>1279</v>
      </c>
      <c r="E58" s="133" t="str">
        <f t="shared" si="0"/>
        <v>1200000019PUL-51335 CLEAR 20 VN</v>
      </c>
      <c r="F58" s="133" t="s">
        <v>3092</v>
      </c>
      <c r="G58" s="133" t="s">
        <v>3881</v>
      </c>
      <c r="H58" s="133">
        <f>VLOOKUP(G58,'packing mapping'!A:B,2,0)</f>
        <v>20</v>
      </c>
      <c r="I58" s="137">
        <v>1658200</v>
      </c>
      <c r="J58" s="132">
        <f t="shared" si="1"/>
        <v>82910</v>
      </c>
    </row>
    <row r="59" spans="1:10">
      <c r="A59" s="115" t="s">
        <v>127</v>
      </c>
      <c r="B59" s="115" t="s">
        <v>128</v>
      </c>
      <c r="C59" s="115" t="s">
        <v>1280</v>
      </c>
      <c r="D59" s="115" t="s">
        <v>1281</v>
      </c>
      <c r="E59" s="133" t="str">
        <f t="shared" si="0"/>
        <v>1200000019PUL-51335 CLEAR 30 VN</v>
      </c>
      <c r="F59" s="133" t="s">
        <v>3093</v>
      </c>
      <c r="G59" s="133" t="s">
        <v>3881</v>
      </c>
      <c r="H59" s="133">
        <f>VLOOKUP(G59,'packing mapping'!A:B,2,0)</f>
        <v>20</v>
      </c>
      <c r="I59" s="137">
        <v>1645000</v>
      </c>
      <c r="J59" s="132">
        <f t="shared" si="1"/>
        <v>82250</v>
      </c>
    </row>
    <row r="60" spans="1:10">
      <c r="A60" s="115" t="s">
        <v>127</v>
      </c>
      <c r="B60" s="115" t="s">
        <v>128</v>
      </c>
      <c r="C60" s="115" t="s">
        <v>1282</v>
      </c>
      <c r="D60" s="115" t="s">
        <v>1283</v>
      </c>
      <c r="E60" s="133" t="str">
        <f t="shared" si="0"/>
        <v>1200000019PUL-51335 CLEAR 40 VN</v>
      </c>
      <c r="F60" s="133" t="s">
        <v>3094</v>
      </c>
      <c r="G60" s="133" t="s">
        <v>3882</v>
      </c>
      <c r="H60" s="133">
        <f>VLOOKUP(G60,'packing mapping'!A:B,2,0)</f>
        <v>18</v>
      </c>
      <c r="I60" s="137">
        <v>1480500</v>
      </c>
      <c r="J60" s="132">
        <f t="shared" si="1"/>
        <v>82250</v>
      </c>
    </row>
    <row r="61" spans="1:10">
      <c r="A61" s="115" t="s">
        <v>127</v>
      </c>
      <c r="B61" s="115" t="s">
        <v>128</v>
      </c>
      <c r="C61" s="115" t="s">
        <v>1284</v>
      </c>
      <c r="D61" s="115" t="s">
        <v>1285</v>
      </c>
      <c r="E61" s="133" t="str">
        <f t="shared" si="0"/>
        <v>1200000019PUL-51335 CLEAR 50 VN</v>
      </c>
      <c r="F61" s="133" t="s">
        <v>3095</v>
      </c>
      <c r="G61" s="133" t="s">
        <v>3881</v>
      </c>
      <c r="H61" s="133">
        <f>VLOOKUP(G61,'packing mapping'!A:B,2,0)</f>
        <v>20</v>
      </c>
      <c r="I61" s="137">
        <v>1636200</v>
      </c>
      <c r="J61" s="132">
        <f t="shared" si="1"/>
        <v>81810</v>
      </c>
    </row>
    <row r="62" spans="1:10">
      <c r="A62" s="115" t="s">
        <v>127</v>
      </c>
      <c r="B62" s="115" t="s">
        <v>128</v>
      </c>
      <c r="C62" s="115" t="s">
        <v>1286</v>
      </c>
      <c r="D62" s="115" t="s">
        <v>1287</v>
      </c>
      <c r="E62" s="133" t="str">
        <f t="shared" si="0"/>
        <v>1200000019PUL-51335 CLEAR 90 AA VN</v>
      </c>
      <c r="F62" s="133" t="s">
        <v>3096</v>
      </c>
      <c r="G62" s="133" t="s">
        <v>3879</v>
      </c>
      <c r="H62" s="133">
        <f>VLOOKUP(G62,'packing mapping'!A:B,2,0)</f>
        <v>20</v>
      </c>
      <c r="I62" s="137">
        <v>1933800</v>
      </c>
      <c r="J62" s="132">
        <f t="shared" si="1"/>
        <v>96690</v>
      </c>
    </row>
    <row r="63" spans="1:10">
      <c r="A63" s="115" t="s">
        <v>127</v>
      </c>
      <c r="B63" s="115" t="s">
        <v>128</v>
      </c>
      <c r="C63" s="115" t="s">
        <v>1288</v>
      </c>
      <c r="D63" s="115" t="s">
        <v>1289</v>
      </c>
      <c r="E63" s="133" t="str">
        <f t="shared" si="0"/>
        <v>1200000019PUP-52135 BLACK VN</v>
      </c>
      <c r="F63" s="133" t="s">
        <v>3097</v>
      </c>
      <c r="G63" s="133" t="s">
        <v>3881</v>
      </c>
      <c r="H63" s="133">
        <f>VLOOKUP(G63,'packing mapping'!A:B,2,0)</f>
        <v>20</v>
      </c>
      <c r="I63" s="137">
        <v>2538000</v>
      </c>
      <c r="J63" s="132">
        <f t="shared" si="1"/>
        <v>126900</v>
      </c>
    </row>
    <row r="64" spans="1:10">
      <c r="A64" s="115" t="s">
        <v>127</v>
      </c>
      <c r="B64" s="115" t="s">
        <v>128</v>
      </c>
      <c r="C64" s="115" t="s">
        <v>1290</v>
      </c>
      <c r="D64" s="115" t="s">
        <v>1291</v>
      </c>
      <c r="E64" s="133" t="str">
        <f t="shared" si="0"/>
        <v>1200000019PUP-52135 WHITE VN</v>
      </c>
      <c r="F64" s="133" t="s">
        <v>3098</v>
      </c>
      <c r="G64" s="133" t="s">
        <v>3889</v>
      </c>
      <c r="H64" s="133">
        <f>VLOOKUP(G64,'packing mapping'!A:B,2,0)</f>
        <v>200</v>
      </c>
      <c r="I64" s="137">
        <v>18388000</v>
      </c>
      <c r="J64" s="132">
        <f t="shared" si="1"/>
        <v>91940</v>
      </c>
    </row>
    <row r="65" spans="1:10">
      <c r="A65" s="115" t="s">
        <v>127</v>
      </c>
      <c r="B65" s="115" t="s">
        <v>128</v>
      </c>
      <c r="C65" s="115" t="s">
        <v>1292</v>
      </c>
      <c r="D65" s="115" t="s">
        <v>1293</v>
      </c>
      <c r="E65" s="133" t="str">
        <f t="shared" si="0"/>
        <v>1200000019PUP-52135 WHITE VN</v>
      </c>
      <c r="F65" s="133" t="s">
        <v>3098</v>
      </c>
      <c r="G65" s="133" t="s">
        <v>3881</v>
      </c>
      <c r="H65" s="133">
        <f>VLOOKUP(G65,'packing mapping'!A:B,2,0)</f>
        <v>20</v>
      </c>
      <c r="I65" s="137">
        <v>2031000</v>
      </c>
      <c r="J65" s="132">
        <f t="shared" si="1"/>
        <v>101550</v>
      </c>
    </row>
    <row r="66" spans="1:10">
      <c r="A66" s="115" t="s">
        <v>127</v>
      </c>
      <c r="B66" s="115" t="s">
        <v>128</v>
      </c>
      <c r="C66" s="115" t="s">
        <v>1294</v>
      </c>
      <c r="D66" s="115" t="s">
        <v>1295</v>
      </c>
      <c r="E66" s="133" t="str">
        <f t="shared" si="0"/>
        <v>1200000019PUSS-51235 VN</v>
      </c>
      <c r="F66" s="133" t="s">
        <v>3042</v>
      </c>
      <c r="G66" s="133" t="s">
        <v>3889</v>
      </c>
      <c r="H66" s="133">
        <f>VLOOKUP(G66,'packing mapping'!A:B,2,0)</f>
        <v>200</v>
      </c>
      <c r="I66" s="137">
        <v>13606000</v>
      </c>
      <c r="J66" s="132">
        <f t="shared" si="1"/>
        <v>68030</v>
      </c>
    </row>
    <row r="67" spans="1:10">
      <c r="A67" s="115" t="s">
        <v>127</v>
      </c>
      <c r="B67" s="115" t="s">
        <v>128</v>
      </c>
      <c r="C67" s="115" t="s">
        <v>1176</v>
      </c>
      <c r="D67" s="115" t="s">
        <v>1177</v>
      </c>
      <c r="E67" s="133" t="str">
        <f t="shared" ref="E67:E130" si="2">A67&amp;F67</f>
        <v>1200000019PUSS-51235 VN</v>
      </c>
      <c r="F67" s="133" t="s">
        <v>3042</v>
      </c>
      <c r="G67" s="133" t="s">
        <v>3881</v>
      </c>
      <c r="H67" s="133">
        <f>VLOOKUP(G67,'packing mapping'!A:B,2,0)</f>
        <v>20</v>
      </c>
      <c r="I67" s="137">
        <v>1801600</v>
      </c>
      <c r="J67" s="132">
        <f t="shared" ref="J67:J130" si="3">I67/H67</f>
        <v>90080</v>
      </c>
    </row>
    <row r="68" spans="1:10">
      <c r="A68" s="115" t="s">
        <v>127</v>
      </c>
      <c r="B68" s="115" t="s">
        <v>128</v>
      </c>
      <c r="C68" s="115" t="s">
        <v>1296</v>
      </c>
      <c r="D68" s="115" t="s">
        <v>1297</v>
      </c>
      <c r="E68" s="133" t="str">
        <f t="shared" si="2"/>
        <v>1200000019RD-74106 VN</v>
      </c>
      <c r="F68" s="133" t="s">
        <v>3099</v>
      </c>
      <c r="G68" s="133" t="s">
        <v>3880</v>
      </c>
      <c r="H68" s="133">
        <f>VLOOKUP(G68,'packing mapping'!A:B,2,0)</f>
        <v>20</v>
      </c>
      <c r="I68" s="137">
        <v>1366200</v>
      </c>
      <c r="J68" s="132">
        <f t="shared" si="3"/>
        <v>68310</v>
      </c>
    </row>
    <row r="69" spans="1:10">
      <c r="A69" s="115" t="s">
        <v>127</v>
      </c>
      <c r="B69" s="115" t="s">
        <v>128</v>
      </c>
      <c r="C69" s="115" t="s">
        <v>1298</v>
      </c>
      <c r="D69" s="115" t="s">
        <v>1299</v>
      </c>
      <c r="E69" s="133" t="str">
        <f t="shared" si="2"/>
        <v>1200000019PUP-52122 PUTTY VN</v>
      </c>
      <c r="F69" s="133" t="s">
        <v>3100</v>
      </c>
      <c r="G69" s="133" t="s">
        <v>3883</v>
      </c>
      <c r="H69" s="133">
        <f>VLOOKUP(G69,'packing mapping'!A:B,2,0)</f>
        <v>4</v>
      </c>
      <c r="I69" s="137">
        <v>568480</v>
      </c>
      <c r="J69" s="132">
        <f t="shared" si="3"/>
        <v>142120</v>
      </c>
    </row>
    <row r="70" spans="1:10">
      <c r="A70" s="115" t="s">
        <v>127</v>
      </c>
      <c r="B70" s="115" t="s">
        <v>128</v>
      </c>
      <c r="C70" s="115" t="s">
        <v>1300</v>
      </c>
      <c r="D70" s="115" t="s">
        <v>1301</v>
      </c>
      <c r="E70" s="133" t="str">
        <f t="shared" si="2"/>
        <v>1200000019GZPU-21500 BLACK VN</v>
      </c>
      <c r="F70" s="133" t="s">
        <v>3101</v>
      </c>
      <c r="G70" s="133" t="s">
        <v>3883</v>
      </c>
      <c r="H70" s="133">
        <f>VLOOKUP(G70,'packing mapping'!A:B,2,0)</f>
        <v>4</v>
      </c>
      <c r="I70" s="137">
        <v>1712480</v>
      </c>
      <c r="J70" s="132">
        <f t="shared" si="3"/>
        <v>428120</v>
      </c>
    </row>
    <row r="71" spans="1:10">
      <c r="A71" s="115" t="s">
        <v>127</v>
      </c>
      <c r="B71" s="115" t="s">
        <v>128</v>
      </c>
      <c r="C71" s="115" t="s">
        <v>1302</v>
      </c>
      <c r="D71" s="115" t="s">
        <v>1303</v>
      </c>
      <c r="E71" s="133" t="str">
        <f t="shared" si="2"/>
        <v>1200000019GZPU-21500 BROWN VN</v>
      </c>
      <c r="F71" s="133" t="s">
        <v>3102</v>
      </c>
      <c r="G71" s="133" t="s">
        <v>3883</v>
      </c>
      <c r="H71" s="133">
        <f>VLOOKUP(G71,'packing mapping'!A:B,2,0)</f>
        <v>4</v>
      </c>
      <c r="I71" s="137">
        <v>1309560</v>
      </c>
      <c r="J71" s="132">
        <f t="shared" si="3"/>
        <v>327390</v>
      </c>
    </row>
    <row r="72" spans="1:10">
      <c r="A72" s="115" t="s">
        <v>127</v>
      </c>
      <c r="B72" s="115" t="s">
        <v>128</v>
      </c>
      <c r="C72" s="115" t="s">
        <v>1304</v>
      </c>
      <c r="D72" s="115" t="s">
        <v>1305</v>
      </c>
      <c r="E72" s="133" t="str">
        <f t="shared" si="2"/>
        <v>1200000019GZ-12700 N BLACK VN</v>
      </c>
      <c r="F72" s="133" t="s">
        <v>3103</v>
      </c>
      <c r="G72" s="133" t="s">
        <v>3883</v>
      </c>
      <c r="H72" s="133">
        <f>VLOOKUP(G72,'packing mapping'!A:B,2,0)</f>
        <v>4</v>
      </c>
      <c r="I72" s="137">
        <v>1347480</v>
      </c>
      <c r="J72" s="132">
        <f t="shared" si="3"/>
        <v>336870</v>
      </c>
    </row>
    <row r="73" spans="1:10">
      <c r="A73" s="115" t="s">
        <v>127</v>
      </c>
      <c r="B73" s="115" t="s">
        <v>128</v>
      </c>
      <c r="C73" s="115" t="s">
        <v>1306</v>
      </c>
      <c r="D73" s="115" t="s">
        <v>1307</v>
      </c>
      <c r="E73" s="133" t="str">
        <f t="shared" si="2"/>
        <v>1200000019GZ-12700 N RED VN</v>
      </c>
      <c r="F73" s="133" t="s">
        <v>3104</v>
      </c>
      <c r="G73" s="133" t="s">
        <v>3883</v>
      </c>
      <c r="H73" s="133">
        <f>VLOOKUP(G73,'packing mapping'!A:B,2,0)</f>
        <v>4</v>
      </c>
      <c r="I73" s="137">
        <v>1426200</v>
      </c>
      <c r="J73" s="132">
        <f t="shared" si="3"/>
        <v>356550</v>
      </c>
    </row>
    <row r="74" spans="1:10">
      <c r="A74" s="115" t="s">
        <v>127</v>
      </c>
      <c r="B74" s="115" t="s">
        <v>128</v>
      </c>
      <c r="C74" s="115" t="s">
        <v>1308</v>
      </c>
      <c r="D74" s="115" t="s">
        <v>1309</v>
      </c>
      <c r="E74" s="133" t="str">
        <f t="shared" si="2"/>
        <v>1200000019GZ-12700 N YELLOW</v>
      </c>
      <c r="F74" s="133" t="s">
        <v>3105</v>
      </c>
      <c r="G74" s="133" t="s">
        <v>3883</v>
      </c>
      <c r="H74" s="133">
        <f>VLOOKUP(G74,'packing mapping'!A:B,2,0)</f>
        <v>4</v>
      </c>
      <c r="I74" s="137">
        <v>1407680</v>
      </c>
      <c r="J74" s="132">
        <f t="shared" si="3"/>
        <v>351920</v>
      </c>
    </row>
    <row r="75" spans="1:10">
      <c r="A75" s="115" t="s">
        <v>127</v>
      </c>
      <c r="B75" s="115" t="s">
        <v>128</v>
      </c>
      <c r="C75" s="115" t="s">
        <v>1310</v>
      </c>
      <c r="D75" s="115" t="s">
        <v>1311</v>
      </c>
      <c r="E75" s="133" t="str">
        <f t="shared" si="2"/>
        <v>1200000019GZPU-21500 RED VN</v>
      </c>
      <c r="F75" s="133" t="s">
        <v>3106</v>
      </c>
      <c r="G75" s="133" t="s">
        <v>3883</v>
      </c>
      <c r="H75" s="133">
        <f>VLOOKUP(G75,'packing mapping'!A:B,2,0)</f>
        <v>4</v>
      </c>
      <c r="I75" s="137">
        <v>1767120</v>
      </c>
      <c r="J75" s="132">
        <f t="shared" si="3"/>
        <v>441780</v>
      </c>
    </row>
    <row r="76" spans="1:10">
      <c r="A76" s="115" t="s">
        <v>127</v>
      </c>
      <c r="B76" s="115" t="s">
        <v>128</v>
      </c>
      <c r="C76" s="115" t="s">
        <v>1312</v>
      </c>
      <c r="D76" s="115" t="s">
        <v>1313</v>
      </c>
      <c r="E76" s="133" t="str">
        <f t="shared" si="2"/>
        <v>1200000019GZPU-21500 YELLOW VN</v>
      </c>
      <c r="F76" s="133" t="s">
        <v>3107</v>
      </c>
      <c r="G76" s="133" t="s">
        <v>3883</v>
      </c>
      <c r="H76" s="133">
        <f>VLOOKUP(G76,'packing mapping'!A:B,2,0)</f>
        <v>4</v>
      </c>
      <c r="I76" s="137">
        <v>1596000</v>
      </c>
      <c r="J76" s="132">
        <f t="shared" si="3"/>
        <v>399000</v>
      </c>
    </row>
    <row r="77" spans="1:10">
      <c r="A77" s="115" t="s">
        <v>127</v>
      </c>
      <c r="B77" s="115" t="s">
        <v>128</v>
      </c>
      <c r="C77" s="115" t="s">
        <v>1314</v>
      </c>
      <c r="D77" s="115" t="s">
        <v>1315</v>
      </c>
      <c r="E77" s="133" t="str">
        <f t="shared" si="2"/>
        <v>1200000019PCL-31300 RED 31701 PASTE</v>
      </c>
      <c r="F77" s="133" t="s">
        <v>3108</v>
      </c>
      <c r="G77" s="133" t="s">
        <v>3883</v>
      </c>
      <c r="H77" s="133">
        <f>VLOOKUP(G77,'packing mapping'!A:B,2,0)</f>
        <v>4</v>
      </c>
      <c r="I77" s="137">
        <v>3318960</v>
      </c>
      <c r="J77" s="132">
        <f t="shared" si="3"/>
        <v>829740</v>
      </c>
    </row>
    <row r="78" spans="1:10">
      <c r="A78" s="115" t="s">
        <v>127</v>
      </c>
      <c r="B78" s="115" t="s">
        <v>128</v>
      </c>
      <c r="C78" s="115" t="s">
        <v>1316</v>
      </c>
      <c r="D78" s="115" t="s">
        <v>1317</v>
      </c>
      <c r="E78" s="133" t="str">
        <f t="shared" si="2"/>
        <v>1200000019PCL-31300 YELLOW 170 HR PASTE</v>
      </c>
      <c r="F78" s="133" t="s">
        <v>3109</v>
      </c>
      <c r="G78" s="133" t="s">
        <v>3883</v>
      </c>
      <c r="H78" s="133">
        <f>VLOOKUP(G78,'packing mapping'!A:B,2,0)</f>
        <v>4</v>
      </c>
      <c r="I78" s="137">
        <v>2243920</v>
      </c>
      <c r="J78" s="132">
        <f t="shared" si="3"/>
        <v>560980</v>
      </c>
    </row>
    <row r="79" spans="1:10">
      <c r="A79" s="115" t="s">
        <v>127</v>
      </c>
      <c r="B79" s="115" t="s">
        <v>128</v>
      </c>
      <c r="C79" s="115" t="s">
        <v>1318</v>
      </c>
      <c r="D79" s="115" t="s">
        <v>1319</v>
      </c>
      <c r="E79" s="133" t="str">
        <f t="shared" si="2"/>
        <v>1200000019GZPU-21500 WHITE VN</v>
      </c>
      <c r="F79" s="133" t="s">
        <v>3110</v>
      </c>
      <c r="G79" s="133" t="s">
        <v>3883</v>
      </c>
      <c r="H79" s="133">
        <f>VLOOKUP(G79,'packing mapping'!A:B,2,0)</f>
        <v>4</v>
      </c>
      <c r="I79" s="137">
        <v>1066320</v>
      </c>
      <c r="J79" s="132">
        <f t="shared" si="3"/>
        <v>266580</v>
      </c>
    </row>
    <row r="80" spans="1:10">
      <c r="A80" s="115" t="s">
        <v>127</v>
      </c>
      <c r="B80" s="115" t="s">
        <v>128</v>
      </c>
      <c r="C80" s="115" t="s">
        <v>1320</v>
      </c>
      <c r="D80" s="115" t="s">
        <v>1321</v>
      </c>
      <c r="E80" s="133" t="str">
        <f t="shared" si="2"/>
        <v>1200000019THC-73100 102 VN</v>
      </c>
      <c r="F80" s="133" t="s">
        <v>3111</v>
      </c>
      <c r="G80" s="133" t="s">
        <v>3880</v>
      </c>
      <c r="H80" s="133">
        <f>VLOOKUP(G80,'packing mapping'!A:B,2,0)</f>
        <v>20</v>
      </c>
      <c r="I80" s="137">
        <v>970000</v>
      </c>
      <c r="J80" s="132">
        <f t="shared" si="3"/>
        <v>48500</v>
      </c>
    </row>
    <row r="81" spans="1:10">
      <c r="A81" s="115" t="s">
        <v>127</v>
      </c>
      <c r="B81" s="115" t="s">
        <v>128</v>
      </c>
      <c r="C81" s="115" t="s">
        <v>1322</v>
      </c>
      <c r="D81" s="115" t="s">
        <v>1323</v>
      </c>
      <c r="E81" s="133" t="str">
        <f t="shared" si="2"/>
        <v>1200000019MPUL-13700 90 VN</v>
      </c>
      <c r="F81" s="133" t="s">
        <v>3112</v>
      </c>
      <c r="G81" s="133" t="s">
        <v>3890</v>
      </c>
      <c r="H81" s="133">
        <f>VLOOKUP(G81,'packing mapping'!A:B,2,0)</f>
        <v>16</v>
      </c>
      <c r="I81" s="137">
        <v>2464800</v>
      </c>
      <c r="J81" s="132">
        <f t="shared" si="3"/>
        <v>154050</v>
      </c>
    </row>
    <row r="82" spans="1:10">
      <c r="A82" s="115" t="s">
        <v>127</v>
      </c>
      <c r="B82" s="115" t="s">
        <v>128</v>
      </c>
      <c r="C82" s="115" t="s">
        <v>1324</v>
      </c>
      <c r="D82" s="115" t="s">
        <v>1325</v>
      </c>
      <c r="E82" s="133" t="str">
        <f t="shared" si="2"/>
        <v>1200000019DP-12129 LC BLACK VN</v>
      </c>
      <c r="F82" s="133" t="s">
        <v>3113</v>
      </c>
      <c r="G82" s="133" t="s">
        <v>3881</v>
      </c>
      <c r="H82" s="133">
        <f>VLOOKUP(G82,'packing mapping'!A:B,2,0)</f>
        <v>20</v>
      </c>
      <c r="I82" s="137">
        <v>2725400</v>
      </c>
      <c r="J82" s="132">
        <f t="shared" si="3"/>
        <v>136270</v>
      </c>
    </row>
    <row r="83" spans="1:10">
      <c r="A83" s="115" t="s">
        <v>127</v>
      </c>
      <c r="B83" s="115" t="s">
        <v>128</v>
      </c>
      <c r="C83" s="115" t="s">
        <v>1326</v>
      </c>
      <c r="D83" s="115" t="s">
        <v>1327</v>
      </c>
      <c r="E83" s="133" t="str">
        <f t="shared" si="2"/>
        <v>1200000019PUL-53306 AC EX CLEAR 10 AA VN</v>
      </c>
      <c r="F83" s="133" t="s">
        <v>3114</v>
      </c>
      <c r="G83" s="133" t="s">
        <v>3879</v>
      </c>
      <c r="H83" s="133">
        <f>VLOOKUP(G83,'packing mapping'!A:B,2,0)</f>
        <v>20</v>
      </c>
      <c r="I83" s="137">
        <v>3230400</v>
      </c>
      <c r="J83" s="132">
        <f t="shared" si="3"/>
        <v>161520</v>
      </c>
    </row>
    <row r="84" spans="1:10">
      <c r="A84" s="115" t="s">
        <v>127</v>
      </c>
      <c r="B84" s="115" t="s">
        <v>128</v>
      </c>
      <c r="C84" s="115" t="s">
        <v>1328</v>
      </c>
      <c r="D84" s="115" t="s">
        <v>1329</v>
      </c>
      <c r="E84" s="133" t="str">
        <f t="shared" si="2"/>
        <v>1200000019NCL-11329 LC CLEAR 80 VN</v>
      </c>
      <c r="F84" s="133" t="s">
        <v>3115</v>
      </c>
      <c r="G84" s="133" t="s">
        <v>3879</v>
      </c>
      <c r="H84" s="133">
        <f>VLOOKUP(G84,'packing mapping'!A:B,2,0)</f>
        <v>20</v>
      </c>
      <c r="I84" s="137">
        <v>1895000</v>
      </c>
      <c r="J84" s="132">
        <f t="shared" si="3"/>
        <v>94750</v>
      </c>
    </row>
    <row r="85" spans="1:10">
      <c r="A85" s="115" t="s">
        <v>127</v>
      </c>
      <c r="B85" s="115" t="s">
        <v>128</v>
      </c>
      <c r="C85" s="115" t="s">
        <v>1330</v>
      </c>
      <c r="D85" s="115" t="s">
        <v>1331</v>
      </c>
      <c r="E85" s="133" t="str">
        <f t="shared" si="2"/>
        <v>1200000019SST-11100 BROWN AA VN</v>
      </c>
      <c r="F85" s="133" t="s">
        <v>3116</v>
      </c>
      <c r="G85" s="133" t="s">
        <v>3883</v>
      </c>
      <c r="H85" s="133">
        <f>VLOOKUP(G85,'packing mapping'!A:B,2,0)</f>
        <v>4</v>
      </c>
      <c r="I85" s="137">
        <v>593240</v>
      </c>
      <c r="J85" s="132">
        <f t="shared" si="3"/>
        <v>148310</v>
      </c>
    </row>
    <row r="86" spans="1:10">
      <c r="A86" s="115" t="s">
        <v>127</v>
      </c>
      <c r="B86" s="115" t="s">
        <v>128</v>
      </c>
      <c r="C86" s="115" t="s">
        <v>1332</v>
      </c>
      <c r="D86" s="115" t="s">
        <v>1333</v>
      </c>
      <c r="E86" s="133" t="str">
        <f t="shared" si="2"/>
        <v>1200000019WFPU-51000 VN</v>
      </c>
      <c r="F86" s="133" t="s">
        <v>3117</v>
      </c>
      <c r="G86" s="133" t="s">
        <v>3881</v>
      </c>
      <c r="H86" s="133">
        <f>VLOOKUP(G86,'packing mapping'!A:B,2,0)</f>
        <v>20</v>
      </c>
      <c r="I86" s="137">
        <v>1874200</v>
      </c>
      <c r="J86" s="132">
        <f t="shared" si="3"/>
        <v>93710</v>
      </c>
    </row>
    <row r="87" spans="1:10">
      <c r="A87" s="115" t="s">
        <v>127</v>
      </c>
      <c r="B87" s="115" t="s">
        <v>128</v>
      </c>
      <c r="C87" s="115" t="s">
        <v>1334</v>
      </c>
      <c r="D87" s="115" t="s">
        <v>1335</v>
      </c>
      <c r="E87" s="133" t="str">
        <f t="shared" si="2"/>
        <v>1200000019MEP-12003 HC VN</v>
      </c>
      <c r="F87" s="133" t="s">
        <v>3118</v>
      </c>
      <c r="G87" s="133" t="s">
        <v>3882</v>
      </c>
      <c r="H87" s="133">
        <f>VLOOKUP(G87,'packing mapping'!A:B,2,0)</f>
        <v>18</v>
      </c>
      <c r="I87" s="137">
        <v>2665260</v>
      </c>
      <c r="J87" s="132">
        <f t="shared" si="3"/>
        <v>148070</v>
      </c>
    </row>
    <row r="88" spans="1:10">
      <c r="A88" s="115" t="s">
        <v>127</v>
      </c>
      <c r="B88" s="115" t="s">
        <v>128</v>
      </c>
      <c r="C88" s="115" t="s">
        <v>1336</v>
      </c>
      <c r="D88" s="115" t="s">
        <v>1337</v>
      </c>
      <c r="E88" s="133" t="str">
        <f t="shared" si="2"/>
        <v>1200000019NCL-11329 LC CLEAR 03 VN</v>
      </c>
      <c r="F88" s="133" t="s">
        <v>3119</v>
      </c>
      <c r="G88" s="133" t="s">
        <v>3882</v>
      </c>
      <c r="H88" s="133">
        <f>VLOOKUP(G88,'packing mapping'!A:B,2,0)</f>
        <v>18</v>
      </c>
      <c r="I88" s="137">
        <v>2064780</v>
      </c>
      <c r="J88" s="132">
        <f t="shared" si="3"/>
        <v>114710</v>
      </c>
    </row>
    <row r="89" spans="1:10">
      <c r="A89" s="115" t="s">
        <v>883</v>
      </c>
      <c r="B89" s="115" t="s">
        <v>884</v>
      </c>
      <c r="C89" s="115" t="s">
        <v>1210</v>
      </c>
      <c r="D89" s="115" t="s">
        <v>1211</v>
      </c>
      <c r="E89" s="133" t="str">
        <f t="shared" si="2"/>
        <v>1200000949PUH-56306 LY VN</v>
      </c>
      <c r="F89" s="133" t="s">
        <v>3059</v>
      </c>
      <c r="G89" s="133" t="s">
        <v>3879</v>
      </c>
      <c r="H89" s="133">
        <f>VLOOKUP(G89,'packing mapping'!A:B,2,0)</f>
        <v>20</v>
      </c>
      <c r="I89" s="137">
        <v>2939600</v>
      </c>
      <c r="J89" s="132">
        <f t="shared" si="3"/>
        <v>146980</v>
      </c>
    </row>
    <row r="90" spans="1:10">
      <c r="A90" s="115" t="s">
        <v>883</v>
      </c>
      <c r="B90" s="115" t="s">
        <v>884</v>
      </c>
      <c r="C90" s="115" t="s">
        <v>1338</v>
      </c>
      <c r="D90" s="115" t="s">
        <v>1339</v>
      </c>
      <c r="E90" s="133" t="str">
        <f t="shared" si="2"/>
        <v>1200000949RD-74103 VN</v>
      </c>
      <c r="F90" s="133" t="s">
        <v>3120</v>
      </c>
      <c r="G90" s="133" t="s">
        <v>3880</v>
      </c>
      <c r="H90" s="133">
        <f>VLOOKUP(G90,'packing mapping'!A:B,2,0)</f>
        <v>20</v>
      </c>
      <c r="I90" s="137">
        <v>1442400</v>
      </c>
      <c r="J90" s="132">
        <f t="shared" si="3"/>
        <v>72120</v>
      </c>
    </row>
    <row r="91" spans="1:10">
      <c r="A91" s="115" t="s">
        <v>883</v>
      </c>
      <c r="B91" s="115" t="s">
        <v>884</v>
      </c>
      <c r="C91" s="115" t="s">
        <v>1250</v>
      </c>
      <c r="D91" s="115" t="s">
        <v>1251</v>
      </c>
      <c r="E91" s="133" t="str">
        <f t="shared" si="2"/>
        <v>1200000949MPULH-13700 PS VN</v>
      </c>
      <c r="F91" s="133" t="s">
        <v>3078</v>
      </c>
      <c r="G91" s="133" t="s">
        <v>3883</v>
      </c>
      <c r="H91" s="133">
        <f>VLOOKUP(G91,'packing mapping'!A:B,2,0)</f>
        <v>4</v>
      </c>
      <c r="I91" s="137">
        <v>650000</v>
      </c>
      <c r="J91" s="132">
        <f t="shared" si="3"/>
        <v>162500</v>
      </c>
    </row>
    <row r="92" spans="1:10">
      <c r="A92" s="115" t="s">
        <v>883</v>
      </c>
      <c r="B92" s="115" t="s">
        <v>884</v>
      </c>
      <c r="C92" s="115" t="s">
        <v>1340</v>
      </c>
      <c r="D92" s="115" t="s">
        <v>1341</v>
      </c>
      <c r="E92" s="133" t="str">
        <f t="shared" si="2"/>
        <v>1200000949PRCC-20401 EECV</v>
      </c>
      <c r="F92" s="133" t="s">
        <v>3121</v>
      </c>
      <c r="G92" s="133" t="s">
        <v>3891</v>
      </c>
      <c r="H92" s="133">
        <f>VLOOKUP(G92,'packing mapping'!A:B,2,0)</f>
        <v>200</v>
      </c>
      <c r="I92" s="137">
        <v>25810000</v>
      </c>
      <c r="J92" s="132">
        <f t="shared" si="3"/>
        <v>129050</v>
      </c>
    </row>
    <row r="93" spans="1:10">
      <c r="A93" s="115" t="s">
        <v>883</v>
      </c>
      <c r="B93" s="115" t="s">
        <v>884</v>
      </c>
      <c r="C93" s="115" t="s">
        <v>1342</v>
      </c>
      <c r="D93" s="115" t="s">
        <v>1343</v>
      </c>
      <c r="E93" s="133" t="str">
        <f t="shared" si="2"/>
        <v>1200000949PRCC-10356 WBC NEW 54</v>
      </c>
      <c r="F93" s="133" t="s">
        <v>3122</v>
      </c>
      <c r="G93" s="133" t="s">
        <v>3892</v>
      </c>
      <c r="H93" s="133">
        <f>VLOOKUP(G93,'packing mapping'!A:B,2,0)</f>
        <v>250</v>
      </c>
      <c r="I93" s="137">
        <v>42267500</v>
      </c>
      <c r="J93" s="132">
        <f t="shared" si="3"/>
        <v>169070</v>
      </c>
    </row>
    <row r="94" spans="1:10">
      <c r="A94" s="115" t="s">
        <v>883</v>
      </c>
      <c r="B94" s="115" t="s">
        <v>884</v>
      </c>
      <c r="C94" s="115" t="s">
        <v>1344</v>
      </c>
      <c r="D94" s="115" t="s">
        <v>1345</v>
      </c>
      <c r="E94" s="133" t="str">
        <f t="shared" si="2"/>
        <v>1200000949PRCC-20324 POLYESTER VARNISH</v>
      </c>
      <c r="F94" s="133" t="s">
        <v>3123</v>
      </c>
      <c r="G94" s="133" t="s">
        <v>3891</v>
      </c>
      <c r="H94" s="133">
        <f>VLOOKUP(G94,'packing mapping'!A:B,2,0)</f>
        <v>200</v>
      </c>
      <c r="I94" s="137">
        <v>25830000</v>
      </c>
      <c r="J94" s="132">
        <f t="shared" si="3"/>
        <v>129150</v>
      </c>
    </row>
    <row r="95" spans="1:10">
      <c r="A95" s="115" t="s">
        <v>883</v>
      </c>
      <c r="B95" s="115" t="s">
        <v>884</v>
      </c>
      <c r="C95" s="115" t="s">
        <v>1346</v>
      </c>
      <c r="D95" s="115" t="s">
        <v>1347</v>
      </c>
      <c r="E95" s="133" t="str">
        <f t="shared" si="2"/>
        <v>1200000949PRCC-20616 EPOXY SIZE CHEN LAIN</v>
      </c>
      <c r="F95" s="133" t="s">
        <v>3124</v>
      </c>
      <c r="G95" s="133" t="s">
        <v>3893</v>
      </c>
      <c r="H95" s="133">
        <f>VLOOKUP(G95,'packing mapping'!A:B,2,0)</f>
        <v>180</v>
      </c>
      <c r="I95" s="137">
        <v>20671200</v>
      </c>
      <c r="J95" s="132">
        <f t="shared" si="3"/>
        <v>114840</v>
      </c>
    </row>
    <row r="96" spans="1:10">
      <c r="A96" s="115" t="s">
        <v>883</v>
      </c>
      <c r="B96" s="115" t="s">
        <v>884</v>
      </c>
      <c r="C96" s="115" t="s">
        <v>1348</v>
      </c>
      <c r="D96" s="115" t="s">
        <v>1349</v>
      </c>
      <c r="E96" s="133" t="str">
        <f t="shared" si="2"/>
        <v>1200000949PRCC-10358 WBC POLYESTER PWC 3823</v>
      </c>
      <c r="F96" s="133" t="s">
        <v>3125</v>
      </c>
      <c r="G96" s="133" t="s">
        <v>3892</v>
      </c>
      <c r="H96" s="133">
        <f>VLOOKUP(G96,'packing mapping'!A:B,2,0)</f>
        <v>250</v>
      </c>
      <c r="I96" s="137">
        <v>33337500</v>
      </c>
      <c r="J96" s="132">
        <f t="shared" si="3"/>
        <v>133350</v>
      </c>
    </row>
    <row r="97" spans="1:10">
      <c r="A97" s="115" t="s">
        <v>883</v>
      </c>
      <c r="B97" s="115" t="s">
        <v>884</v>
      </c>
      <c r="C97" s="115" t="s">
        <v>1350</v>
      </c>
      <c r="D97" s="115" t="s">
        <v>1351</v>
      </c>
      <c r="E97" s="133" t="str">
        <f t="shared" si="2"/>
        <v>1200000949PRCC-40114 GL 1398 VN</v>
      </c>
      <c r="F97" s="133" t="s">
        <v>3126</v>
      </c>
      <c r="G97" s="133" t="s">
        <v>3893</v>
      </c>
      <c r="H97" s="133">
        <f>VLOOKUP(G97,'packing mapping'!A:B,2,0)</f>
        <v>180</v>
      </c>
      <c r="I97" s="137">
        <v>23247000</v>
      </c>
      <c r="J97" s="132">
        <f t="shared" si="3"/>
        <v>129150</v>
      </c>
    </row>
    <row r="98" spans="1:10">
      <c r="A98" s="115" t="s">
        <v>883</v>
      </c>
      <c r="B98" s="115" t="s">
        <v>884</v>
      </c>
      <c r="C98" s="115" t="s">
        <v>1352</v>
      </c>
      <c r="D98" s="115" t="s">
        <v>1353</v>
      </c>
      <c r="E98" s="133" t="str">
        <f t="shared" si="2"/>
        <v>1200000949PRCC-40233 GOLD LACQUER SDW VN</v>
      </c>
      <c r="F98" s="133" t="s">
        <v>3127</v>
      </c>
      <c r="G98" s="133" t="s">
        <v>3893</v>
      </c>
      <c r="H98" s="133">
        <f>VLOOKUP(G98,'packing mapping'!A:B,2,0)</f>
        <v>180</v>
      </c>
      <c r="I98" s="137">
        <v>24494400</v>
      </c>
      <c r="J98" s="132">
        <f t="shared" si="3"/>
        <v>136080</v>
      </c>
    </row>
    <row r="99" spans="1:10">
      <c r="A99" s="115" t="s">
        <v>883</v>
      </c>
      <c r="B99" s="115" t="s">
        <v>884</v>
      </c>
      <c r="C99" s="115" t="s">
        <v>1354</v>
      </c>
      <c r="D99" s="115" t="s">
        <v>1355</v>
      </c>
      <c r="E99" s="133" t="str">
        <f t="shared" si="2"/>
        <v>1200000949PRCC-20310 POLYESTER VARNISH II VN</v>
      </c>
      <c r="F99" s="133" t="s">
        <v>3128</v>
      </c>
      <c r="G99" s="133" t="s">
        <v>3891</v>
      </c>
      <c r="H99" s="133">
        <f>VLOOKUP(G99,'packing mapping'!A:B,2,0)</f>
        <v>200</v>
      </c>
      <c r="I99" s="137">
        <v>25810000</v>
      </c>
      <c r="J99" s="132">
        <f t="shared" si="3"/>
        <v>129050</v>
      </c>
    </row>
    <row r="100" spans="1:10">
      <c r="A100" s="115" t="s">
        <v>883</v>
      </c>
      <c r="B100" s="115" t="s">
        <v>884</v>
      </c>
      <c r="C100" s="115" t="s">
        <v>1356</v>
      </c>
      <c r="D100" s="115" t="s">
        <v>1357</v>
      </c>
      <c r="E100" s="133" t="str">
        <f t="shared" si="2"/>
        <v>1200000949PRCC-20324 POLYESTER CN VARNISH VN</v>
      </c>
      <c r="F100" s="133" t="s">
        <v>3129</v>
      </c>
      <c r="G100" s="133" t="s">
        <v>3891</v>
      </c>
      <c r="H100" s="133">
        <f>VLOOKUP(G100,'packing mapping'!A:B,2,0)</f>
        <v>200</v>
      </c>
      <c r="I100" s="137">
        <v>24780000</v>
      </c>
      <c r="J100" s="132">
        <f t="shared" si="3"/>
        <v>123900</v>
      </c>
    </row>
    <row r="101" spans="1:10">
      <c r="A101" s="115" t="s">
        <v>883</v>
      </c>
      <c r="B101" s="115" t="s">
        <v>884</v>
      </c>
      <c r="C101" s="115" t="s">
        <v>1358</v>
      </c>
      <c r="D101" s="115" t="s">
        <v>1359</v>
      </c>
      <c r="E101" s="133" t="str">
        <f t="shared" si="2"/>
        <v>1200000949PRCC-40102 HV CLEAR LACQUER CL VN</v>
      </c>
      <c r="F101" s="133" t="s">
        <v>3130</v>
      </c>
      <c r="G101" s="133" t="s">
        <v>3891</v>
      </c>
      <c r="H101" s="133">
        <f>VLOOKUP(G101,'packing mapping'!A:B,2,0)</f>
        <v>200</v>
      </c>
      <c r="I101" s="137">
        <v>24444000</v>
      </c>
      <c r="J101" s="132">
        <f t="shared" si="3"/>
        <v>122220</v>
      </c>
    </row>
    <row r="102" spans="1:10">
      <c r="A102" s="115" t="s">
        <v>883</v>
      </c>
      <c r="B102" s="115" t="s">
        <v>884</v>
      </c>
      <c r="C102" s="115" t="s">
        <v>1360</v>
      </c>
      <c r="D102" s="115" t="s">
        <v>1361</v>
      </c>
      <c r="E102" s="133" t="str">
        <f t="shared" si="2"/>
        <v>1200000949MPUL-13700 CL VN</v>
      </c>
      <c r="F102" s="133" t="s">
        <v>3131</v>
      </c>
      <c r="G102" s="133" t="s">
        <v>3890</v>
      </c>
      <c r="H102" s="133">
        <f>VLOOKUP(G102,'packing mapping'!A:B,2,0)</f>
        <v>16</v>
      </c>
      <c r="I102" s="137">
        <v>2046240</v>
      </c>
      <c r="J102" s="132">
        <f t="shared" si="3"/>
        <v>127890</v>
      </c>
    </row>
    <row r="103" spans="1:10">
      <c r="A103" s="115" t="s">
        <v>883</v>
      </c>
      <c r="B103" s="115" t="s">
        <v>884</v>
      </c>
      <c r="C103" s="115" t="s">
        <v>1362</v>
      </c>
      <c r="D103" s="115" t="s">
        <v>1363</v>
      </c>
      <c r="E103" s="133" t="str">
        <f t="shared" si="2"/>
        <v>1200000949PRCC-40102 HV GOLD YANKEE CT VN</v>
      </c>
      <c r="F103" s="133" t="s">
        <v>3132</v>
      </c>
      <c r="G103" s="133" t="s">
        <v>3881</v>
      </c>
      <c r="H103" s="133">
        <f>VLOOKUP(G103,'packing mapping'!A:B,2,0)</f>
        <v>20</v>
      </c>
      <c r="I103" s="137">
        <v>2444400</v>
      </c>
      <c r="J103" s="132">
        <f t="shared" si="3"/>
        <v>122220</v>
      </c>
    </row>
    <row r="104" spans="1:10">
      <c r="A104" s="115" t="s">
        <v>883</v>
      </c>
      <c r="B104" s="115" t="s">
        <v>884</v>
      </c>
      <c r="C104" s="115" t="s">
        <v>1364</v>
      </c>
      <c r="D104" s="115" t="s">
        <v>1365</v>
      </c>
      <c r="E104" s="133" t="str">
        <f t="shared" si="2"/>
        <v>1200000949PRCC-40102 HV GOLD YANKEE CT VN</v>
      </c>
      <c r="F104" s="133" t="s">
        <v>3132</v>
      </c>
      <c r="G104" s="133" t="s">
        <v>3891</v>
      </c>
      <c r="H104" s="133">
        <f>VLOOKUP(G104,'packing mapping'!A:B,2,0)</f>
        <v>200</v>
      </c>
      <c r="I104" s="137">
        <v>24444000</v>
      </c>
      <c r="J104" s="132">
        <f t="shared" si="3"/>
        <v>122220</v>
      </c>
    </row>
    <row r="105" spans="1:10">
      <c r="A105" s="115" t="s">
        <v>883</v>
      </c>
      <c r="B105" s="115" t="s">
        <v>884</v>
      </c>
      <c r="C105" s="115" t="s">
        <v>1366</v>
      </c>
      <c r="D105" s="115" t="s">
        <v>1367</v>
      </c>
      <c r="E105" s="133" t="str">
        <f t="shared" si="2"/>
        <v>1200000949PRCC-40102 HV GOLD T350 CT VN</v>
      </c>
      <c r="F105" s="133" t="s">
        <v>3133</v>
      </c>
      <c r="G105" s="133" t="s">
        <v>3891</v>
      </c>
      <c r="H105" s="133">
        <f>VLOOKUP(G105,'packing mapping'!A:B,2,0)</f>
        <v>200</v>
      </c>
      <c r="I105" s="137">
        <v>24592000</v>
      </c>
      <c r="J105" s="132">
        <f t="shared" si="3"/>
        <v>122960</v>
      </c>
    </row>
    <row r="106" spans="1:10">
      <c r="A106" s="115" t="s">
        <v>883</v>
      </c>
      <c r="B106" s="115" t="s">
        <v>884</v>
      </c>
      <c r="C106" s="115" t="s">
        <v>1368</v>
      </c>
      <c r="D106" s="115" t="s">
        <v>1369</v>
      </c>
      <c r="E106" s="133" t="str">
        <f t="shared" si="2"/>
        <v>1200000949PRCC-20401 EECV MOULTRIE CT VN</v>
      </c>
      <c r="F106" s="133" t="s">
        <v>3134</v>
      </c>
      <c r="G106" s="133" t="s">
        <v>3891</v>
      </c>
      <c r="H106" s="133">
        <f>VLOOKUP(G106,'packing mapping'!A:B,2,0)</f>
        <v>200</v>
      </c>
      <c r="I106" s="137">
        <v>29400000</v>
      </c>
      <c r="J106" s="132">
        <f t="shared" si="3"/>
        <v>147000</v>
      </c>
    </row>
    <row r="107" spans="1:10">
      <c r="A107" s="115" t="s">
        <v>1027</v>
      </c>
      <c r="B107" s="115" t="s">
        <v>1028</v>
      </c>
      <c r="C107" s="115" t="s">
        <v>1180</v>
      </c>
      <c r="D107" s="115" t="s">
        <v>1181</v>
      </c>
      <c r="E107" s="133" t="str">
        <f t="shared" si="2"/>
        <v>1200001062GZPU-21500 RU BASE VN</v>
      </c>
      <c r="F107" s="133" t="s">
        <v>3044</v>
      </c>
      <c r="G107" s="133" t="s">
        <v>3882</v>
      </c>
      <c r="H107" s="133">
        <f>VLOOKUP(G107,'packing mapping'!A:B,2,0)</f>
        <v>18</v>
      </c>
      <c r="I107" s="137">
        <v>3570300</v>
      </c>
      <c r="J107" s="132">
        <f t="shared" si="3"/>
        <v>198350</v>
      </c>
    </row>
    <row r="108" spans="1:10">
      <c r="A108" s="115" t="s">
        <v>1027</v>
      </c>
      <c r="B108" s="115" t="s">
        <v>1028</v>
      </c>
      <c r="C108" s="115" t="s">
        <v>1188</v>
      </c>
      <c r="D108" s="115" t="s">
        <v>1189</v>
      </c>
      <c r="E108" s="133" t="str">
        <f t="shared" si="2"/>
        <v>1200001062PCA-31100 BLACK PASTE VN</v>
      </c>
      <c r="F108" s="133" t="s">
        <v>3048</v>
      </c>
      <c r="G108" s="133" t="s">
        <v>3883</v>
      </c>
      <c r="H108" s="133">
        <f>VLOOKUP(G108,'packing mapping'!A:B,2,0)</f>
        <v>4</v>
      </c>
      <c r="I108" s="137">
        <v>1340640</v>
      </c>
      <c r="J108" s="132">
        <f t="shared" si="3"/>
        <v>335160</v>
      </c>
    </row>
    <row r="109" spans="1:10">
      <c r="A109" s="115" t="s">
        <v>1027</v>
      </c>
      <c r="B109" s="115" t="s">
        <v>1028</v>
      </c>
      <c r="C109" s="115" t="s">
        <v>1370</v>
      </c>
      <c r="D109" s="115" t="s">
        <v>1371</v>
      </c>
      <c r="E109" s="133" t="str">
        <f t="shared" si="2"/>
        <v>1200001062PCA-31100 BLUE OG PASTE VN</v>
      </c>
      <c r="F109" s="133" t="s">
        <v>3135</v>
      </c>
      <c r="G109" s="133" t="s">
        <v>3883</v>
      </c>
      <c r="H109" s="133">
        <f>VLOOKUP(G109,'packing mapping'!A:B,2,0)</f>
        <v>4</v>
      </c>
      <c r="I109" s="137">
        <v>1149240</v>
      </c>
      <c r="J109" s="132">
        <f t="shared" si="3"/>
        <v>287310</v>
      </c>
    </row>
    <row r="110" spans="1:10">
      <c r="A110" s="115" t="s">
        <v>1027</v>
      </c>
      <c r="B110" s="115" t="s">
        <v>1028</v>
      </c>
      <c r="C110" s="115" t="s">
        <v>1372</v>
      </c>
      <c r="D110" s="115" t="s">
        <v>1373</v>
      </c>
      <c r="E110" s="133" t="str">
        <f t="shared" si="2"/>
        <v>1200001062PCA-31100 OXIDE RED PASTE VN</v>
      </c>
      <c r="F110" s="133" t="s">
        <v>3136</v>
      </c>
      <c r="G110" s="133" t="s">
        <v>3883</v>
      </c>
      <c r="H110" s="133">
        <f>VLOOKUP(G110,'packing mapping'!A:B,2,0)</f>
        <v>4</v>
      </c>
      <c r="I110" s="137">
        <v>1001080</v>
      </c>
      <c r="J110" s="132">
        <f t="shared" si="3"/>
        <v>250270</v>
      </c>
    </row>
    <row r="111" spans="1:10">
      <c r="A111" s="115" t="s">
        <v>1027</v>
      </c>
      <c r="B111" s="115" t="s">
        <v>1028</v>
      </c>
      <c r="C111" s="115" t="s">
        <v>1374</v>
      </c>
      <c r="D111" s="115" t="s">
        <v>1375</v>
      </c>
      <c r="E111" s="133" t="str">
        <f t="shared" si="2"/>
        <v>1200001062PCA-31100 RED OB 35 PASTE VN</v>
      </c>
      <c r="F111" s="133" t="s">
        <v>3137</v>
      </c>
      <c r="G111" s="133" t="s">
        <v>3883</v>
      </c>
      <c r="H111" s="133">
        <f>VLOOKUP(G111,'packing mapping'!A:B,2,0)</f>
        <v>4</v>
      </c>
      <c r="I111" s="137">
        <v>1831040</v>
      </c>
      <c r="J111" s="132">
        <f t="shared" si="3"/>
        <v>457760</v>
      </c>
    </row>
    <row r="112" spans="1:10">
      <c r="A112" s="115" t="s">
        <v>1027</v>
      </c>
      <c r="B112" s="115" t="s">
        <v>1028</v>
      </c>
      <c r="C112" s="115" t="s">
        <v>1190</v>
      </c>
      <c r="D112" s="115" t="s">
        <v>1191</v>
      </c>
      <c r="E112" s="133" t="str">
        <f t="shared" si="2"/>
        <v>1200001062PCA-31100 WHITE PASTE VN</v>
      </c>
      <c r="F112" s="133" t="s">
        <v>3049</v>
      </c>
      <c r="G112" s="133" t="s">
        <v>3883</v>
      </c>
      <c r="H112" s="133">
        <f>VLOOKUP(G112,'packing mapping'!A:B,2,0)</f>
        <v>4</v>
      </c>
      <c r="I112" s="137">
        <v>907160</v>
      </c>
      <c r="J112" s="132">
        <f t="shared" si="3"/>
        <v>226790</v>
      </c>
    </row>
    <row r="113" spans="1:10">
      <c r="A113" s="115" t="s">
        <v>1027</v>
      </c>
      <c r="B113" s="115" t="s">
        <v>1028</v>
      </c>
      <c r="C113" s="115" t="s">
        <v>1376</v>
      </c>
      <c r="D113" s="115" t="s">
        <v>1377</v>
      </c>
      <c r="E113" s="133" t="str">
        <f t="shared" si="2"/>
        <v>1200001062PCA-31100 YELLOW HR PASTE VN</v>
      </c>
      <c r="F113" s="133" t="s">
        <v>3138</v>
      </c>
      <c r="G113" s="133" t="s">
        <v>3883</v>
      </c>
      <c r="H113" s="133">
        <f>VLOOKUP(G113,'packing mapping'!A:B,2,0)</f>
        <v>4</v>
      </c>
      <c r="I113" s="137">
        <v>1208800</v>
      </c>
      <c r="J113" s="132">
        <f t="shared" si="3"/>
        <v>302200</v>
      </c>
    </row>
    <row r="114" spans="1:10">
      <c r="A114" s="115" t="s">
        <v>1027</v>
      </c>
      <c r="B114" s="115" t="s">
        <v>1028</v>
      </c>
      <c r="C114" s="115" t="s">
        <v>1378</v>
      </c>
      <c r="D114" s="115" t="s">
        <v>1379</v>
      </c>
      <c r="E114" s="133" t="str">
        <f t="shared" si="2"/>
        <v>1200001062PCA-31100 YELLOW OKER PASTE VN</v>
      </c>
      <c r="F114" s="133" t="s">
        <v>3139</v>
      </c>
      <c r="G114" s="133" t="s">
        <v>3883</v>
      </c>
      <c r="H114" s="133">
        <f>VLOOKUP(G114,'packing mapping'!A:B,2,0)</f>
        <v>4</v>
      </c>
      <c r="I114" s="137">
        <v>808800</v>
      </c>
      <c r="J114" s="132">
        <f t="shared" si="3"/>
        <v>202200</v>
      </c>
    </row>
    <row r="115" spans="1:10">
      <c r="A115" s="115" t="s">
        <v>1027</v>
      </c>
      <c r="B115" s="115" t="s">
        <v>1028</v>
      </c>
      <c r="C115" s="115" t="s">
        <v>1192</v>
      </c>
      <c r="D115" s="115" t="s">
        <v>1193</v>
      </c>
      <c r="E115" s="133" t="str">
        <f t="shared" si="2"/>
        <v>1200001062PCL-31300 BLACK PASTE</v>
      </c>
      <c r="F115" s="133" t="s">
        <v>3050</v>
      </c>
      <c r="G115" s="133" t="s">
        <v>3883</v>
      </c>
      <c r="H115" s="133">
        <f>VLOOKUP(G115,'packing mapping'!A:B,2,0)</f>
        <v>4</v>
      </c>
      <c r="I115" s="137">
        <v>2705080</v>
      </c>
      <c r="J115" s="132">
        <f t="shared" si="3"/>
        <v>676270</v>
      </c>
    </row>
    <row r="116" spans="1:10">
      <c r="A116" s="115" t="s">
        <v>1027</v>
      </c>
      <c r="B116" s="115" t="s">
        <v>1028</v>
      </c>
      <c r="C116" s="115" t="s">
        <v>1194</v>
      </c>
      <c r="D116" s="115" t="s">
        <v>1195</v>
      </c>
      <c r="E116" s="133" t="str">
        <f t="shared" si="2"/>
        <v>1200001062PCL-31300 BLUE OG PASTE</v>
      </c>
      <c r="F116" s="133" t="s">
        <v>3051</v>
      </c>
      <c r="G116" s="133" t="s">
        <v>3883</v>
      </c>
      <c r="H116" s="133">
        <f>VLOOKUP(G116,'packing mapping'!A:B,2,0)</f>
        <v>4</v>
      </c>
      <c r="I116" s="137">
        <v>2087280</v>
      </c>
      <c r="J116" s="132">
        <f t="shared" si="3"/>
        <v>521820</v>
      </c>
    </row>
    <row r="117" spans="1:10">
      <c r="A117" s="115" t="s">
        <v>1027</v>
      </c>
      <c r="B117" s="115" t="s">
        <v>1028</v>
      </c>
      <c r="C117" s="115" t="s">
        <v>1380</v>
      </c>
      <c r="D117" s="115" t="s">
        <v>1381</v>
      </c>
      <c r="E117" s="133" t="str">
        <f t="shared" si="2"/>
        <v>1200001062PCL-31300 OXIDE RED PASTE</v>
      </c>
      <c r="F117" s="133" t="s">
        <v>3140</v>
      </c>
      <c r="G117" s="133" t="s">
        <v>3883</v>
      </c>
      <c r="H117" s="133">
        <f>VLOOKUP(G117,'packing mapping'!A:B,2,0)</f>
        <v>4</v>
      </c>
      <c r="I117" s="137">
        <v>1579240</v>
      </c>
      <c r="J117" s="132">
        <f t="shared" si="3"/>
        <v>394810</v>
      </c>
    </row>
    <row r="118" spans="1:10">
      <c r="A118" s="115" t="s">
        <v>1027</v>
      </c>
      <c r="B118" s="115" t="s">
        <v>1028</v>
      </c>
      <c r="C118" s="115" t="s">
        <v>1382</v>
      </c>
      <c r="D118" s="115" t="s">
        <v>1383</v>
      </c>
      <c r="E118" s="133" t="str">
        <f t="shared" si="2"/>
        <v>1200001062PCL-31300 RED PINK PASTE</v>
      </c>
      <c r="F118" s="133" t="s">
        <v>3141</v>
      </c>
      <c r="G118" s="133" t="s">
        <v>3883</v>
      </c>
      <c r="H118" s="133">
        <f>VLOOKUP(G118,'packing mapping'!A:B,2,0)</f>
        <v>4</v>
      </c>
      <c r="I118" s="137">
        <v>4251240</v>
      </c>
      <c r="J118" s="132">
        <f t="shared" si="3"/>
        <v>1062810</v>
      </c>
    </row>
    <row r="119" spans="1:10">
      <c r="A119" s="115" t="s">
        <v>1027</v>
      </c>
      <c r="B119" s="115" t="s">
        <v>1028</v>
      </c>
      <c r="C119" s="115" t="s">
        <v>1384</v>
      </c>
      <c r="D119" s="115" t="s">
        <v>1385</v>
      </c>
      <c r="E119" s="133" t="str">
        <f t="shared" si="2"/>
        <v>1200001062PCL-31300 VIOLET PASTE</v>
      </c>
      <c r="F119" s="133" t="s">
        <v>3142</v>
      </c>
      <c r="G119" s="133" t="s">
        <v>3883</v>
      </c>
      <c r="H119" s="133">
        <f>VLOOKUP(G119,'packing mapping'!A:B,2,0)</f>
        <v>4</v>
      </c>
      <c r="I119" s="137">
        <v>2219560</v>
      </c>
      <c r="J119" s="132">
        <f t="shared" si="3"/>
        <v>554890</v>
      </c>
    </row>
    <row r="120" spans="1:10">
      <c r="A120" s="115" t="s">
        <v>1027</v>
      </c>
      <c r="B120" s="115" t="s">
        <v>1028</v>
      </c>
      <c r="C120" s="115" t="s">
        <v>1202</v>
      </c>
      <c r="D120" s="115" t="s">
        <v>1203</v>
      </c>
      <c r="E120" s="133" t="str">
        <f t="shared" si="2"/>
        <v>1200001062PCL-31300 WHITE PASTE</v>
      </c>
      <c r="F120" s="133" t="s">
        <v>3055</v>
      </c>
      <c r="G120" s="133" t="s">
        <v>3883</v>
      </c>
      <c r="H120" s="133">
        <f>VLOOKUP(G120,'packing mapping'!A:B,2,0)</f>
        <v>4</v>
      </c>
      <c r="I120" s="137">
        <v>896120</v>
      </c>
      <c r="J120" s="132">
        <f t="shared" si="3"/>
        <v>224030</v>
      </c>
    </row>
    <row r="121" spans="1:10">
      <c r="A121" s="115" t="s">
        <v>1027</v>
      </c>
      <c r="B121" s="115" t="s">
        <v>1028</v>
      </c>
      <c r="C121" s="115" t="s">
        <v>1204</v>
      </c>
      <c r="D121" s="115" t="s">
        <v>1205</v>
      </c>
      <c r="E121" s="133" t="str">
        <f t="shared" si="2"/>
        <v>1200001062PCL-31300 YELLOW OG 16 PASTE</v>
      </c>
      <c r="F121" s="133" t="s">
        <v>3056</v>
      </c>
      <c r="G121" s="133" t="s">
        <v>3883</v>
      </c>
      <c r="H121" s="133">
        <f>VLOOKUP(G121,'packing mapping'!A:B,2,0)</f>
        <v>4</v>
      </c>
      <c r="I121" s="137">
        <v>3741440</v>
      </c>
      <c r="J121" s="132">
        <f t="shared" si="3"/>
        <v>935360</v>
      </c>
    </row>
    <row r="122" spans="1:10">
      <c r="A122" s="115" t="s">
        <v>1027</v>
      </c>
      <c r="B122" s="115" t="s">
        <v>1028</v>
      </c>
      <c r="C122" s="115" t="s">
        <v>1206</v>
      </c>
      <c r="D122" s="115" t="s">
        <v>1207</v>
      </c>
      <c r="E122" s="133" t="str">
        <f t="shared" si="2"/>
        <v>1200001062PCL-31300 YELLOW OKER PASTE</v>
      </c>
      <c r="F122" s="133" t="s">
        <v>3057</v>
      </c>
      <c r="G122" s="133" t="s">
        <v>3883</v>
      </c>
      <c r="H122" s="133">
        <f>VLOOKUP(G122,'packing mapping'!A:B,2,0)</f>
        <v>4</v>
      </c>
      <c r="I122" s="137">
        <v>1500280</v>
      </c>
      <c r="J122" s="132">
        <f t="shared" si="3"/>
        <v>375070</v>
      </c>
    </row>
    <row r="123" spans="1:10">
      <c r="A123" s="115" t="s">
        <v>1027</v>
      </c>
      <c r="B123" s="115" t="s">
        <v>1028</v>
      </c>
      <c r="C123" s="115" t="s">
        <v>1386</v>
      </c>
      <c r="D123" s="115" t="s">
        <v>1387</v>
      </c>
      <c r="E123" s="133" t="str">
        <f t="shared" si="2"/>
        <v>1200001062PUC-54205 AC WHITE 90 VN</v>
      </c>
      <c r="F123" s="133" t="s">
        <v>3143</v>
      </c>
      <c r="G123" s="133" t="s">
        <v>3881</v>
      </c>
      <c r="H123" s="133">
        <f>VLOOKUP(G123,'packing mapping'!A:B,2,0)</f>
        <v>20</v>
      </c>
      <c r="I123" s="137">
        <v>3250200</v>
      </c>
      <c r="J123" s="132">
        <f t="shared" si="3"/>
        <v>162510</v>
      </c>
    </row>
    <row r="124" spans="1:10">
      <c r="A124" s="115" t="s">
        <v>1027</v>
      </c>
      <c r="B124" s="115" t="s">
        <v>1028</v>
      </c>
      <c r="C124" s="115" t="s">
        <v>1388</v>
      </c>
      <c r="D124" s="115" t="s">
        <v>1389</v>
      </c>
      <c r="E124" s="133" t="str">
        <f t="shared" si="2"/>
        <v>1200001062PUC-54205 AC WHITE 10 VN</v>
      </c>
      <c r="F124" s="133" t="s">
        <v>3144</v>
      </c>
      <c r="G124" s="133" t="s">
        <v>3881</v>
      </c>
      <c r="H124" s="133">
        <f>VLOOKUP(G124,'packing mapping'!A:B,2,0)</f>
        <v>20</v>
      </c>
      <c r="I124" s="137">
        <v>3354000</v>
      </c>
      <c r="J124" s="132">
        <f t="shared" si="3"/>
        <v>167700</v>
      </c>
    </row>
    <row r="125" spans="1:10">
      <c r="A125" s="115" t="s">
        <v>1027</v>
      </c>
      <c r="B125" s="115" t="s">
        <v>1028</v>
      </c>
      <c r="C125" s="115" t="s">
        <v>1390</v>
      </c>
      <c r="D125" s="115" t="s">
        <v>1391</v>
      </c>
      <c r="E125" s="133" t="str">
        <f t="shared" si="2"/>
        <v>1200001062PUC-54205 AC WHITE 20 VN</v>
      </c>
      <c r="F125" s="133" t="s">
        <v>3145</v>
      </c>
      <c r="G125" s="133" t="s">
        <v>3881</v>
      </c>
      <c r="H125" s="133">
        <f>VLOOKUP(G125,'packing mapping'!A:B,2,0)</f>
        <v>20</v>
      </c>
      <c r="I125" s="137">
        <v>3274600</v>
      </c>
      <c r="J125" s="132">
        <f t="shared" si="3"/>
        <v>163730</v>
      </c>
    </row>
    <row r="126" spans="1:10">
      <c r="A126" s="115" t="s">
        <v>1027</v>
      </c>
      <c r="B126" s="115" t="s">
        <v>1028</v>
      </c>
      <c r="C126" s="115" t="s">
        <v>1392</v>
      </c>
      <c r="D126" s="115" t="s">
        <v>1393</v>
      </c>
      <c r="E126" s="133" t="str">
        <f t="shared" si="2"/>
        <v>1200001062PUC-54205 AC WHITE 30 VN</v>
      </c>
      <c r="F126" s="133" t="s">
        <v>3146</v>
      </c>
      <c r="G126" s="133" t="s">
        <v>3881</v>
      </c>
      <c r="H126" s="133">
        <f>VLOOKUP(G126,'packing mapping'!A:B,2,0)</f>
        <v>20</v>
      </c>
      <c r="I126" s="137">
        <v>3036400</v>
      </c>
      <c r="J126" s="132">
        <f t="shared" si="3"/>
        <v>151820</v>
      </c>
    </row>
    <row r="127" spans="1:10">
      <c r="A127" s="115" t="s">
        <v>1027</v>
      </c>
      <c r="B127" s="115" t="s">
        <v>1028</v>
      </c>
      <c r="C127" s="115" t="s">
        <v>1394</v>
      </c>
      <c r="D127" s="115" t="s">
        <v>1395</v>
      </c>
      <c r="E127" s="133" t="str">
        <f t="shared" si="2"/>
        <v>1200001062PUC-54206 AC EX BLACK 90 VN</v>
      </c>
      <c r="F127" s="133" t="s">
        <v>3147</v>
      </c>
      <c r="G127" s="133" t="s">
        <v>3882</v>
      </c>
      <c r="H127" s="133">
        <f>VLOOKUP(G127,'packing mapping'!A:B,2,0)</f>
        <v>18</v>
      </c>
      <c r="I127" s="137">
        <v>3669480</v>
      </c>
      <c r="J127" s="132">
        <f t="shared" si="3"/>
        <v>203860</v>
      </c>
    </row>
    <row r="128" spans="1:10">
      <c r="A128" s="115" t="s">
        <v>1027</v>
      </c>
      <c r="B128" s="115" t="s">
        <v>1028</v>
      </c>
      <c r="C128" s="115" t="s">
        <v>1210</v>
      </c>
      <c r="D128" s="115" t="s">
        <v>1211</v>
      </c>
      <c r="E128" s="133" t="str">
        <f t="shared" si="2"/>
        <v>1200001062PUH-56306 LY VN</v>
      </c>
      <c r="F128" s="133" t="s">
        <v>3059</v>
      </c>
      <c r="G128" s="133" t="s">
        <v>3879</v>
      </c>
      <c r="H128" s="133">
        <f>VLOOKUP(G128,'packing mapping'!A:B,2,0)</f>
        <v>20</v>
      </c>
      <c r="I128" s="137">
        <v>3271000</v>
      </c>
      <c r="J128" s="132">
        <f t="shared" si="3"/>
        <v>163550</v>
      </c>
    </row>
    <row r="129" spans="1:10">
      <c r="A129" s="115" t="s">
        <v>1027</v>
      </c>
      <c r="B129" s="115" t="s">
        <v>1028</v>
      </c>
      <c r="C129" s="115" t="s">
        <v>1396</v>
      </c>
      <c r="D129" s="115" t="s">
        <v>1397</v>
      </c>
      <c r="E129" s="133" t="str">
        <f t="shared" si="2"/>
        <v>1200001062PUL-53306 AC EX CLEAR 10 VN</v>
      </c>
      <c r="F129" s="133" t="s">
        <v>3148</v>
      </c>
      <c r="G129" s="133" t="s">
        <v>3879</v>
      </c>
      <c r="H129" s="133">
        <f>VLOOKUP(G129,'packing mapping'!A:B,2,0)</f>
        <v>20</v>
      </c>
      <c r="I129" s="137">
        <v>3446600</v>
      </c>
      <c r="J129" s="132">
        <f t="shared" si="3"/>
        <v>172330</v>
      </c>
    </row>
    <row r="130" spans="1:10">
      <c r="A130" s="115" t="s">
        <v>1027</v>
      </c>
      <c r="B130" s="115" t="s">
        <v>1028</v>
      </c>
      <c r="C130" s="115" t="s">
        <v>1216</v>
      </c>
      <c r="D130" s="115" t="s">
        <v>1217</v>
      </c>
      <c r="E130" s="133" t="str">
        <f t="shared" si="2"/>
        <v>1200001062PUL-53306 AC EX CLEAR 90 VN</v>
      </c>
      <c r="F130" s="133" t="s">
        <v>3062</v>
      </c>
      <c r="G130" s="133" t="s">
        <v>3879</v>
      </c>
      <c r="H130" s="133">
        <f>VLOOKUP(G130,'packing mapping'!A:B,2,0)</f>
        <v>20</v>
      </c>
      <c r="I130" s="137">
        <v>2533600</v>
      </c>
      <c r="J130" s="132">
        <f t="shared" si="3"/>
        <v>126680</v>
      </c>
    </row>
    <row r="131" spans="1:10">
      <c r="A131" s="115" t="s">
        <v>1027</v>
      </c>
      <c r="B131" s="115" t="s">
        <v>1028</v>
      </c>
      <c r="C131" s="115" t="s">
        <v>1218</v>
      </c>
      <c r="D131" s="115" t="s">
        <v>1219</v>
      </c>
      <c r="E131" s="133" t="str">
        <f t="shared" ref="E131:E194" si="4">A131&amp;F131</f>
        <v>1200001062PUSS-53206 AC EX VN</v>
      </c>
      <c r="F131" s="133" t="s">
        <v>3063</v>
      </c>
      <c r="G131" s="133" t="s">
        <v>3881</v>
      </c>
      <c r="H131" s="133">
        <f>VLOOKUP(G131,'packing mapping'!A:B,2,0)</f>
        <v>20</v>
      </c>
      <c r="I131" s="137">
        <v>2218200</v>
      </c>
      <c r="J131" s="132">
        <f t="shared" ref="J131:J194" si="5">I131/H131</f>
        <v>110910</v>
      </c>
    </row>
    <row r="132" spans="1:10">
      <c r="A132" s="115" t="s">
        <v>1027</v>
      </c>
      <c r="B132" s="115" t="s">
        <v>1028</v>
      </c>
      <c r="C132" s="115" t="s">
        <v>1220</v>
      </c>
      <c r="D132" s="115" t="s">
        <v>1221</v>
      </c>
      <c r="E132" s="133" t="str">
        <f t="shared" si="4"/>
        <v>1200001062SST-11100 C10 BLACK</v>
      </c>
      <c r="F132" s="133" t="s">
        <v>3064</v>
      </c>
      <c r="G132" s="133" t="s">
        <v>3883</v>
      </c>
      <c r="H132" s="133">
        <f>VLOOKUP(G132,'packing mapping'!A:B,2,0)</f>
        <v>4</v>
      </c>
      <c r="I132" s="137">
        <v>787640</v>
      </c>
      <c r="J132" s="132">
        <f t="shared" si="5"/>
        <v>196910</v>
      </c>
    </row>
    <row r="133" spans="1:10">
      <c r="A133" s="115" t="s">
        <v>1027</v>
      </c>
      <c r="B133" s="115" t="s">
        <v>1028</v>
      </c>
      <c r="C133" s="115" t="s">
        <v>1222</v>
      </c>
      <c r="D133" s="115" t="s">
        <v>1223</v>
      </c>
      <c r="E133" s="133" t="str">
        <f t="shared" si="4"/>
        <v>1200001062SST-11100 C10 BLUE</v>
      </c>
      <c r="F133" s="133" t="s">
        <v>3065</v>
      </c>
      <c r="G133" s="133" t="s">
        <v>3883</v>
      </c>
      <c r="H133" s="133">
        <f>VLOOKUP(G133,'packing mapping'!A:B,2,0)</f>
        <v>4</v>
      </c>
      <c r="I133" s="137">
        <v>2943880</v>
      </c>
      <c r="J133" s="132">
        <f t="shared" si="5"/>
        <v>735970</v>
      </c>
    </row>
    <row r="134" spans="1:10">
      <c r="A134" s="115" t="s">
        <v>1027</v>
      </c>
      <c r="B134" s="115" t="s">
        <v>1028</v>
      </c>
      <c r="C134" s="115" t="s">
        <v>1226</v>
      </c>
      <c r="D134" s="115" t="s">
        <v>1227</v>
      </c>
      <c r="E134" s="133" t="str">
        <f t="shared" si="4"/>
        <v>1200001062SST-11100 C10 RED</v>
      </c>
      <c r="F134" s="133" t="s">
        <v>3067</v>
      </c>
      <c r="G134" s="133" t="s">
        <v>3883</v>
      </c>
      <c r="H134" s="133">
        <f>VLOOKUP(G134,'packing mapping'!A:B,2,0)</f>
        <v>4</v>
      </c>
      <c r="I134" s="137">
        <v>890840</v>
      </c>
      <c r="J134" s="132">
        <f t="shared" si="5"/>
        <v>222710</v>
      </c>
    </row>
    <row r="135" spans="1:10">
      <c r="A135" s="115" t="s">
        <v>1027</v>
      </c>
      <c r="B135" s="115" t="s">
        <v>1028</v>
      </c>
      <c r="C135" s="115" t="s">
        <v>1228</v>
      </c>
      <c r="D135" s="115" t="s">
        <v>1229</v>
      </c>
      <c r="E135" s="133" t="str">
        <f t="shared" si="4"/>
        <v>1200001062SST-11100 C10 YELLOW</v>
      </c>
      <c r="F135" s="133" t="s">
        <v>3068</v>
      </c>
      <c r="G135" s="133" t="s">
        <v>3883</v>
      </c>
      <c r="H135" s="133">
        <f>VLOOKUP(G135,'packing mapping'!A:B,2,0)</f>
        <v>4</v>
      </c>
      <c r="I135" s="137">
        <v>704280</v>
      </c>
      <c r="J135" s="132">
        <f t="shared" si="5"/>
        <v>176070</v>
      </c>
    </row>
    <row r="136" spans="1:10">
      <c r="A136" s="115" t="s">
        <v>1027</v>
      </c>
      <c r="B136" s="115" t="s">
        <v>1028</v>
      </c>
      <c r="C136" s="115" t="s">
        <v>1398</v>
      </c>
      <c r="D136" s="115" t="s">
        <v>1399</v>
      </c>
      <c r="E136" s="133" t="str">
        <f t="shared" si="4"/>
        <v>1200001062THC-73100 402 VN</v>
      </c>
      <c r="F136" s="133" t="s">
        <v>3149</v>
      </c>
      <c r="G136" s="133" t="s">
        <v>3884</v>
      </c>
      <c r="H136" s="133">
        <f>VLOOKUP(G136,'packing mapping'!A:B,2,0)</f>
        <v>200</v>
      </c>
      <c r="I136" s="137">
        <v>9716000</v>
      </c>
      <c r="J136" s="132">
        <f t="shared" si="5"/>
        <v>48580</v>
      </c>
    </row>
    <row r="137" spans="1:10">
      <c r="A137" s="115" t="s">
        <v>1027</v>
      </c>
      <c r="B137" s="115" t="s">
        <v>1028</v>
      </c>
      <c r="C137" s="115" t="s">
        <v>1400</v>
      </c>
      <c r="D137" s="115" t="s">
        <v>1401</v>
      </c>
      <c r="E137" s="133" t="str">
        <f t="shared" si="4"/>
        <v>1200001062THC-73100-007 VN</v>
      </c>
      <c r="F137" s="133" t="s">
        <v>3150</v>
      </c>
      <c r="G137" s="133" t="s">
        <v>3884</v>
      </c>
      <c r="H137" s="133">
        <f>VLOOKUP(G137,'packing mapping'!A:B,2,0)</f>
        <v>200</v>
      </c>
      <c r="I137" s="137">
        <v>14394000</v>
      </c>
      <c r="J137" s="132">
        <f t="shared" si="5"/>
        <v>71970</v>
      </c>
    </row>
    <row r="138" spans="1:10">
      <c r="A138" s="115" t="s">
        <v>1027</v>
      </c>
      <c r="B138" s="115" t="s">
        <v>1028</v>
      </c>
      <c r="C138" s="115" t="s">
        <v>1402</v>
      </c>
      <c r="D138" s="115" t="s">
        <v>1403</v>
      </c>
      <c r="E138" s="133" t="str">
        <f t="shared" si="4"/>
        <v>1200001062THC-73100-007 VN</v>
      </c>
      <c r="F138" s="133" t="s">
        <v>3150</v>
      </c>
      <c r="G138" s="133" t="s">
        <v>3880</v>
      </c>
      <c r="H138" s="133">
        <f>VLOOKUP(G138,'packing mapping'!A:B,2,0)</f>
        <v>20</v>
      </c>
      <c r="I138" s="137">
        <v>1494000</v>
      </c>
      <c r="J138" s="132">
        <f t="shared" si="5"/>
        <v>74700</v>
      </c>
    </row>
    <row r="139" spans="1:10">
      <c r="A139" s="115" t="s">
        <v>1027</v>
      </c>
      <c r="B139" s="115" t="s">
        <v>1028</v>
      </c>
      <c r="C139" s="115" t="s">
        <v>1242</v>
      </c>
      <c r="D139" s="115" t="s">
        <v>1243</v>
      </c>
      <c r="E139" s="133" t="str">
        <f t="shared" si="4"/>
        <v>1200001062THPU-71306 ST VN</v>
      </c>
      <c r="F139" s="133" t="s">
        <v>3039</v>
      </c>
      <c r="G139" s="133" t="s">
        <v>3884</v>
      </c>
      <c r="H139" s="133">
        <f>VLOOKUP(G139,'packing mapping'!A:B,2,0)</f>
        <v>200</v>
      </c>
      <c r="I139" s="137">
        <v>10543200</v>
      </c>
      <c r="J139" s="132">
        <f t="shared" si="5"/>
        <v>52716</v>
      </c>
    </row>
    <row r="140" spans="1:10">
      <c r="A140" s="115" t="s">
        <v>1027</v>
      </c>
      <c r="B140" s="115" t="s">
        <v>1028</v>
      </c>
      <c r="C140" s="115" t="s">
        <v>1170</v>
      </c>
      <c r="D140" s="115" t="s">
        <v>1171</v>
      </c>
      <c r="E140" s="133" t="str">
        <f t="shared" si="4"/>
        <v>1200001062THPU-71306 ST VN</v>
      </c>
      <c r="F140" s="133" t="s">
        <v>3039</v>
      </c>
      <c r="G140" s="133" t="s">
        <v>3880</v>
      </c>
      <c r="H140" s="133">
        <f>VLOOKUP(G140,'packing mapping'!A:B,2,0)</f>
        <v>20</v>
      </c>
      <c r="I140" s="137">
        <v>1192320</v>
      </c>
      <c r="J140" s="132">
        <f t="shared" si="5"/>
        <v>59616</v>
      </c>
    </row>
    <row r="141" spans="1:10">
      <c r="A141" s="115" t="s">
        <v>1027</v>
      </c>
      <c r="B141" s="115" t="s">
        <v>1028</v>
      </c>
      <c r="C141" s="115" t="s">
        <v>1404</v>
      </c>
      <c r="D141" s="115" t="s">
        <v>1405</v>
      </c>
      <c r="E141" s="133" t="str">
        <f t="shared" si="4"/>
        <v>1200001062PP-98100 PEARL 111 VN</v>
      </c>
      <c r="F141" s="133" t="s">
        <v>3151</v>
      </c>
      <c r="G141" s="133" t="s">
        <v>3894</v>
      </c>
      <c r="H141" s="133">
        <f>VLOOKUP(G141,'packing mapping'!A:B,2,0)</f>
        <v>1</v>
      </c>
      <c r="I141" s="137">
        <v>591720</v>
      </c>
      <c r="J141" s="132">
        <f t="shared" si="5"/>
        <v>591720</v>
      </c>
    </row>
    <row r="142" spans="1:10">
      <c r="A142" s="115" t="s">
        <v>1027</v>
      </c>
      <c r="B142" s="115" t="s">
        <v>1028</v>
      </c>
      <c r="C142" s="115" t="s">
        <v>1406</v>
      </c>
      <c r="D142" s="115" t="s">
        <v>1407</v>
      </c>
      <c r="E142" s="133" t="str">
        <f t="shared" si="4"/>
        <v>1200001062PUH-56133 S VN</v>
      </c>
      <c r="F142" s="133" t="s">
        <v>3152</v>
      </c>
      <c r="G142" s="133" t="s">
        <v>3881</v>
      </c>
      <c r="H142" s="133">
        <f>VLOOKUP(G142,'packing mapping'!A:B,2,0)</f>
        <v>20</v>
      </c>
      <c r="I142" s="137">
        <v>2026400</v>
      </c>
      <c r="J142" s="132">
        <f t="shared" si="5"/>
        <v>101320</v>
      </c>
    </row>
    <row r="143" spans="1:10">
      <c r="A143" s="115" t="s">
        <v>1027</v>
      </c>
      <c r="B143" s="115" t="s">
        <v>1028</v>
      </c>
      <c r="C143" s="115" t="s">
        <v>1172</v>
      </c>
      <c r="D143" s="115" t="s">
        <v>1173</v>
      </c>
      <c r="E143" s="133" t="str">
        <f t="shared" si="4"/>
        <v>1200001062PUH-56135 S VN</v>
      </c>
      <c r="F143" s="133" t="s">
        <v>3040</v>
      </c>
      <c r="G143" s="133" t="s">
        <v>3881</v>
      </c>
      <c r="H143" s="133">
        <f>VLOOKUP(G143,'packing mapping'!A:B,2,0)</f>
        <v>20</v>
      </c>
      <c r="I143" s="137">
        <v>2406400</v>
      </c>
      <c r="J143" s="132">
        <f t="shared" si="5"/>
        <v>120320</v>
      </c>
    </row>
    <row r="144" spans="1:10">
      <c r="A144" s="115" t="s">
        <v>1027</v>
      </c>
      <c r="B144" s="115" t="s">
        <v>1028</v>
      </c>
      <c r="C144" s="115" t="s">
        <v>1408</v>
      </c>
      <c r="D144" s="115" t="s">
        <v>1409</v>
      </c>
      <c r="E144" s="133" t="str">
        <f t="shared" si="4"/>
        <v>1200001062PUL-51333 CLEAR 10 VN</v>
      </c>
      <c r="F144" s="133" t="s">
        <v>3153</v>
      </c>
      <c r="G144" s="133" t="s">
        <v>3881</v>
      </c>
      <c r="H144" s="133">
        <f>VLOOKUP(G144,'packing mapping'!A:B,2,0)</f>
        <v>20</v>
      </c>
      <c r="I144" s="137">
        <v>2094800</v>
      </c>
      <c r="J144" s="132">
        <f t="shared" si="5"/>
        <v>104740</v>
      </c>
    </row>
    <row r="145" spans="1:10">
      <c r="A145" s="115" t="s">
        <v>1027</v>
      </c>
      <c r="B145" s="115" t="s">
        <v>1028</v>
      </c>
      <c r="C145" s="115" t="s">
        <v>1276</v>
      </c>
      <c r="D145" s="115" t="s">
        <v>1277</v>
      </c>
      <c r="E145" s="133" t="str">
        <f t="shared" si="4"/>
        <v>1200001062PUL-51335 CLEAR 10 VN</v>
      </c>
      <c r="F145" s="133" t="s">
        <v>3091</v>
      </c>
      <c r="G145" s="133" t="s">
        <v>3881</v>
      </c>
      <c r="H145" s="133">
        <f>VLOOKUP(G145,'packing mapping'!A:B,2,0)</f>
        <v>20</v>
      </c>
      <c r="I145" s="137">
        <v>2037400</v>
      </c>
      <c r="J145" s="132">
        <f t="shared" si="5"/>
        <v>101870</v>
      </c>
    </row>
    <row r="146" spans="1:10">
      <c r="A146" s="115" t="s">
        <v>1027</v>
      </c>
      <c r="B146" s="115" t="s">
        <v>1028</v>
      </c>
      <c r="C146" s="115" t="s">
        <v>1278</v>
      </c>
      <c r="D146" s="115" t="s">
        <v>1279</v>
      </c>
      <c r="E146" s="133" t="str">
        <f t="shared" si="4"/>
        <v>1200001062PUL-51335 CLEAR 20 VN</v>
      </c>
      <c r="F146" s="133" t="s">
        <v>3092</v>
      </c>
      <c r="G146" s="133" t="s">
        <v>3881</v>
      </c>
      <c r="H146" s="133">
        <f>VLOOKUP(G146,'packing mapping'!A:B,2,0)</f>
        <v>20</v>
      </c>
      <c r="I146" s="137">
        <v>1960400</v>
      </c>
      <c r="J146" s="132">
        <f t="shared" si="5"/>
        <v>98020</v>
      </c>
    </row>
    <row r="147" spans="1:10">
      <c r="A147" s="115" t="s">
        <v>1027</v>
      </c>
      <c r="B147" s="115" t="s">
        <v>1028</v>
      </c>
      <c r="C147" s="115" t="s">
        <v>1410</v>
      </c>
      <c r="D147" s="115" t="s">
        <v>1411</v>
      </c>
      <c r="E147" s="133" t="str">
        <f t="shared" si="4"/>
        <v>1200001062PUL-51335 CLEAR 90 VN</v>
      </c>
      <c r="F147" s="133" t="s">
        <v>3154</v>
      </c>
      <c r="G147" s="133" t="s">
        <v>3881</v>
      </c>
      <c r="H147" s="133">
        <f>VLOOKUP(G147,'packing mapping'!A:B,2,0)</f>
        <v>20</v>
      </c>
      <c r="I147" s="137">
        <v>1689000</v>
      </c>
      <c r="J147" s="132">
        <f t="shared" si="5"/>
        <v>84450</v>
      </c>
    </row>
    <row r="148" spans="1:10">
      <c r="A148" s="115" t="s">
        <v>1027</v>
      </c>
      <c r="B148" s="115" t="s">
        <v>1028</v>
      </c>
      <c r="C148" s="115" t="s">
        <v>1288</v>
      </c>
      <c r="D148" s="115" t="s">
        <v>1289</v>
      </c>
      <c r="E148" s="133" t="str">
        <f t="shared" si="4"/>
        <v>1200001062PUP-52135 BLACK VN</v>
      </c>
      <c r="F148" s="133" t="s">
        <v>3097</v>
      </c>
      <c r="G148" s="133" t="s">
        <v>3881</v>
      </c>
      <c r="H148" s="133">
        <f>VLOOKUP(G148,'packing mapping'!A:B,2,0)</f>
        <v>20</v>
      </c>
      <c r="I148" s="137">
        <v>2668000</v>
      </c>
      <c r="J148" s="132">
        <f t="shared" si="5"/>
        <v>133400</v>
      </c>
    </row>
    <row r="149" spans="1:10">
      <c r="A149" s="115" t="s">
        <v>1027</v>
      </c>
      <c r="B149" s="115" t="s">
        <v>1028</v>
      </c>
      <c r="C149" s="115" t="s">
        <v>1292</v>
      </c>
      <c r="D149" s="115" t="s">
        <v>1293</v>
      </c>
      <c r="E149" s="133" t="str">
        <f t="shared" si="4"/>
        <v>1200001062PUP-52135 WHITE VN</v>
      </c>
      <c r="F149" s="133" t="s">
        <v>3098</v>
      </c>
      <c r="G149" s="133" t="s">
        <v>3881</v>
      </c>
      <c r="H149" s="133">
        <f>VLOOKUP(G149,'packing mapping'!A:B,2,0)</f>
        <v>20</v>
      </c>
      <c r="I149" s="137">
        <v>2165400</v>
      </c>
      <c r="J149" s="132">
        <f t="shared" si="5"/>
        <v>108270</v>
      </c>
    </row>
    <row r="150" spans="1:10">
      <c r="A150" s="115" t="s">
        <v>1027</v>
      </c>
      <c r="B150" s="115" t="s">
        <v>1028</v>
      </c>
      <c r="C150" s="115" t="s">
        <v>1412</v>
      </c>
      <c r="D150" s="115" t="s">
        <v>1413</v>
      </c>
      <c r="E150" s="133" t="str">
        <f t="shared" si="4"/>
        <v>1200001062PUSS-51233 VN</v>
      </c>
      <c r="F150" s="133" t="s">
        <v>3155</v>
      </c>
      <c r="G150" s="133" t="s">
        <v>3881</v>
      </c>
      <c r="H150" s="133">
        <f>VLOOKUP(G150,'packing mapping'!A:B,2,0)</f>
        <v>20</v>
      </c>
      <c r="I150" s="137">
        <v>2169800</v>
      </c>
      <c r="J150" s="132">
        <f t="shared" si="5"/>
        <v>108490</v>
      </c>
    </row>
    <row r="151" spans="1:10">
      <c r="A151" s="115" t="s">
        <v>1027</v>
      </c>
      <c r="B151" s="115" t="s">
        <v>1028</v>
      </c>
      <c r="C151" s="115" t="s">
        <v>1176</v>
      </c>
      <c r="D151" s="115" t="s">
        <v>1177</v>
      </c>
      <c r="E151" s="133" t="str">
        <f t="shared" si="4"/>
        <v>1200001062PUSS-51235 VN</v>
      </c>
      <c r="F151" s="133" t="s">
        <v>3042</v>
      </c>
      <c r="G151" s="133" t="s">
        <v>3881</v>
      </c>
      <c r="H151" s="133">
        <f>VLOOKUP(G151,'packing mapping'!A:B,2,0)</f>
        <v>20</v>
      </c>
      <c r="I151" s="137">
        <v>1757400</v>
      </c>
      <c r="J151" s="132">
        <f t="shared" si="5"/>
        <v>87870</v>
      </c>
    </row>
    <row r="152" spans="1:10">
      <c r="A152" s="115" t="s">
        <v>1027</v>
      </c>
      <c r="B152" s="115" t="s">
        <v>1028</v>
      </c>
      <c r="C152" s="115" t="s">
        <v>1296</v>
      </c>
      <c r="D152" s="115" t="s">
        <v>1297</v>
      </c>
      <c r="E152" s="133" t="str">
        <f t="shared" si="4"/>
        <v>1200001062RD-74106 VN</v>
      </c>
      <c r="F152" s="133" t="s">
        <v>3099</v>
      </c>
      <c r="G152" s="133" t="s">
        <v>3880</v>
      </c>
      <c r="H152" s="133">
        <f>VLOOKUP(G152,'packing mapping'!A:B,2,0)</f>
        <v>20</v>
      </c>
      <c r="I152" s="137">
        <v>1157000</v>
      </c>
      <c r="J152" s="132">
        <f t="shared" si="5"/>
        <v>57850</v>
      </c>
    </row>
    <row r="153" spans="1:10">
      <c r="A153" s="115" t="s">
        <v>1027</v>
      </c>
      <c r="B153" s="115" t="s">
        <v>1028</v>
      </c>
      <c r="C153" s="115" t="s">
        <v>1298</v>
      </c>
      <c r="D153" s="115" t="s">
        <v>1299</v>
      </c>
      <c r="E153" s="133" t="str">
        <f t="shared" si="4"/>
        <v>1200001062PUP-52122 PUTTY VN</v>
      </c>
      <c r="F153" s="133" t="s">
        <v>3100</v>
      </c>
      <c r="G153" s="133" t="s">
        <v>3883</v>
      </c>
      <c r="H153" s="133">
        <f>VLOOKUP(G153,'packing mapping'!A:B,2,0)</f>
        <v>4</v>
      </c>
      <c r="I153" s="137">
        <v>534480</v>
      </c>
      <c r="J153" s="132">
        <f t="shared" si="5"/>
        <v>133620</v>
      </c>
    </row>
    <row r="154" spans="1:10">
      <c r="A154" s="115" t="s">
        <v>1027</v>
      </c>
      <c r="B154" s="115" t="s">
        <v>1028</v>
      </c>
      <c r="C154" s="115" t="s">
        <v>1300</v>
      </c>
      <c r="D154" s="115" t="s">
        <v>1301</v>
      </c>
      <c r="E154" s="133" t="str">
        <f t="shared" si="4"/>
        <v>1200001062GZPU-21500 BLACK VN</v>
      </c>
      <c r="F154" s="133" t="s">
        <v>3101</v>
      </c>
      <c r="G154" s="133" t="s">
        <v>3883</v>
      </c>
      <c r="H154" s="133">
        <f>VLOOKUP(G154,'packing mapping'!A:B,2,0)</f>
        <v>4</v>
      </c>
      <c r="I154" s="137">
        <v>1581880</v>
      </c>
      <c r="J154" s="132">
        <f t="shared" si="5"/>
        <v>395470</v>
      </c>
    </row>
    <row r="155" spans="1:10">
      <c r="A155" s="115" t="s">
        <v>1027</v>
      </c>
      <c r="B155" s="115" t="s">
        <v>1028</v>
      </c>
      <c r="C155" s="115" t="s">
        <v>1302</v>
      </c>
      <c r="D155" s="115" t="s">
        <v>1303</v>
      </c>
      <c r="E155" s="133" t="str">
        <f t="shared" si="4"/>
        <v>1200001062GZPU-21500 BROWN VN</v>
      </c>
      <c r="F155" s="133" t="s">
        <v>3102</v>
      </c>
      <c r="G155" s="133" t="s">
        <v>3883</v>
      </c>
      <c r="H155" s="133">
        <f>VLOOKUP(G155,'packing mapping'!A:B,2,0)</f>
        <v>4</v>
      </c>
      <c r="I155" s="137">
        <v>1434120</v>
      </c>
      <c r="J155" s="132">
        <f t="shared" si="5"/>
        <v>358530</v>
      </c>
    </row>
    <row r="156" spans="1:10">
      <c r="A156" s="115" t="s">
        <v>1027</v>
      </c>
      <c r="B156" s="115" t="s">
        <v>1028</v>
      </c>
      <c r="C156" s="115" t="s">
        <v>1310</v>
      </c>
      <c r="D156" s="115" t="s">
        <v>1311</v>
      </c>
      <c r="E156" s="133" t="str">
        <f t="shared" si="4"/>
        <v>1200001062GZPU-21500 RED VN</v>
      </c>
      <c r="F156" s="133" t="s">
        <v>3106</v>
      </c>
      <c r="G156" s="133" t="s">
        <v>3883</v>
      </c>
      <c r="H156" s="133">
        <f>VLOOKUP(G156,'packing mapping'!A:B,2,0)</f>
        <v>4</v>
      </c>
      <c r="I156" s="137">
        <v>1926280</v>
      </c>
      <c r="J156" s="132">
        <f t="shared" si="5"/>
        <v>481570</v>
      </c>
    </row>
    <row r="157" spans="1:10">
      <c r="A157" s="115" t="s">
        <v>1027</v>
      </c>
      <c r="B157" s="115" t="s">
        <v>1028</v>
      </c>
      <c r="C157" s="115" t="s">
        <v>1312</v>
      </c>
      <c r="D157" s="115" t="s">
        <v>1313</v>
      </c>
      <c r="E157" s="133" t="str">
        <f t="shared" si="4"/>
        <v>1200001062GZPU-21500 YELLOW VN</v>
      </c>
      <c r="F157" s="133" t="s">
        <v>3107</v>
      </c>
      <c r="G157" s="133" t="s">
        <v>3883</v>
      </c>
      <c r="H157" s="133">
        <f>VLOOKUP(G157,'packing mapping'!A:B,2,0)</f>
        <v>4</v>
      </c>
      <c r="I157" s="137">
        <v>1756960</v>
      </c>
      <c r="J157" s="132">
        <f t="shared" si="5"/>
        <v>439240</v>
      </c>
    </row>
    <row r="158" spans="1:10">
      <c r="A158" s="115" t="s">
        <v>1027</v>
      </c>
      <c r="B158" s="115" t="s">
        <v>1028</v>
      </c>
      <c r="C158" s="115" t="s">
        <v>1314</v>
      </c>
      <c r="D158" s="115" t="s">
        <v>1315</v>
      </c>
      <c r="E158" s="133" t="str">
        <f t="shared" si="4"/>
        <v>1200001062PCL-31300 RED 31701 PASTE</v>
      </c>
      <c r="F158" s="133" t="s">
        <v>3108</v>
      </c>
      <c r="G158" s="133" t="s">
        <v>3883</v>
      </c>
      <c r="H158" s="133">
        <f>VLOOKUP(G158,'packing mapping'!A:B,2,0)</f>
        <v>4</v>
      </c>
      <c r="I158" s="137">
        <v>2893440</v>
      </c>
      <c r="J158" s="132">
        <f t="shared" si="5"/>
        <v>723360</v>
      </c>
    </row>
    <row r="159" spans="1:10">
      <c r="A159" s="115" t="s">
        <v>1027</v>
      </c>
      <c r="B159" s="115" t="s">
        <v>1028</v>
      </c>
      <c r="C159" s="115" t="s">
        <v>1414</v>
      </c>
      <c r="D159" s="115" t="s">
        <v>1415</v>
      </c>
      <c r="E159" s="133" t="str">
        <f t="shared" si="4"/>
        <v>1200001062AP-98200 1201 VN</v>
      </c>
      <c r="F159" s="133" t="s">
        <v>3156</v>
      </c>
      <c r="G159" s="133" t="s">
        <v>3894</v>
      </c>
      <c r="H159" s="133">
        <f>VLOOKUP(G159,'packing mapping'!A:B,2,0)</f>
        <v>1</v>
      </c>
      <c r="I159" s="137">
        <v>1324500</v>
      </c>
      <c r="J159" s="132">
        <f t="shared" si="5"/>
        <v>1324500</v>
      </c>
    </row>
    <row r="160" spans="1:10">
      <c r="A160" s="115" t="s">
        <v>1027</v>
      </c>
      <c r="B160" s="115" t="s">
        <v>1028</v>
      </c>
      <c r="C160" s="115" t="s">
        <v>1316</v>
      </c>
      <c r="D160" s="115" t="s">
        <v>1317</v>
      </c>
      <c r="E160" s="133" t="str">
        <f t="shared" si="4"/>
        <v>1200001062PCL-31300 YELLOW 170 HR PASTE</v>
      </c>
      <c r="F160" s="133" t="s">
        <v>3109</v>
      </c>
      <c r="G160" s="133" t="s">
        <v>3883</v>
      </c>
      <c r="H160" s="133">
        <f>VLOOKUP(G160,'packing mapping'!A:B,2,0)</f>
        <v>4</v>
      </c>
      <c r="I160" s="137">
        <v>2392880</v>
      </c>
      <c r="J160" s="132">
        <f t="shared" si="5"/>
        <v>598220</v>
      </c>
    </row>
    <row r="161" spans="1:10">
      <c r="A161" s="115" t="s">
        <v>1027</v>
      </c>
      <c r="B161" s="115" t="s">
        <v>1028</v>
      </c>
      <c r="C161" s="115" t="s">
        <v>1318</v>
      </c>
      <c r="D161" s="115" t="s">
        <v>1319</v>
      </c>
      <c r="E161" s="133" t="str">
        <f t="shared" si="4"/>
        <v>1200001062GZPU-21500 WHITE VN</v>
      </c>
      <c r="F161" s="133" t="s">
        <v>3110</v>
      </c>
      <c r="G161" s="133" t="s">
        <v>3883</v>
      </c>
      <c r="H161" s="133">
        <f>VLOOKUP(G161,'packing mapping'!A:B,2,0)</f>
        <v>4</v>
      </c>
      <c r="I161" s="137">
        <v>1144840</v>
      </c>
      <c r="J161" s="132">
        <f t="shared" si="5"/>
        <v>286210</v>
      </c>
    </row>
    <row r="162" spans="1:10">
      <c r="A162" s="115" t="s">
        <v>1027</v>
      </c>
      <c r="B162" s="115" t="s">
        <v>1028</v>
      </c>
      <c r="C162" s="115" t="s">
        <v>1416</v>
      </c>
      <c r="D162" s="115" t="s">
        <v>1417</v>
      </c>
      <c r="E162" s="133" t="str">
        <f t="shared" si="4"/>
        <v>1200001062THC-73100 102 VN</v>
      </c>
      <c r="F162" s="133" t="s">
        <v>3111</v>
      </c>
      <c r="G162" s="133" t="s">
        <v>3884</v>
      </c>
      <c r="H162" s="133">
        <f>VLOOKUP(G162,'packing mapping'!A:B,2,0)</f>
        <v>200</v>
      </c>
      <c r="I162" s="137">
        <v>8420000</v>
      </c>
      <c r="J162" s="132">
        <f t="shared" si="5"/>
        <v>42100</v>
      </c>
    </row>
    <row r="163" spans="1:10">
      <c r="A163" s="115" t="s">
        <v>1027</v>
      </c>
      <c r="B163" s="115" t="s">
        <v>1028</v>
      </c>
      <c r="C163" s="115" t="s">
        <v>1418</v>
      </c>
      <c r="D163" s="115" t="s">
        <v>1419</v>
      </c>
      <c r="E163" s="133" t="str">
        <f t="shared" si="4"/>
        <v>1200001062WBL-61204 CLEAR 20 VN</v>
      </c>
      <c r="F163" s="133" t="s">
        <v>3157</v>
      </c>
      <c r="G163" s="133" t="s">
        <v>3881</v>
      </c>
      <c r="H163" s="133">
        <f>VLOOKUP(G163,'packing mapping'!A:B,2,0)</f>
        <v>20</v>
      </c>
      <c r="I163" s="137">
        <v>2185200</v>
      </c>
      <c r="J163" s="132">
        <f t="shared" si="5"/>
        <v>109260</v>
      </c>
    </row>
    <row r="164" spans="1:10">
      <c r="A164" s="115" t="s">
        <v>1027</v>
      </c>
      <c r="B164" s="115" t="s">
        <v>1028</v>
      </c>
      <c r="C164" s="115" t="s">
        <v>1420</v>
      </c>
      <c r="D164" s="115" t="s">
        <v>1421</v>
      </c>
      <c r="E164" s="133" t="str">
        <f t="shared" si="4"/>
        <v>1200001062WBSS-61104 VN</v>
      </c>
      <c r="F164" s="133" t="s">
        <v>3158</v>
      </c>
      <c r="G164" s="133" t="s">
        <v>3881</v>
      </c>
      <c r="H164" s="133">
        <f>VLOOKUP(G164,'packing mapping'!A:B,2,0)</f>
        <v>20</v>
      </c>
      <c r="I164" s="137">
        <v>2101400</v>
      </c>
      <c r="J164" s="132">
        <f t="shared" si="5"/>
        <v>105070</v>
      </c>
    </row>
    <row r="165" spans="1:10">
      <c r="A165" s="115" t="s">
        <v>1027</v>
      </c>
      <c r="B165" s="115" t="s">
        <v>1028</v>
      </c>
      <c r="C165" s="115" t="s">
        <v>1422</v>
      </c>
      <c r="D165" s="115" t="s">
        <v>1423</v>
      </c>
      <c r="E165" s="133" t="str">
        <f t="shared" si="4"/>
        <v>1200001062THPU-71306 WP LC VN</v>
      </c>
      <c r="F165" s="133" t="s">
        <v>3159</v>
      </c>
      <c r="G165" s="133" t="s">
        <v>3880</v>
      </c>
      <c r="H165" s="133">
        <f>VLOOKUP(G165,'packing mapping'!A:B,2,0)</f>
        <v>20</v>
      </c>
      <c r="I165" s="137">
        <v>1111000</v>
      </c>
      <c r="J165" s="132">
        <f t="shared" si="5"/>
        <v>55550</v>
      </c>
    </row>
    <row r="166" spans="1:10">
      <c r="A166" s="115" t="s">
        <v>1027</v>
      </c>
      <c r="B166" s="115" t="s">
        <v>1028</v>
      </c>
      <c r="C166" s="115" t="s">
        <v>1332</v>
      </c>
      <c r="D166" s="115" t="s">
        <v>1333</v>
      </c>
      <c r="E166" s="133" t="str">
        <f t="shared" si="4"/>
        <v>1200001062WFPU-51000 VN</v>
      </c>
      <c r="F166" s="133" t="s">
        <v>3117</v>
      </c>
      <c r="G166" s="133" t="s">
        <v>3881</v>
      </c>
      <c r="H166" s="133">
        <f>VLOOKUP(G166,'packing mapping'!A:B,2,0)</f>
        <v>20</v>
      </c>
      <c r="I166" s="137">
        <v>2069800</v>
      </c>
      <c r="J166" s="132">
        <f t="shared" si="5"/>
        <v>103490</v>
      </c>
    </row>
    <row r="167" spans="1:10">
      <c r="A167" s="115" t="s">
        <v>1027</v>
      </c>
      <c r="B167" s="115" t="s">
        <v>1028</v>
      </c>
      <c r="C167" s="115" t="s">
        <v>1424</v>
      </c>
      <c r="D167" s="115" t="s">
        <v>1425</v>
      </c>
      <c r="E167" s="133" t="str">
        <f t="shared" si="4"/>
        <v>1200001062PS-15100 BASE VN</v>
      </c>
      <c r="F167" s="133" t="s">
        <v>3160</v>
      </c>
      <c r="G167" s="133" t="s">
        <v>3880</v>
      </c>
      <c r="H167" s="133">
        <f>VLOOKUP(G167,'packing mapping'!A:B,2,0)</f>
        <v>20</v>
      </c>
      <c r="I167" s="137">
        <v>1246000</v>
      </c>
      <c r="J167" s="132">
        <f t="shared" si="5"/>
        <v>62300</v>
      </c>
    </row>
    <row r="168" spans="1:10">
      <c r="A168" s="115" t="s">
        <v>1027</v>
      </c>
      <c r="B168" s="115" t="s">
        <v>1028</v>
      </c>
      <c r="C168" s="115" t="s">
        <v>1426</v>
      </c>
      <c r="D168" s="115" t="s">
        <v>1427</v>
      </c>
      <c r="E168" s="133" t="str">
        <f t="shared" si="4"/>
        <v>1200001062WBST-13100 C10 BLUE</v>
      </c>
      <c r="F168" s="133" t="s">
        <v>3161</v>
      </c>
      <c r="G168" s="133" t="s">
        <v>3883</v>
      </c>
      <c r="H168" s="133">
        <f>VLOOKUP(G168,'packing mapping'!A:B,2,0)</f>
        <v>4</v>
      </c>
      <c r="I168" s="137">
        <v>907200</v>
      </c>
      <c r="J168" s="132">
        <f t="shared" si="5"/>
        <v>226800</v>
      </c>
    </row>
    <row r="169" spans="1:10">
      <c r="A169" s="115" t="s">
        <v>1027</v>
      </c>
      <c r="B169" s="115" t="s">
        <v>1028</v>
      </c>
      <c r="C169" s="115" t="s">
        <v>1428</v>
      </c>
      <c r="D169" s="115" t="s">
        <v>1429</v>
      </c>
      <c r="E169" s="133" t="str">
        <f t="shared" si="4"/>
        <v>1200001062PCWB-31600 WHITE 02196 PASTE VN</v>
      </c>
      <c r="F169" s="133" t="s">
        <v>3162</v>
      </c>
      <c r="G169" s="133" t="s">
        <v>3883</v>
      </c>
      <c r="H169" s="133">
        <f>VLOOKUP(G169,'packing mapping'!A:B,2,0)</f>
        <v>4</v>
      </c>
      <c r="I169" s="137">
        <v>652800</v>
      </c>
      <c r="J169" s="132">
        <f t="shared" si="5"/>
        <v>163200</v>
      </c>
    </row>
    <row r="170" spans="1:10">
      <c r="A170" s="115" t="s">
        <v>1027</v>
      </c>
      <c r="B170" s="115" t="s">
        <v>1028</v>
      </c>
      <c r="C170" s="115" t="s">
        <v>1430</v>
      </c>
      <c r="D170" s="115" t="s">
        <v>1431</v>
      </c>
      <c r="E170" s="133" t="str">
        <f t="shared" si="4"/>
        <v>1200001062WBST-13100 BLACK VN</v>
      </c>
      <c r="F170" s="133" t="s">
        <v>3163</v>
      </c>
      <c r="G170" s="133" t="s">
        <v>3883</v>
      </c>
      <c r="H170" s="133">
        <f>VLOOKUP(G170,'packing mapping'!A:B,2,0)</f>
        <v>4</v>
      </c>
      <c r="I170" s="137">
        <v>3337960</v>
      </c>
      <c r="J170" s="132">
        <f t="shared" si="5"/>
        <v>834490</v>
      </c>
    </row>
    <row r="171" spans="1:10">
      <c r="A171" s="115" t="s">
        <v>1027</v>
      </c>
      <c r="B171" s="115" t="s">
        <v>1028</v>
      </c>
      <c r="C171" s="115" t="s">
        <v>1432</v>
      </c>
      <c r="D171" s="115" t="s">
        <v>1433</v>
      </c>
      <c r="E171" s="133" t="str">
        <f t="shared" si="4"/>
        <v>1200001062WBST-13100 RED VN</v>
      </c>
      <c r="F171" s="133" t="s">
        <v>3164</v>
      </c>
      <c r="G171" s="133" t="s">
        <v>3883</v>
      </c>
      <c r="H171" s="133">
        <f>VLOOKUP(G171,'packing mapping'!A:B,2,0)</f>
        <v>4</v>
      </c>
      <c r="I171" s="137">
        <v>3493200</v>
      </c>
      <c r="J171" s="132">
        <f t="shared" si="5"/>
        <v>873300</v>
      </c>
    </row>
    <row r="172" spans="1:10">
      <c r="A172" s="115" t="s">
        <v>1027</v>
      </c>
      <c r="B172" s="115" t="s">
        <v>1028</v>
      </c>
      <c r="C172" s="115" t="s">
        <v>1434</v>
      </c>
      <c r="D172" s="115" t="s">
        <v>1435</v>
      </c>
      <c r="E172" s="133" t="str">
        <f t="shared" si="4"/>
        <v>1200001062WBST-13100 YELLOW VN</v>
      </c>
      <c r="F172" s="133" t="s">
        <v>3165</v>
      </c>
      <c r="G172" s="133" t="s">
        <v>3883</v>
      </c>
      <c r="H172" s="133">
        <f>VLOOKUP(G172,'packing mapping'!A:B,2,0)</f>
        <v>4</v>
      </c>
      <c r="I172" s="137">
        <v>3782000</v>
      </c>
      <c r="J172" s="132">
        <f t="shared" si="5"/>
        <v>945500</v>
      </c>
    </row>
    <row r="173" spans="1:10">
      <c r="A173" s="115" t="s">
        <v>1027</v>
      </c>
      <c r="B173" s="115" t="s">
        <v>1028</v>
      </c>
      <c r="C173" s="115" t="s">
        <v>1436</v>
      </c>
      <c r="D173" s="115" t="s">
        <v>1437</v>
      </c>
      <c r="E173" s="133" t="str">
        <f t="shared" si="4"/>
        <v>1200001062WBST-13100 BLUE VN</v>
      </c>
      <c r="F173" s="133" t="s">
        <v>3166</v>
      </c>
      <c r="G173" s="133" t="s">
        <v>3883</v>
      </c>
      <c r="H173" s="133">
        <f>VLOOKUP(G173,'packing mapping'!A:B,2,0)</f>
        <v>4</v>
      </c>
      <c r="I173" s="137">
        <v>7366000</v>
      </c>
      <c r="J173" s="132">
        <f t="shared" si="5"/>
        <v>1841500</v>
      </c>
    </row>
    <row r="174" spans="1:10">
      <c r="A174" s="115" t="s">
        <v>1027</v>
      </c>
      <c r="B174" s="115" t="s">
        <v>1028</v>
      </c>
      <c r="C174" s="115" t="s">
        <v>1438</v>
      </c>
      <c r="D174" s="115" t="s">
        <v>1439</v>
      </c>
      <c r="E174" s="133" t="str">
        <f t="shared" si="4"/>
        <v>1200001062PUC-54205 AC WHITE 14 10 BOH VN</v>
      </c>
      <c r="F174" s="133" t="s">
        <v>3167</v>
      </c>
      <c r="G174" s="133" t="s">
        <v>3881</v>
      </c>
      <c r="H174" s="133">
        <f>VLOOKUP(G174,'packing mapping'!A:B,2,0)</f>
        <v>20</v>
      </c>
      <c r="I174" s="137">
        <v>3186400</v>
      </c>
      <c r="J174" s="132">
        <f t="shared" si="5"/>
        <v>159320</v>
      </c>
    </row>
    <row r="175" spans="1:10">
      <c r="A175" s="115" t="s">
        <v>1027</v>
      </c>
      <c r="B175" s="115" t="s">
        <v>1028</v>
      </c>
      <c r="C175" s="115" t="s">
        <v>1440</v>
      </c>
      <c r="D175" s="115" t="s">
        <v>1441</v>
      </c>
      <c r="E175" s="133" t="str">
        <f t="shared" si="4"/>
        <v>1200001062PUC-54205 AC GREY 26 08 BOH VN</v>
      </c>
      <c r="F175" s="133" t="s">
        <v>3168</v>
      </c>
      <c r="G175" s="133" t="s">
        <v>3881</v>
      </c>
      <c r="H175" s="133">
        <f>VLOOKUP(G175,'packing mapping'!A:B,2,0)</f>
        <v>20</v>
      </c>
      <c r="I175" s="137">
        <v>3168600</v>
      </c>
      <c r="J175" s="132">
        <f t="shared" si="5"/>
        <v>158430</v>
      </c>
    </row>
    <row r="176" spans="1:10">
      <c r="A176" s="115" t="s">
        <v>1027</v>
      </c>
      <c r="B176" s="115" t="s">
        <v>1028</v>
      </c>
      <c r="C176" s="115" t="s">
        <v>1442</v>
      </c>
      <c r="D176" s="115" t="s">
        <v>1443</v>
      </c>
      <c r="E176" s="133" t="str">
        <f t="shared" si="4"/>
        <v>1200001062PUP-52135 RED 52 BOH VN</v>
      </c>
      <c r="F176" s="133" t="s">
        <v>3169</v>
      </c>
      <c r="G176" s="133" t="s">
        <v>3881</v>
      </c>
      <c r="H176" s="133">
        <f>VLOOKUP(G176,'packing mapping'!A:B,2,0)</f>
        <v>20</v>
      </c>
      <c r="I176" s="137">
        <v>3204000</v>
      </c>
      <c r="J176" s="132">
        <f t="shared" si="5"/>
        <v>160200</v>
      </c>
    </row>
    <row r="177" spans="1:10">
      <c r="A177" s="115" t="s">
        <v>1027</v>
      </c>
      <c r="B177" s="115" t="s">
        <v>1028</v>
      </c>
      <c r="C177" s="115" t="s">
        <v>1444</v>
      </c>
      <c r="D177" s="115" t="s">
        <v>1445</v>
      </c>
      <c r="E177" s="133" t="str">
        <f t="shared" si="4"/>
        <v>1200001062PUC-54206 AC EX RED 52 30 BOH VN</v>
      </c>
      <c r="F177" s="133" t="s">
        <v>3170</v>
      </c>
      <c r="G177" s="133" t="s">
        <v>3882</v>
      </c>
      <c r="H177" s="133">
        <f>VLOOKUP(G177,'packing mapping'!A:B,2,0)</f>
        <v>18</v>
      </c>
      <c r="I177" s="137">
        <v>4078260</v>
      </c>
      <c r="J177" s="132">
        <f t="shared" si="5"/>
        <v>226570</v>
      </c>
    </row>
    <row r="178" spans="1:10">
      <c r="A178" s="115" t="s">
        <v>1027</v>
      </c>
      <c r="B178" s="115" t="s">
        <v>1028</v>
      </c>
      <c r="C178" s="115" t="s">
        <v>1446</v>
      </c>
      <c r="D178" s="115" t="s">
        <v>1447</v>
      </c>
      <c r="E178" s="133" t="str">
        <f t="shared" si="4"/>
        <v>1200001062PUC-54205 AC CREAM 66 70 BOH VN</v>
      </c>
      <c r="F178" s="133" t="s">
        <v>3171</v>
      </c>
      <c r="G178" s="133" t="s">
        <v>3881</v>
      </c>
      <c r="H178" s="133">
        <f>VLOOKUP(G178,'packing mapping'!A:B,2,0)</f>
        <v>20</v>
      </c>
      <c r="I178" s="137">
        <v>3148800</v>
      </c>
      <c r="J178" s="132">
        <f t="shared" si="5"/>
        <v>157440</v>
      </c>
    </row>
    <row r="179" spans="1:10">
      <c r="A179" s="115" t="s">
        <v>1027</v>
      </c>
      <c r="B179" s="115" t="s">
        <v>1028</v>
      </c>
      <c r="C179" s="115" t="s">
        <v>1448</v>
      </c>
      <c r="D179" s="115" t="s">
        <v>1449</v>
      </c>
      <c r="E179" s="133" t="str">
        <f t="shared" si="4"/>
        <v>1200001062PUC-54206 AC EX BROWN67 10 BOH VN</v>
      </c>
      <c r="F179" s="133" t="s">
        <v>3172</v>
      </c>
      <c r="G179" s="133" t="s">
        <v>3882</v>
      </c>
      <c r="H179" s="133">
        <f>VLOOKUP(G179,'packing mapping'!A:B,2,0)</f>
        <v>18</v>
      </c>
      <c r="I179" s="137">
        <v>3590100</v>
      </c>
      <c r="J179" s="132">
        <f t="shared" si="5"/>
        <v>199450</v>
      </c>
    </row>
    <row r="180" spans="1:10">
      <c r="A180" s="115" t="s">
        <v>1027</v>
      </c>
      <c r="B180" s="115" t="s">
        <v>1028</v>
      </c>
      <c r="C180" s="115" t="s">
        <v>1450</v>
      </c>
      <c r="D180" s="115" t="s">
        <v>1451</v>
      </c>
      <c r="E180" s="133" t="str">
        <f t="shared" si="4"/>
        <v>1200001062PCL-31300 BLUE OR 50 PASTE VN</v>
      </c>
      <c r="F180" s="133" t="s">
        <v>3173</v>
      </c>
      <c r="G180" s="133" t="s">
        <v>3883</v>
      </c>
      <c r="H180" s="133">
        <f>VLOOKUP(G180,'packing mapping'!A:B,2,0)</f>
        <v>4</v>
      </c>
      <c r="I180" s="137">
        <v>2087280</v>
      </c>
      <c r="J180" s="132">
        <f t="shared" si="5"/>
        <v>521820</v>
      </c>
    </row>
    <row r="181" spans="1:10">
      <c r="A181" s="115" t="s">
        <v>1027</v>
      </c>
      <c r="B181" s="115" t="s">
        <v>1028</v>
      </c>
      <c r="C181" s="115" t="s">
        <v>1452</v>
      </c>
      <c r="D181" s="115" t="s">
        <v>1453</v>
      </c>
      <c r="E181" s="133" t="str">
        <f t="shared" si="4"/>
        <v>1200001062PUC-54205 AC WHITE 43 10 BOH VN</v>
      </c>
      <c r="F181" s="133" t="s">
        <v>3174</v>
      </c>
      <c r="G181" s="133" t="s">
        <v>3881</v>
      </c>
      <c r="H181" s="133">
        <f>VLOOKUP(G181,'packing mapping'!A:B,2,0)</f>
        <v>20</v>
      </c>
      <c r="I181" s="137">
        <v>3386800</v>
      </c>
      <c r="J181" s="132">
        <f t="shared" si="5"/>
        <v>169340</v>
      </c>
    </row>
    <row r="182" spans="1:10">
      <c r="A182" s="115" t="s">
        <v>1001</v>
      </c>
      <c r="B182" s="115" t="s">
        <v>324</v>
      </c>
      <c r="C182" s="115" t="s">
        <v>1220</v>
      </c>
      <c r="D182" s="115" t="s">
        <v>1221</v>
      </c>
      <c r="E182" s="133" t="str">
        <f t="shared" si="4"/>
        <v>1200001044SST-11100 C10 BLACK</v>
      </c>
      <c r="F182" s="133" t="s">
        <v>3064</v>
      </c>
      <c r="G182" s="133" t="s">
        <v>3883</v>
      </c>
      <c r="H182" s="133">
        <f>VLOOKUP(G182,'packing mapping'!A:B,2,0)</f>
        <v>4</v>
      </c>
      <c r="I182" s="137">
        <v>933240</v>
      </c>
      <c r="J182" s="132">
        <f t="shared" si="5"/>
        <v>233310</v>
      </c>
    </row>
    <row r="183" spans="1:10">
      <c r="A183" s="115" t="s">
        <v>1001</v>
      </c>
      <c r="B183" s="115" t="s">
        <v>324</v>
      </c>
      <c r="C183" s="115" t="s">
        <v>1226</v>
      </c>
      <c r="D183" s="115" t="s">
        <v>1227</v>
      </c>
      <c r="E183" s="133" t="str">
        <f t="shared" si="4"/>
        <v>1200001044SST-11100 C10 RED</v>
      </c>
      <c r="F183" s="133" t="s">
        <v>3067</v>
      </c>
      <c r="G183" s="133" t="s">
        <v>3883</v>
      </c>
      <c r="H183" s="133">
        <f>VLOOKUP(G183,'packing mapping'!A:B,2,0)</f>
        <v>4</v>
      </c>
      <c r="I183" s="137">
        <v>1055680</v>
      </c>
      <c r="J183" s="132">
        <f t="shared" si="5"/>
        <v>263920</v>
      </c>
    </row>
    <row r="184" spans="1:10">
      <c r="A184" s="115" t="s">
        <v>1001</v>
      </c>
      <c r="B184" s="115" t="s">
        <v>324</v>
      </c>
      <c r="C184" s="115" t="s">
        <v>1228</v>
      </c>
      <c r="D184" s="115" t="s">
        <v>1229</v>
      </c>
      <c r="E184" s="133" t="str">
        <f t="shared" si="4"/>
        <v>1200001044SST-11100 C10 YELLOW</v>
      </c>
      <c r="F184" s="133" t="s">
        <v>3068</v>
      </c>
      <c r="G184" s="133" t="s">
        <v>3883</v>
      </c>
      <c r="H184" s="133">
        <f>VLOOKUP(G184,'packing mapping'!A:B,2,0)</f>
        <v>4</v>
      </c>
      <c r="I184" s="137">
        <v>834280</v>
      </c>
      <c r="J184" s="132">
        <f t="shared" si="5"/>
        <v>208570</v>
      </c>
    </row>
    <row r="185" spans="1:10">
      <c r="A185" s="115" t="s">
        <v>1001</v>
      </c>
      <c r="B185" s="115" t="s">
        <v>324</v>
      </c>
      <c r="C185" s="115" t="s">
        <v>1454</v>
      </c>
      <c r="D185" s="115" t="s">
        <v>1455</v>
      </c>
      <c r="E185" s="133" t="str">
        <f t="shared" si="4"/>
        <v>1200001044WBL-61202 CLEAR 20 VN</v>
      </c>
      <c r="F185" s="133" t="s">
        <v>3175</v>
      </c>
      <c r="G185" s="133" t="s">
        <v>3881</v>
      </c>
      <c r="H185" s="133">
        <f>VLOOKUP(G185,'packing mapping'!A:B,2,0)</f>
        <v>20</v>
      </c>
      <c r="I185" s="137">
        <v>3051000</v>
      </c>
      <c r="J185" s="132">
        <f t="shared" si="5"/>
        <v>152550</v>
      </c>
    </row>
    <row r="186" spans="1:10">
      <c r="A186" s="115" t="s">
        <v>1001</v>
      </c>
      <c r="B186" s="115" t="s">
        <v>324</v>
      </c>
      <c r="C186" s="115" t="s">
        <v>1456</v>
      </c>
      <c r="D186" s="115" t="s">
        <v>1457</v>
      </c>
      <c r="E186" s="133" t="str">
        <f t="shared" si="4"/>
        <v>1200001044PS-15100 BASE VN</v>
      </c>
      <c r="F186" s="133" t="s">
        <v>3160</v>
      </c>
      <c r="G186" s="133" t="s">
        <v>3895</v>
      </c>
      <c r="H186" s="133">
        <f>VLOOKUP(G186,'packing mapping'!A:B,2,0)</f>
        <v>16</v>
      </c>
      <c r="I186" s="137">
        <v>1219200</v>
      </c>
      <c r="J186" s="132">
        <f t="shared" si="5"/>
        <v>76200</v>
      </c>
    </row>
    <row r="187" spans="1:10">
      <c r="A187" s="115" t="s">
        <v>435</v>
      </c>
      <c r="B187" s="115" t="s">
        <v>436</v>
      </c>
      <c r="C187" s="115" t="s">
        <v>1458</v>
      </c>
      <c r="D187" s="115" t="s">
        <v>1459</v>
      </c>
      <c r="E187" s="133" t="str">
        <f t="shared" si="4"/>
        <v>1200000175NBC-34500 CREAM 01 PT VN</v>
      </c>
      <c r="F187" s="133" t="s">
        <v>3176</v>
      </c>
      <c r="G187" s="133" t="s">
        <v>3881</v>
      </c>
      <c r="H187" s="133">
        <f>VLOOKUP(G187,'packing mapping'!A:B,2,0)</f>
        <v>20</v>
      </c>
      <c r="I187" s="137">
        <v>3961940</v>
      </c>
      <c r="J187" s="132">
        <f t="shared" si="5"/>
        <v>198097</v>
      </c>
    </row>
    <row r="188" spans="1:10">
      <c r="A188" s="115" t="s">
        <v>960</v>
      </c>
      <c r="B188" s="115" t="s">
        <v>961</v>
      </c>
      <c r="C188" s="115" t="s">
        <v>1460</v>
      </c>
      <c r="D188" s="115" t="s">
        <v>1461</v>
      </c>
      <c r="E188" s="133" t="str">
        <f t="shared" si="4"/>
        <v>120000101111-26 WIPPING THINNER LC VN</v>
      </c>
      <c r="F188" s="133" t="s">
        <v>3177</v>
      </c>
      <c r="G188" s="133" t="s">
        <v>3880</v>
      </c>
      <c r="H188" s="133">
        <f>VLOOKUP(G188,'packing mapping'!A:B,2,0)</f>
        <v>20</v>
      </c>
      <c r="I188" s="137">
        <v>1385200</v>
      </c>
      <c r="J188" s="132">
        <f t="shared" si="5"/>
        <v>69260</v>
      </c>
    </row>
    <row r="189" spans="1:10">
      <c r="A189" s="115" t="s">
        <v>960</v>
      </c>
      <c r="B189" s="115" t="s">
        <v>961</v>
      </c>
      <c r="C189" s="115" t="s">
        <v>1462</v>
      </c>
      <c r="D189" s="115" t="s">
        <v>1463</v>
      </c>
      <c r="E189" s="133" t="str">
        <f t="shared" si="4"/>
        <v>120000101164-56 MICRO FILLER VN</v>
      </c>
      <c r="F189" s="133" t="s">
        <v>3178</v>
      </c>
      <c r="G189" s="133" t="s">
        <v>3881</v>
      </c>
      <c r="H189" s="133">
        <f>VLOOKUP(G189,'packing mapping'!A:B,2,0)</f>
        <v>20</v>
      </c>
      <c r="I189" s="137">
        <v>1705000</v>
      </c>
      <c r="J189" s="132">
        <f t="shared" si="5"/>
        <v>85250</v>
      </c>
    </row>
    <row r="190" spans="1:10">
      <c r="A190" s="115" t="s">
        <v>960</v>
      </c>
      <c r="B190" s="115" t="s">
        <v>961</v>
      </c>
      <c r="C190" s="115" t="s">
        <v>1464</v>
      </c>
      <c r="D190" s="115" t="s">
        <v>1465</v>
      </c>
      <c r="E190" s="133" t="str">
        <f t="shared" si="4"/>
        <v>1200001011GZPU-21500 BLACK VN</v>
      </c>
      <c r="F190" s="133" t="s">
        <v>3101</v>
      </c>
      <c r="G190" s="133" t="s">
        <v>3882</v>
      </c>
      <c r="H190" s="133">
        <f>VLOOKUP(G190,'packing mapping'!A:B,2,0)</f>
        <v>18</v>
      </c>
      <c r="I190" s="137">
        <v>5824620</v>
      </c>
      <c r="J190" s="132">
        <f t="shared" si="5"/>
        <v>323590</v>
      </c>
    </row>
    <row r="191" spans="1:10">
      <c r="A191" s="115" t="s">
        <v>960</v>
      </c>
      <c r="B191" s="115" t="s">
        <v>961</v>
      </c>
      <c r="C191" s="115" t="s">
        <v>1180</v>
      </c>
      <c r="D191" s="115" t="s">
        <v>1181</v>
      </c>
      <c r="E191" s="133" t="str">
        <f t="shared" si="4"/>
        <v>1200001011GZPU-21500 RU BASE VN</v>
      </c>
      <c r="F191" s="133" t="s">
        <v>3044</v>
      </c>
      <c r="G191" s="133" t="s">
        <v>3882</v>
      </c>
      <c r="H191" s="133">
        <f>VLOOKUP(G191,'packing mapping'!A:B,2,0)</f>
        <v>18</v>
      </c>
      <c r="I191" s="137">
        <v>2337660</v>
      </c>
      <c r="J191" s="132">
        <f t="shared" si="5"/>
        <v>129870</v>
      </c>
    </row>
    <row r="192" spans="1:10">
      <c r="A192" s="115" t="s">
        <v>960</v>
      </c>
      <c r="B192" s="115" t="s">
        <v>961</v>
      </c>
      <c r="C192" s="115" t="s">
        <v>1188</v>
      </c>
      <c r="D192" s="115" t="s">
        <v>1189</v>
      </c>
      <c r="E192" s="133" t="str">
        <f t="shared" si="4"/>
        <v>1200001011PCA-31100 BLACK PASTE VN</v>
      </c>
      <c r="F192" s="133" t="s">
        <v>3048</v>
      </c>
      <c r="G192" s="133" t="s">
        <v>3883</v>
      </c>
      <c r="H192" s="133">
        <f>VLOOKUP(G192,'packing mapping'!A:B,2,0)</f>
        <v>4</v>
      </c>
      <c r="I192" s="137">
        <v>1035920</v>
      </c>
      <c r="J192" s="132">
        <f t="shared" si="5"/>
        <v>258980</v>
      </c>
    </row>
    <row r="193" spans="1:10">
      <c r="A193" s="115" t="s">
        <v>960</v>
      </c>
      <c r="B193" s="115" t="s">
        <v>961</v>
      </c>
      <c r="C193" s="115" t="s">
        <v>1370</v>
      </c>
      <c r="D193" s="115" t="s">
        <v>1371</v>
      </c>
      <c r="E193" s="133" t="str">
        <f t="shared" si="4"/>
        <v>1200001011PCA-31100 BLUE OG PASTE VN</v>
      </c>
      <c r="F193" s="133" t="s">
        <v>3135</v>
      </c>
      <c r="G193" s="133" t="s">
        <v>3883</v>
      </c>
      <c r="H193" s="133">
        <f>VLOOKUP(G193,'packing mapping'!A:B,2,0)</f>
        <v>4</v>
      </c>
      <c r="I193" s="137">
        <v>1278280</v>
      </c>
      <c r="J193" s="132">
        <f t="shared" si="5"/>
        <v>319570</v>
      </c>
    </row>
    <row r="194" spans="1:10">
      <c r="A194" s="115" t="s">
        <v>960</v>
      </c>
      <c r="B194" s="115" t="s">
        <v>961</v>
      </c>
      <c r="C194" s="115" t="s">
        <v>1466</v>
      </c>
      <c r="D194" s="115" t="s">
        <v>1467</v>
      </c>
      <c r="E194" s="133" t="str">
        <f t="shared" si="4"/>
        <v>1200001011PCA-31100 BLUE OR 50 PASTE VN</v>
      </c>
      <c r="F194" s="133" t="s">
        <v>3179</v>
      </c>
      <c r="G194" s="133" t="s">
        <v>3883</v>
      </c>
      <c r="H194" s="133">
        <f>VLOOKUP(G194,'packing mapping'!A:B,2,0)</f>
        <v>4</v>
      </c>
      <c r="I194" s="137">
        <v>1278280</v>
      </c>
      <c r="J194" s="132">
        <f t="shared" si="5"/>
        <v>319570</v>
      </c>
    </row>
    <row r="195" spans="1:10">
      <c r="A195" s="115" t="s">
        <v>960</v>
      </c>
      <c r="B195" s="115" t="s">
        <v>961</v>
      </c>
      <c r="C195" s="115" t="s">
        <v>1372</v>
      </c>
      <c r="D195" s="115" t="s">
        <v>1373</v>
      </c>
      <c r="E195" s="133" t="str">
        <f t="shared" ref="E195:E258" si="6">A195&amp;F195</f>
        <v>1200001011PCA-31100 OXIDE RED PASTE VN</v>
      </c>
      <c r="F195" s="133" t="s">
        <v>3136</v>
      </c>
      <c r="G195" s="133" t="s">
        <v>3883</v>
      </c>
      <c r="H195" s="133">
        <f>VLOOKUP(G195,'packing mapping'!A:B,2,0)</f>
        <v>4</v>
      </c>
      <c r="I195" s="137">
        <v>1001080</v>
      </c>
      <c r="J195" s="132">
        <f t="shared" ref="J195:J258" si="7">I195/H195</f>
        <v>250270</v>
      </c>
    </row>
    <row r="196" spans="1:10">
      <c r="A196" s="115" t="s">
        <v>960</v>
      </c>
      <c r="B196" s="115" t="s">
        <v>961</v>
      </c>
      <c r="C196" s="115" t="s">
        <v>1374</v>
      </c>
      <c r="D196" s="115" t="s">
        <v>1375</v>
      </c>
      <c r="E196" s="133" t="str">
        <f t="shared" si="6"/>
        <v>1200001011PCA-31100 RED OB 35 PASTE VN</v>
      </c>
      <c r="F196" s="133" t="s">
        <v>3137</v>
      </c>
      <c r="G196" s="133" t="s">
        <v>3883</v>
      </c>
      <c r="H196" s="133">
        <f>VLOOKUP(G196,'packing mapping'!A:B,2,0)</f>
        <v>4</v>
      </c>
      <c r="I196" s="137">
        <v>1681960</v>
      </c>
      <c r="J196" s="132">
        <f t="shared" si="7"/>
        <v>420490</v>
      </c>
    </row>
    <row r="197" spans="1:10">
      <c r="A197" s="115" t="s">
        <v>960</v>
      </c>
      <c r="B197" s="115" t="s">
        <v>961</v>
      </c>
      <c r="C197" s="115" t="s">
        <v>1190</v>
      </c>
      <c r="D197" s="115" t="s">
        <v>1191</v>
      </c>
      <c r="E197" s="133" t="str">
        <f t="shared" si="6"/>
        <v>1200001011PCA-31100 WHITE PASTE VN</v>
      </c>
      <c r="F197" s="133" t="s">
        <v>3049</v>
      </c>
      <c r="G197" s="133" t="s">
        <v>3883</v>
      </c>
      <c r="H197" s="133">
        <f>VLOOKUP(G197,'packing mapping'!A:B,2,0)</f>
        <v>4</v>
      </c>
      <c r="I197" s="137">
        <v>768960</v>
      </c>
      <c r="J197" s="132">
        <f t="shared" si="7"/>
        <v>192240</v>
      </c>
    </row>
    <row r="198" spans="1:10">
      <c r="A198" s="115" t="s">
        <v>960</v>
      </c>
      <c r="B198" s="115" t="s">
        <v>961</v>
      </c>
      <c r="C198" s="115" t="s">
        <v>1376</v>
      </c>
      <c r="D198" s="115" t="s">
        <v>1377</v>
      </c>
      <c r="E198" s="133" t="str">
        <f t="shared" si="6"/>
        <v>1200001011PCA-31100 YELLOW HR PASTE VN</v>
      </c>
      <c r="F198" s="133" t="s">
        <v>3138</v>
      </c>
      <c r="G198" s="133" t="s">
        <v>3883</v>
      </c>
      <c r="H198" s="133">
        <f>VLOOKUP(G198,'packing mapping'!A:B,2,0)</f>
        <v>4</v>
      </c>
      <c r="I198" s="137">
        <v>1213640</v>
      </c>
      <c r="J198" s="132">
        <f t="shared" si="7"/>
        <v>303410</v>
      </c>
    </row>
    <row r="199" spans="1:10">
      <c r="A199" s="115" t="s">
        <v>960</v>
      </c>
      <c r="B199" s="115" t="s">
        <v>961</v>
      </c>
      <c r="C199" s="115" t="s">
        <v>1468</v>
      </c>
      <c r="D199" s="115" t="s">
        <v>1469</v>
      </c>
      <c r="E199" s="133" t="str">
        <f t="shared" si="6"/>
        <v>1200001011PCA-31100 YELLOW OG 16 PASTE VN</v>
      </c>
      <c r="F199" s="133" t="s">
        <v>3180</v>
      </c>
      <c r="G199" s="133" t="s">
        <v>3883</v>
      </c>
      <c r="H199" s="133">
        <f>VLOOKUP(G199,'packing mapping'!A:B,2,0)</f>
        <v>4</v>
      </c>
      <c r="I199" s="137">
        <v>3106400</v>
      </c>
      <c r="J199" s="132">
        <f t="shared" si="7"/>
        <v>776600</v>
      </c>
    </row>
    <row r="200" spans="1:10">
      <c r="A200" s="115" t="s">
        <v>960</v>
      </c>
      <c r="B200" s="115" t="s">
        <v>961</v>
      </c>
      <c r="C200" s="115" t="s">
        <v>1378</v>
      </c>
      <c r="D200" s="115" t="s">
        <v>1379</v>
      </c>
      <c r="E200" s="133" t="str">
        <f t="shared" si="6"/>
        <v>1200001011PCA-31100 YELLOW OKER PASTE VN</v>
      </c>
      <c r="F200" s="133" t="s">
        <v>3139</v>
      </c>
      <c r="G200" s="133" t="s">
        <v>3883</v>
      </c>
      <c r="H200" s="133">
        <f>VLOOKUP(G200,'packing mapping'!A:B,2,0)</f>
        <v>4</v>
      </c>
      <c r="I200" s="137">
        <v>757640</v>
      </c>
      <c r="J200" s="132">
        <f t="shared" si="7"/>
        <v>189410</v>
      </c>
    </row>
    <row r="201" spans="1:10">
      <c r="A201" s="115" t="s">
        <v>960</v>
      </c>
      <c r="B201" s="115" t="s">
        <v>961</v>
      </c>
      <c r="C201" s="115" t="s">
        <v>1192</v>
      </c>
      <c r="D201" s="115" t="s">
        <v>1193</v>
      </c>
      <c r="E201" s="133" t="str">
        <f t="shared" si="6"/>
        <v>1200001011PCL-31300 BLACK PASTE</v>
      </c>
      <c r="F201" s="133" t="s">
        <v>3050</v>
      </c>
      <c r="G201" s="133" t="s">
        <v>3883</v>
      </c>
      <c r="H201" s="133">
        <f>VLOOKUP(G201,'packing mapping'!A:B,2,0)</f>
        <v>4</v>
      </c>
      <c r="I201" s="137">
        <v>2258400</v>
      </c>
      <c r="J201" s="132">
        <f t="shared" si="7"/>
        <v>564600</v>
      </c>
    </row>
    <row r="202" spans="1:10">
      <c r="A202" s="115" t="s">
        <v>960</v>
      </c>
      <c r="B202" s="115" t="s">
        <v>961</v>
      </c>
      <c r="C202" s="115" t="s">
        <v>1194</v>
      </c>
      <c r="D202" s="115" t="s">
        <v>1195</v>
      </c>
      <c r="E202" s="133" t="str">
        <f t="shared" si="6"/>
        <v>1200001011PCL-31300 BLUE OG PASTE</v>
      </c>
      <c r="F202" s="133" t="s">
        <v>3051</v>
      </c>
      <c r="G202" s="133" t="s">
        <v>3883</v>
      </c>
      <c r="H202" s="133">
        <f>VLOOKUP(G202,'packing mapping'!A:B,2,0)</f>
        <v>4</v>
      </c>
      <c r="I202" s="137">
        <v>1697440</v>
      </c>
      <c r="J202" s="132">
        <f t="shared" si="7"/>
        <v>424360</v>
      </c>
    </row>
    <row r="203" spans="1:10">
      <c r="A203" s="115" t="s">
        <v>960</v>
      </c>
      <c r="B203" s="115" t="s">
        <v>961</v>
      </c>
      <c r="C203" s="115" t="s">
        <v>1380</v>
      </c>
      <c r="D203" s="115" t="s">
        <v>1381</v>
      </c>
      <c r="E203" s="133" t="str">
        <f t="shared" si="6"/>
        <v>1200001011PCL-31300 OXIDE RED PASTE</v>
      </c>
      <c r="F203" s="133" t="s">
        <v>3140</v>
      </c>
      <c r="G203" s="133" t="s">
        <v>3883</v>
      </c>
      <c r="H203" s="133">
        <f>VLOOKUP(G203,'packing mapping'!A:B,2,0)</f>
        <v>4</v>
      </c>
      <c r="I203" s="137">
        <v>1405040</v>
      </c>
      <c r="J203" s="132">
        <f t="shared" si="7"/>
        <v>351260</v>
      </c>
    </row>
    <row r="204" spans="1:10">
      <c r="A204" s="115" t="s">
        <v>960</v>
      </c>
      <c r="B204" s="115" t="s">
        <v>961</v>
      </c>
      <c r="C204" s="115" t="s">
        <v>1384</v>
      </c>
      <c r="D204" s="115" t="s">
        <v>1385</v>
      </c>
      <c r="E204" s="133" t="str">
        <f t="shared" si="6"/>
        <v>1200001011PCL-31300 VIOLET PASTE</v>
      </c>
      <c r="F204" s="133" t="s">
        <v>3142</v>
      </c>
      <c r="G204" s="133" t="s">
        <v>3883</v>
      </c>
      <c r="H204" s="133">
        <f>VLOOKUP(G204,'packing mapping'!A:B,2,0)</f>
        <v>4</v>
      </c>
      <c r="I204" s="137">
        <v>2219560</v>
      </c>
      <c r="J204" s="132">
        <f t="shared" si="7"/>
        <v>554890</v>
      </c>
    </row>
    <row r="205" spans="1:10">
      <c r="A205" s="115" t="s">
        <v>960</v>
      </c>
      <c r="B205" s="115" t="s">
        <v>961</v>
      </c>
      <c r="C205" s="115" t="s">
        <v>1202</v>
      </c>
      <c r="D205" s="115" t="s">
        <v>1203</v>
      </c>
      <c r="E205" s="133" t="str">
        <f t="shared" si="6"/>
        <v>1200001011PCL-31300 WHITE PASTE</v>
      </c>
      <c r="F205" s="133" t="s">
        <v>3055</v>
      </c>
      <c r="G205" s="133" t="s">
        <v>3883</v>
      </c>
      <c r="H205" s="133">
        <f>VLOOKUP(G205,'packing mapping'!A:B,2,0)</f>
        <v>4</v>
      </c>
      <c r="I205" s="137">
        <v>886640</v>
      </c>
      <c r="J205" s="132">
        <f t="shared" si="7"/>
        <v>221660</v>
      </c>
    </row>
    <row r="206" spans="1:10">
      <c r="A206" s="115" t="s">
        <v>960</v>
      </c>
      <c r="B206" s="115" t="s">
        <v>961</v>
      </c>
      <c r="C206" s="115" t="s">
        <v>1204</v>
      </c>
      <c r="D206" s="115" t="s">
        <v>1205</v>
      </c>
      <c r="E206" s="133" t="str">
        <f t="shared" si="6"/>
        <v>1200001011PCL-31300 YELLOW OG 16 PASTE</v>
      </c>
      <c r="F206" s="133" t="s">
        <v>3056</v>
      </c>
      <c r="G206" s="133" t="s">
        <v>3883</v>
      </c>
      <c r="H206" s="133">
        <f>VLOOKUP(G206,'packing mapping'!A:B,2,0)</f>
        <v>4</v>
      </c>
      <c r="I206" s="137">
        <v>3696480</v>
      </c>
      <c r="J206" s="132">
        <f t="shared" si="7"/>
        <v>924120</v>
      </c>
    </row>
    <row r="207" spans="1:10">
      <c r="A207" s="115" t="s">
        <v>960</v>
      </c>
      <c r="B207" s="115" t="s">
        <v>961</v>
      </c>
      <c r="C207" s="115" t="s">
        <v>1206</v>
      </c>
      <c r="D207" s="115" t="s">
        <v>1207</v>
      </c>
      <c r="E207" s="133" t="str">
        <f t="shared" si="6"/>
        <v>1200001011PCL-31300 YELLOW OKER PASTE</v>
      </c>
      <c r="F207" s="133" t="s">
        <v>3057</v>
      </c>
      <c r="G207" s="133" t="s">
        <v>3883</v>
      </c>
      <c r="H207" s="133">
        <f>VLOOKUP(G207,'packing mapping'!A:B,2,0)</f>
        <v>4</v>
      </c>
      <c r="I207" s="137">
        <v>1362680</v>
      </c>
      <c r="J207" s="132">
        <f t="shared" si="7"/>
        <v>340670</v>
      </c>
    </row>
    <row r="208" spans="1:10">
      <c r="A208" s="115" t="s">
        <v>960</v>
      </c>
      <c r="B208" s="115" t="s">
        <v>961</v>
      </c>
      <c r="C208" s="115" t="s">
        <v>1208</v>
      </c>
      <c r="D208" s="115" t="s">
        <v>1209</v>
      </c>
      <c r="E208" s="133" t="str">
        <f t="shared" si="6"/>
        <v>1200001011PG-13900 WHITE 01 VN</v>
      </c>
      <c r="F208" s="133" t="s">
        <v>3058</v>
      </c>
      <c r="G208" s="133" t="s">
        <v>3881</v>
      </c>
      <c r="H208" s="133">
        <f>VLOOKUP(G208,'packing mapping'!A:B,2,0)</f>
        <v>20</v>
      </c>
      <c r="I208" s="137">
        <v>1464200</v>
      </c>
      <c r="J208" s="132">
        <f t="shared" si="7"/>
        <v>73210</v>
      </c>
    </row>
    <row r="209" spans="1:10">
      <c r="A209" s="115" t="s">
        <v>960</v>
      </c>
      <c r="B209" s="115" t="s">
        <v>961</v>
      </c>
      <c r="C209" s="115" t="s">
        <v>1386</v>
      </c>
      <c r="D209" s="115" t="s">
        <v>1387</v>
      </c>
      <c r="E209" s="133" t="str">
        <f t="shared" si="6"/>
        <v>1200001011PUC-54205 AC WHITE 90 VN</v>
      </c>
      <c r="F209" s="133" t="s">
        <v>3143</v>
      </c>
      <c r="G209" s="133" t="s">
        <v>3881</v>
      </c>
      <c r="H209" s="133">
        <f>VLOOKUP(G209,'packing mapping'!A:B,2,0)</f>
        <v>20</v>
      </c>
      <c r="I209" s="137">
        <v>3744800</v>
      </c>
      <c r="J209" s="132">
        <f t="shared" si="7"/>
        <v>187240</v>
      </c>
    </row>
    <row r="210" spans="1:10">
      <c r="A210" s="115" t="s">
        <v>960</v>
      </c>
      <c r="B210" s="115" t="s">
        <v>961</v>
      </c>
      <c r="C210" s="115" t="s">
        <v>1388</v>
      </c>
      <c r="D210" s="115" t="s">
        <v>1389</v>
      </c>
      <c r="E210" s="133" t="str">
        <f t="shared" si="6"/>
        <v>1200001011PUC-54205 AC WHITE 10 VN</v>
      </c>
      <c r="F210" s="133" t="s">
        <v>3144</v>
      </c>
      <c r="G210" s="133" t="s">
        <v>3881</v>
      </c>
      <c r="H210" s="133">
        <f>VLOOKUP(G210,'packing mapping'!A:B,2,0)</f>
        <v>20</v>
      </c>
      <c r="I210" s="137">
        <v>3356600</v>
      </c>
      <c r="J210" s="132">
        <f t="shared" si="7"/>
        <v>167830</v>
      </c>
    </row>
    <row r="211" spans="1:10">
      <c r="A211" s="115" t="s">
        <v>960</v>
      </c>
      <c r="B211" s="115" t="s">
        <v>961</v>
      </c>
      <c r="C211" s="115" t="s">
        <v>1470</v>
      </c>
      <c r="D211" s="115" t="s">
        <v>1471</v>
      </c>
      <c r="E211" s="133" t="str">
        <f t="shared" si="6"/>
        <v>1200001011PUC-54205 AC WHITE 50 VN</v>
      </c>
      <c r="F211" s="133" t="s">
        <v>3181</v>
      </c>
      <c r="G211" s="133" t="s">
        <v>3881</v>
      </c>
      <c r="H211" s="133">
        <f>VLOOKUP(G211,'packing mapping'!A:B,2,0)</f>
        <v>20</v>
      </c>
      <c r="I211" s="137">
        <v>3062800</v>
      </c>
      <c r="J211" s="132">
        <f t="shared" si="7"/>
        <v>153140</v>
      </c>
    </row>
    <row r="212" spans="1:10">
      <c r="A212" s="115" t="s">
        <v>960</v>
      </c>
      <c r="B212" s="115" t="s">
        <v>961</v>
      </c>
      <c r="C212" s="115" t="s">
        <v>1472</v>
      </c>
      <c r="D212" s="115" t="s">
        <v>1473</v>
      </c>
      <c r="E212" s="133" t="str">
        <f t="shared" si="6"/>
        <v>1200001011PUC-54205 AC WHITE 70 VN</v>
      </c>
      <c r="F212" s="133" t="s">
        <v>3182</v>
      </c>
      <c r="G212" s="133" t="s">
        <v>3881</v>
      </c>
      <c r="H212" s="133">
        <f>VLOOKUP(G212,'packing mapping'!A:B,2,0)</f>
        <v>20</v>
      </c>
      <c r="I212" s="137">
        <v>2979000</v>
      </c>
      <c r="J212" s="132">
        <f t="shared" si="7"/>
        <v>148950</v>
      </c>
    </row>
    <row r="213" spans="1:10">
      <c r="A213" s="115" t="s">
        <v>960</v>
      </c>
      <c r="B213" s="115" t="s">
        <v>961</v>
      </c>
      <c r="C213" s="115" t="s">
        <v>1210</v>
      </c>
      <c r="D213" s="115" t="s">
        <v>1211</v>
      </c>
      <c r="E213" s="133" t="str">
        <f t="shared" si="6"/>
        <v>1200001011PUH-56306 LY VN</v>
      </c>
      <c r="F213" s="133" t="s">
        <v>3059</v>
      </c>
      <c r="G213" s="133" t="s">
        <v>3879</v>
      </c>
      <c r="H213" s="133">
        <f>VLOOKUP(G213,'packing mapping'!A:B,2,0)</f>
        <v>20</v>
      </c>
      <c r="I213" s="137">
        <v>3279800</v>
      </c>
      <c r="J213" s="132">
        <f t="shared" si="7"/>
        <v>163990</v>
      </c>
    </row>
    <row r="214" spans="1:10">
      <c r="A214" s="115" t="s">
        <v>960</v>
      </c>
      <c r="B214" s="115" t="s">
        <v>961</v>
      </c>
      <c r="C214" s="115" t="s">
        <v>1396</v>
      </c>
      <c r="D214" s="115" t="s">
        <v>1397</v>
      </c>
      <c r="E214" s="133" t="str">
        <f t="shared" si="6"/>
        <v>1200001011PUL-53306 AC EX CLEAR 10 VN</v>
      </c>
      <c r="F214" s="133" t="s">
        <v>3148</v>
      </c>
      <c r="G214" s="133" t="s">
        <v>3879</v>
      </c>
      <c r="H214" s="133">
        <f>VLOOKUP(G214,'packing mapping'!A:B,2,0)</f>
        <v>20</v>
      </c>
      <c r="I214" s="137">
        <v>3523600</v>
      </c>
      <c r="J214" s="132">
        <f t="shared" si="7"/>
        <v>176180</v>
      </c>
    </row>
    <row r="215" spans="1:10">
      <c r="A215" s="115" t="s">
        <v>960</v>
      </c>
      <c r="B215" s="115" t="s">
        <v>961</v>
      </c>
      <c r="C215" s="115" t="s">
        <v>1212</v>
      </c>
      <c r="D215" s="115" t="s">
        <v>1213</v>
      </c>
      <c r="E215" s="133" t="str">
        <f t="shared" si="6"/>
        <v>1200001011PUL-53306 AC EX CLEAR 20 VN</v>
      </c>
      <c r="F215" s="133" t="s">
        <v>3060</v>
      </c>
      <c r="G215" s="133" t="s">
        <v>3879</v>
      </c>
      <c r="H215" s="133">
        <f>VLOOKUP(G215,'packing mapping'!A:B,2,0)</f>
        <v>20</v>
      </c>
      <c r="I215" s="137">
        <v>3248000</v>
      </c>
      <c r="J215" s="132">
        <f t="shared" si="7"/>
        <v>162400</v>
      </c>
    </row>
    <row r="216" spans="1:10">
      <c r="A216" s="115" t="s">
        <v>960</v>
      </c>
      <c r="B216" s="115" t="s">
        <v>961</v>
      </c>
      <c r="C216" s="115" t="s">
        <v>1474</v>
      </c>
      <c r="D216" s="115" t="s">
        <v>1475</v>
      </c>
      <c r="E216" s="133" t="str">
        <f t="shared" si="6"/>
        <v>1200001011PUL-53306 AC EX CLEAR 30 VN</v>
      </c>
      <c r="F216" s="133" t="s">
        <v>3183</v>
      </c>
      <c r="G216" s="133" t="s">
        <v>3879</v>
      </c>
      <c r="H216" s="133">
        <f>VLOOKUP(G216,'packing mapping'!A:B,2,0)</f>
        <v>20</v>
      </c>
      <c r="I216" s="137">
        <v>3221600</v>
      </c>
      <c r="J216" s="132">
        <f t="shared" si="7"/>
        <v>161080</v>
      </c>
    </row>
    <row r="217" spans="1:10">
      <c r="A217" s="115" t="s">
        <v>960</v>
      </c>
      <c r="B217" s="115" t="s">
        <v>961</v>
      </c>
      <c r="C217" s="115" t="s">
        <v>1476</v>
      </c>
      <c r="D217" s="115" t="s">
        <v>1477</v>
      </c>
      <c r="E217" s="133" t="str">
        <f t="shared" si="6"/>
        <v>1200001011PUP-52141 WHITE 01 VN</v>
      </c>
      <c r="F217" s="133" t="s">
        <v>3184</v>
      </c>
      <c r="G217" s="133" t="s">
        <v>3881</v>
      </c>
      <c r="H217" s="133">
        <f>VLOOKUP(G217,'packing mapping'!A:B,2,0)</f>
        <v>20</v>
      </c>
      <c r="I217" s="137">
        <v>1828600</v>
      </c>
      <c r="J217" s="132">
        <f t="shared" si="7"/>
        <v>91430</v>
      </c>
    </row>
    <row r="218" spans="1:10">
      <c r="A218" s="115" t="s">
        <v>960</v>
      </c>
      <c r="B218" s="115" t="s">
        <v>961</v>
      </c>
      <c r="C218" s="115" t="s">
        <v>1478</v>
      </c>
      <c r="D218" s="115" t="s">
        <v>1479</v>
      </c>
      <c r="E218" s="133" t="str">
        <f t="shared" si="6"/>
        <v>1200001011PUSS-51241 VN</v>
      </c>
      <c r="F218" s="133" t="s">
        <v>3185</v>
      </c>
      <c r="G218" s="133" t="s">
        <v>3881</v>
      </c>
      <c r="H218" s="133">
        <f>VLOOKUP(G218,'packing mapping'!A:B,2,0)</f>
        <v>20</v>
      </c>
      <c r="I218" s="137">
        <v>1435000</v>
      </c>
      <c r="J218" s="132">
        <f t="shared" si="7"/>
        <v>71750</v>
      </c>
    </row>
    <row r="219" spans="1:10">
      <c r="A219" s="115" t="s">
        <v>960</v>
      </c>
      <c r="B219" s="115" t="s">
        <v>961</v>
      </c>
      <c r="C219" s="115" t="s">
        <v>1218</v>
      </c>
      <c r="D219" s="115" t="s">
        <v>1219</v>
      </c>
      <c r="E219" s="133" t="str">
        <f t="shared" si="6"/>
        <v>1200001011PUSS-53206 AC EX VN</v>
      </c>
      <c r="F219" s="133" t="s">
        <v>3063</v>
      </c>
      <c r="G219" s="133" t="s">
        <v>3881</v>
      </c>
      <c r="H219" s="133">
        <f>VLOOKUP(G219,'packing mapping'!A:B,2,0)</f>
        <v>20</v>
      </c>
      <c r="I219" s="137">
        <v>2482800</v>
      </c>
      <c r="J219" s="132">
        <f t="shared" si="7"/>
        <v>124140</v>
      </c>
    </row>
    <row r="220" spans="1:10">
      <c r="A220" s="115" t="s">
        <v>960</v>
      </c>
      <c r="B220" s="115" t="s">
        <v>961</v>
      </c>
      <c r="C220" s="115" t="s">
        <v>1480</v>
      </c>
      <c r="D220" s="115" t="s">
        <v>1481</v>
      </c>
      <c r="E220" s="133" t="str">
        <f t="shared" si="6"/>
        <v>1200001011PUSS-53206 AC EX VN</v>
      </c>
      <c r="F220" s="133" t="s">
        <v>3063</v>
      </c>
      <c r="G220" s="133" t="s">
        <v>3889</v>
      </c>
      <c r="H220" s="133">
        <f>VLOOKUP(G220,'packing mapping'!A:B,2,0)</f>
        <v>200</v>
      </c>
      <c r="I220" s="137">
        <v>24146000</v>
      </c>
      <c r="J220" s="132">
        <f t="shared" si="7"/>
        <v>120730</v>
      </c>
    </row>
    <row r="221" spans="1:10">
      <c r="A221" s="115" t="s">
        <v>960</v>
      </c>
      <c r="B221" s="115" t="s">
        <v>961</v>
      </c>
      <c r="C221" s="115" t="s">
        <v>1220</v>
      </c>
      <c r="D221" s="115" t="s">
        <v>1221</v>
      </c>
      <c r="E221" s="133" t="str">
        <f t="shared" si="6"/>
        <v>1200001011SST-11100 C10 BLACK</v>
      </c>
      <c r="F221" s="133" t="s">
        <v>3064</v>
      </c>
      <c r="G221" s="133" t="s">
        <v>3883</v>
      </c>
      <c r="H221" s="133">
        <f>VLOOKUP(G221,'packing mapping'!A:B,2,0)</f>
        <v>4</v>
      </c>
      <c r="I221" s="137">
        <v>988480</v>
      </c>
      <c r="J221" s="132">
        <f t="shared" si="7"/>
        <v>247120</v>
      </c>
    </row>
    <row r="222" spans="1:10">
      <c r="A222" s="115" t="s">
        <v>960</v>
      </c>
      <c r="B222" s="115" t="s">
        <v>961</v>
      </c>
      <c r="C222" s="115" t="s">
        <v>1222</v>
      </c>
      <c r="D222" s="115" t="s">
        <v>1223</v>
      </c>
      <c r="E222" s="133" t="str">
        <f t="shared" si="6"/>
        <v>1200001011SST-11100 C10 BLUE</v>
      </c>
      <c r="F222" s="133" t="s">
        <v>3065</v>
      </c>
      <c r="G222" s="133" t="s">
        <v>3883</v>
      </c>
      <c r="H222" s="133">
        <f>VLOOKUP(G222,'packing mapping'!A:B,2,0)</f>
        <v>4</v>
      </c>
      <c r="I222" s="137">
        <v>1880760</v>
      </c>
      <c r="J222" s="132">
        <f t="shared" si="7"/>
        <v>470190</v>
      </c>
    </row>
    <row r="223" spans="1:10">
      <c r="A223" s="115" t="s">
        <v>960</v>
      </c>
      <c r="B223" s="115" t="s">
        <v>961</v>
      </c>
      <c r="C223" s="115" t="s">
        <v>1224</v>
      </c>
      <c r="D223" s="115" t="s">
        <v>1225</v>
      </c>
      <c r="E223" s="133" t="str">
        <f t="shared" si="6"/>
        <v>1200001011SST-11100 C10 ORANGE</v>
      </c>
      <c r="F223" s="133" t="s">
        <v>3066</v>
      </c>
      <c r="G223" s="133" t="s">
        <v>3883</v>
      </c>
      <c r="H223" s="133">
        <f>VLOOKUP(G223,'packing mapping'!A:B,2,0)</f>
        <v>4</v>
      </c>
      <c r="I223" s="137">
        <v>1322640</v>
      </c>
      <c r="J223" s="132">
        <f t="shared" si="7"/>
        <v>330660</v>
      </c>
    </row>
    <row r="224" spans="1:10">
      <c r="A224" s="115" t="s">
        <v>960</v>
      </c>
      <c r="B224" s="115" t="s">
        <v>961</v>
      </c>
      <c r="C224" s="115" t="s">
        <v>1226</v>
      </c>
      <c r="D224" s="115" t="s">
        <v>1227</v>
      </c>
      <c r="E224" s="133" t="str">
        <f t="shared" si="6"/>
        <v>1200001011SST-11100 C10 RED</v>
      </c>
      <c r="F224" s="133" t="s">
        <v>3067</v>
      </c>
      <c r="G224" s="133" t="s">
        <v>3883</v>
      </c>
      <c r="H224" s="133">
        <f>VLOOKUP(G224,'packing mapping'!A:B,2,0)</f>
        <v>4</v>
      </c>
      <c r="I224" s="137">
        <v>1024840</v>
      </c>
      <c r="J224" s="132">
        <f t="shared" si="7"/>
        <v>256210</v>
      </c>
    </row>
    <row r="225" spans="1:10">
      <c r="A225" s="115" t="s">
        <v>960</v>
      </c>
      <c r="B225" s="115" t="s">
        <v>961</v>
      </c>
      <c r="C225" s="115" t="s">
        <v>1228</v>
      </c>
      <c r="D225" s="115" t="s">
        <v>1229</v>
      </c>
      <c r="E225" s="133" t="str">
        <f t="shared" si="6"/>
        <v>1200001011SST-11100 C10 YELLOW</v>
      </c>
      <c r="F225" s="133" t="s">
        <v>3068</v>
      </c>
      <c r="G225" s="133" t="s">
        <v>3883</v>
      </c>
      <c r="H225" s="133">
        <f>VLOOKUP(G225,'packing mapping'!A:B,2,0)</f>
        <v>4</v>
      </c>
      <c r="I225" s="137">
        <v>913840</v>
      </c>
      <c r="J225" s="132">
        <f t="shared" si="7"/>
        <v>228460</v>
      </c>
    </row>
    <row r="226" spans="1:10">
      <c r="A226" s="115" t="s">
        <v>960</v>
      </c>
      <c r="B226" s="115" t="s">
        <v>961</v>
      </c>
      <c r="C226" s="115" t="s">
        <v>1398</v>
      </c>
      <c r="D226" s="115" t="s">
        <v>1399</v>
      </c>
      <c r="E226" s="133" t="str">
        <f t="shared" si="6"/>
        <v>1200001011THC-73100 402 VN</v>
      </c>
      <c r="F226" s="133" t="s">
        <v>3149</v>
      </c>
      <c r="G226" s="133" t="s">
        <v>3884</v>
      </c>
      <c r="H226" s="133">
        <f>VLOOKUP(G226,'packing mapping'!A:B,2,0)</f>
        <v>200</v>
      </c>
      <c r="I226" s="137">
        <v>9910000</v>
      </c>
      <c r="J226" s="132">
        <f t="shared" si="7"/>
        <v>49550</v>
      </c>
    </row>
    <row r="227" spans="1:10">
      <c r="A227" s="115" t="s">
        <v>960</v>
      </c>
      <c r="B227" s="115" t="s">
        <v>961</v>
      </c>
      <c r="C227" s="115" t="s">
        <v>1402</v>
      </c>
      <c r="D227" s="115" t="s">
        <v>1403</v>
      </c>
      <c r="E227" s="133" t="str">
        <f t="shared" si="6"/>
        <v>1200001011THC-73100-007 VN</v>
      </c>
      <c r="F227" s="133" t="s">
        <v>3150</v>
      </c>
      <c r="G227" s="133" t="s">
        <v>3880</v>
      </c>
      <c r="H227" s="133">
        <f>VLOOKUP(G227,'packing mapping'!A:B,2,0)</f>
        <v>20</v>
      </c>
      <c r="I227" s="137">
        <v>1471600</v>
      </c>
      <c r="J227" s="132">
        <f t="shared" si="7"/>
        <v>73580</v>
      </c>
    </row>
    <row r="228" spans="1:10">
      <c r="A228" s="115" t="s">
        <v>960</v>
      </c>
      <c r="B228" s="115" t="s">
        <v>961</v>
      </c>
      <c r="C228" s="115" t="s">
        <v>1238</v>
      </c>
      <c r="D228" s="115" t="s">
        <v>1239</v>
      </c>
      <c r="E228" s="133" t="str">
        <f t="shared" si="6"/>
        <v>1200001011THGZ-72200 VN</v>
      </c>
      <c r="F228" s="133" t="s">
        <v>3073</v>
      </c>
      <c r="G228" s="133" t="s">
        <v>3880</v>
      </c>
      <c r="H228" s="133">
        <f>VLOOKUP(G228,'packing mapping'!A:B,2,0)</f>
        <v>20</v>
      </c>
      <c r="I228" s="137">
        <v>1076400</v>
      </c>
      <c r="J228" s="132">
        <f t="shared" si="7"/>
        <v>53820</v>
      </c>
    </row>
    <row r="229" spans="1:10">
      <c r="A229" s="115" t="s">
        <v>960</v>
      </c>
      <c r="B229" s="115" t="s">
        <v>961</v>
      </c>
      <c r="C229" s="115" t="s">
        <v>1240</v>
      </c>
      <c r="D229" s="115" t="s">
        <v>1241</v>
      </c>
      <c r="E229" s="133" t="str">
        <f t="shared" si="6"/>
        <v>1200001011THNC-71100 SD VN</v>
      </c>
      <c r="F229" s="133" t="s">
        <v>3074</v>
      </c>
      <c r="G229" s="133" t="s">
        <v>3884</v>
      </c>
      <c r="H229" s="133">
        <f>VLOOKUP(G229,'packing mapping'!A:B,2,0)</f>
        <v>200</v>
      </c>
      <c r="I229" s="137">
        <v>10902000</v>
      </c>
      <c r="J229" s="132">
        <f t="shared" si="7"/>
        <v>54510</v>
      </c>
    </row>
    <row r="230" spans="1:10">
      <c r="A230" s="115" t="s">
        <v>960</v>
      </c>
      <c r="B230" s="115" t="s">
        <v>961</v>
      </c>
      <c r="C230" s="115" t="s">
        <v>1482</v>
      </c>
      <c r="D230" s="115" t="s">
        <v>1483</v>
      </c>
      <c r="E230" s="133" t="str">
        <f t="shared" si="6"/>
        <v>1200001011THNC-71100 SD VN</v>
      </c>
      <c r="F230" s="133" t="s">
        <v>3074</v>
      </c>
      <c r="G230" s="133" t="s">
        <v>3880</v>
      </c>
      <c r="H230" s="133">
        <f>VLOOKUP(G230,'packing mapping'!A:B,2,0)</f>
        <v>20</v>
      </c>
      <c r="I230" s="137">
        <v>1131600</v>
      </c>
      <c r="J230" s="132">
        <f t="shared" si="7"/>
        <v>56580</v>
      </c>
    </row>
    <row r="231" spans="1:10">
      <c r="A231" s="115" t="s">
        <v>960</v>
      </c>
      <c r="B231" s="115" t="s">
        <v>961</v>
      </c>
      <c r="C231" s="115" t="s">
        <v>1242</v>
      </c>
      <c r="D231" s="115" t="s">
        <v>1243</v>
      </c>
      <c r="E231" s="133" t="str">
        <f t="shared" si="6"/>
        <v>1200001011THPU-71306 ST VN</v>
      </c>
      <c r="F231" s="133" t="s">
        <v>3039</v>
      </c>
      <c r="G231" s="133" t="s">
        <v>3884</v>
      </c>
      <c r="H231" s="133">
        <f>VLOOKUP(G231,'packing mapping'!A:B,2,0)</f>
        <v>200</v>
      </c>
      <c r="I231" s="137">
        <v>11432000</v>
      </c>
      <c r="J231" s="132">
        <f t="shared" si="7"/>
        <v>57160</v>
      </c>
    </row>
    <row r="232" spans="1:10">
      <c r="A232" s="115" t="s">
        <v>960</v>
      </c>
      <c r="B232" s="115" t="s">
        <v>961</v>
      </c>
      <c r="C232" s="115" t="s">
        <v>1170</v>
      </c>
      <c r="D232" s="115" t="s">
        <v>1171</v>
      </c>
      <c r="E232" s="133" t="str">
        <f t="shared" si="6"/>
        <v>1200001011THPU-71306 ST VN</v>
      </c>
      <c r="F232" s="133" t="s">
        <v>3039</v>
      </c>
      <c r="G232" s="133" t="s">
        <v>3880</v>
      </c>
      <c r="H232" s="133">
        <f>VLOOKUP(G232,'packing mapping'!A:B,2,0)</f>
        <v>20</v>
      </c>
      <c r="I232" s="137">
        <v>1306600</v>
      </c>
      <c r="J232" s="132">
        <f t="shared" si="7"/>
        <v>65330</v>
      </c>
    </row>
    <row r="233" spans="1:10">
      <c r="A233" s="115" t="s">
        <v>960</v>
      </c>
      <c r="B233" s="115" t="s">
        <v>961</v>
      </c>
      <c r="C233" s="115" t="s">
        <v>1484</v>
      </c>
      <c r="D233" s="115" t="s">
        <v>1485</v>
      </c>
      <c r="E233" s="133" t="str">
        <f t="shared" si="6"/>
        <v>1200001011AP-98200 NLT 01 VN</v>
      </c>
      <c r="F233" s="133" t="s">
        <v>3186</v>
      </c>
      <c r="G233" s="133" t="s">
        <v>3894</v>
      </c>
      <c r="H233" s="133">
        <f>VLOOKUP(G233,'packing mapping'!A:B,2,0)</f>
        <v>1</v>
      </c>
      <c r="I233" s="137">
        <v>1420900</v>
      </c>
      <c r="J233" s="132">
        <f t="shared" si="7"/>
        <v>1420900</v>
      </c>
    </row>
    <row r="234" spans="1:10">
      <c r="A234" s="115" t="s">
        <v>960</v>
      </c>
      <c r="B234" s="115" t="s">
        <v>961</v>
      </c>
      <c r="C234" s="115" t="s">
        <v>1486</v>
      </c>
      <c r="D234" s="115" t="s">
        <v>1487</v>
      </c>
      <c r="E234" s="133" t="str">
        <f t="shared" si="6"/>
        <v>1200001011AP-98200 SILVER 2107 VN</v>
      </c>
      <c r="F234" s="133" t="s">
        <v>3187</v>
      </c>
      <c r="G234" s="133" t="s">
        <v>3894</v>
      </c>
      <c r="H234" s="133">
        <f>VLOOKUP(G234,'packing mapping'!A:B,2,0)</f>
        <v>1</v>
      </c>
      <c r="I234" s="137">
        <v>2517010</v>
      </c>
      <c r="J234" s="132">
        <f t="shared" si="7"/>
        <v>2517010</v>
      </c>
    </row>
    <row r="235" spans="1:10">
      <c r="A235" s="115" t="s">
        <v>960</v>
      </c>
      <c r="B235" s="115" t="s">
        <v>961</v>
      </c>
      <c r="C235" s="115" t="s">
        <v>1248</v>
      </c>
      <c r="D235" s="115" t="s">
        <v>1249</v>
      </c>
      <c r="E235" s="133" t="str">
        <f t="shared" si="6"/>
        <v>1200001011MEPH-12003 PS VN</v>
      </c>
      <c r="F235" s="133" t="s">
        <v>3077</v>
      </c>
      <c r="G235" s="133" t="s">
        <v>3887</v>
      </c>
      <c r="H235" s="133">
        <f>VLOOKUP(G235,'packing mapping'!A:B,2,0)</f>
        <v>2</v>
      </c>
      <c r="I235" s="137">
        <v>384780</v>
      </c>
      <c r="J235" s="132">
        <f t="shared" si="7"/>
        <v>192390</v>
      </c>
    </row>
    <row r="236" spans="1:10">
      <c r="A236" s="115" t="s">
        <v>960</v>
      </c>
      <c r="B236" s="115" t="s">
        <v>961</v>
      </c>
      <c r="C236" s="115" t="s">
        <v>1252</v>
      </c>
      <c r="D236" s="115" t="s">
        <v>1253</v>
      </c>
      <c r="E236" s="133" t="str">
        <f t="shared" si="6"/>
        <v>1200001011SPE-9110 CRACKING VN</v>
      </c>
      <c r="F236" s="133" t="s">
        <v>3079</v>
      </c>
      <c r="G236" s="133" t="s">
        <v>3888</v>
      </c>
      <c r="H236" s="133">
        <f>VLOOKUP(G236,'packing mapping'!A:B,2,0)</f>
        <v>4</v>
      </c>
      <c r="I236" s="137">
        <v>582080</v>
      </c>
      <c r="J236" s="132">
        <f t="shared" si="7"/>
        <v>145520</v>
      </c>
    </row>
    <row r="237" spans="1:10">
      <c r="A237" s="115" t="s">
        <v>960</v>
      </c>
      <c r="B237" s="115" t="s">
        <v>961</v>
      </c>
      <c r="C237" s="115" t="s">
        <v>1254</v>
      </c>
      <c r="D237" s="115" t="s">
        <v>1255</v>
      </c>
      <c r="E237" s="133" t="str">
        <f t="shared" si="6"/>
        <v>1200001011MEP-12003 BLACK VN</v>
      </c>
      <c r="F237" s="133" t="s">
        <v>3080</v>
      </c>
      <c r="G237" s="133" t="s">
        <v>3882</v>
      </c>
      <c r="H237" s="133">
        <f>VLOOKUP(G237,'packing mapping'!A:B,2,0)</f>
        <v>18</v>
      </c>
      <c r="I237" s="137">
        <v>1633320</v>
      </c>
      <c r="J237" s="132">
        <f t="shared" si="7"/>
        <v>90740</v>
      </c>
    </row>
    <row r="238" spans="1:10">
      <c r="A238" s="115" t="s">
        <v>960</v>
      </c>
      <c r="B238" s="115" t="s">
        <v>961</v>
      </c>
      <c r="C238" s="115" t="s">
        <v>1258</v>
      </c>
      <c r="D238" s="115" t="s">
        <v>1259</v>
      </c>
      <c r="E238" s="133" t="str">
        <f t="shared" si="6"/>
        <v>1200001011DP-12123 LC WHITE 01 VN</v>
      </c>
      <c r="F238" s="133" t="s">
        <v>3082</v>
      </c>
      <c r="G238" s="133" t="s">
        <v>3881</v>
      </c>
      <c r="H238" s="133">
        <f>VLOOKUP(G238,'packing mapping'!A:B,2,0)</f>
        <v>20</v>
      </c>
      <c r="I238" s="137">
        <v>2958200</v>
      </c>
      <c r="J238" s="132">
        <f t="shared" si="7"/>
        <v>147910</v>
      </c>
    </row>
    <row r="239" spans="1:10">
      <c r="A239" s="115" t="s">
        <v>960</v>
      </c>
      <c r="B239" s="115" t="s">
        <v>961</v>
      </c>
      <c r="C239" s="115" t="s">
        <v>1272</v>
      </c>
      <c r="D239" s="115" t="s">
        <v>1273</v>
      </c>
      <c r="E239" s="133" t="str">
        <f t="shared" si="6"/>
        <v>1200001011NCSS-11229 LC VN</v>
      </c>
      <c r="F239" s="133" t="s">
        <v>3089</v>
      </c>
      <c r="G239" s="133" t="s">
        <v>3879</v>
      </c>
      <c r="H239" s="133">
        <f>VLOOKUP(G239,'packing mapping'!A:B,2,0)</f>
        <v>20</v>
      </c>
      <c r="I239" s="137">
        <v>2504600</v>
      </c>
      <c r="J239" s="132">
        <f t="shared" si="7"/>
        <v>125230</v>
      </c>
    </row>
    <row r="240" spans="1:10">
      <c r="A240" s="115" t="s">
        <v>960</v>
      </c>
      <c r="B240" s="115" t="s">
        <v>961</v>
      </c>
      <c r="C240" s="115" t="s">
        <v>1172</v>
      </c>
      <c r="D240" s="115" t="s">
        <v>1173</v>
      </c>
      <c r="E240" s="133" t="str">
        <f t="shared" si="6"/>
        <v>1200001011PUH-56135 S VN</v>
      </c>
      <c r="F240" s="133" t="s">
        <v>3040</v>
      </c>
      <c r="G240" s="133" t="s">
        <v>3881</v>
      </c>
      <c r="H240" s="133">
        <f>VLOOKUP(G240,'packing mapping'!A:B,2,0)</f>
        <v>20</v>
      </c>
      <c r="I240" s="137">
        <v>2994000</v>
      </c>
      <c r="J240" s="132">
        <f t="shared" si="7"/>
        <v>149700</v>
      </c>
    </row>
    <row r="241" spans="1:10">
      <c r="A241" s="115" t="s">
        <v>960</v>
      </c>
      <c r="B241" s="115" t="s">
        <v>961</v>
      </c>
      <c r="C241" s="115" t="s">
        <v>1276</v>
      </c>
      <c r="D241" s="115" t="s">
        <v>1277</v>
      </c>
      <c r="E241" s="133" t="str">
        <f t="shared" si="6"/>
        <v>1200001011PUL-51335 CLEAR 10 VN</v>
      </c>
      <c r="F241" s="133" t="s">
        <v>3091</v>
      </c>
      <c r="G241" s="133" t="s">
        <v>3881</v>
      </c>
      <c r="H241" s="133">
        <f>VLOOKUP(G241,'packing mapping'!A:B,2,0)</f>
        <v>20</v>
      </c>
      <c r="I241" s="137">
        <v>1721600</v>
      </c>
      <c r="J241" s="132">
        <f t="shared" si="7"/>
        <v>86080</v>
      </c>
    </row>
    <row r="242" spans="1:10">
      <c r="A242" s="115" t="s">
        <v>960</v>
      </c>
      <c r="B242" s="115" t="s">
        <v>961</v>
      </c>
      <c r="C242" s="115" t="s">
        <v>1278</v>
      </c>
      <c r="D242" s="115" t="s">
        <v>1279</v>
      </c>
      <c r="E242" s="133" t="str">
        <f t="shared" si="6"/>
        <v>1200001011PUL-51335 CLEAR 20 VN</v>
      </c>
      <c r="F242" s="133" t="s">
        <v>3092</v>
      </c>
      <c r="G242" s="133" t="s">
        <v>3881</v>
      </c>
      <c r="H242" s="133">
        <f>VLOOKUP(G242,'packing mapping'!A:B,2,0)</f>
        <v>20</v>
      </c>
      <c r="I242" s="137">
        <v>1660400</v>
      </c>
      <c r="J242" s="132">
        <f t="shared" si="7"/>
        <v>83020</v>
      </c>
    </row>
    <row r="243" spans="1:10">
      <c r="A243" s="115" t="s">
        <v>960</v>
      </c>
      <c r="B243" s="115" t="s">
        <v>961</v>
      </c>
      <c r="C243" s="115" t="s">
        <v>1280</v>
      </c>
      <c r="D243" s="115" t="s">
        <v>1281</v>
      </c>
      <c r="E243" s="133" t="str">
        <f t="shared" si="6"/>
        <v>1200001011PUL-51335 CLEAR 30 VN</v>
      </c>
      <c r="F243" s="133" t="s">
        <v>3093</v>
      </c>
      <c r="G243" s="133" t="s">
        <v>3881</v>
      </c>
      <c r="H243" s="133">
        <f>VLOOKUP(G243,'packing mapping'!A:B,2,0)</f>
        <v>20</v>
      </c>
      <c r="I243" s="137">
        <v>1779600</v>
      </c>
      <c r="J243" s="132">
        <f t="shared" si="7"/>
        <v>88980</v>
      </c>
    </row>
    <row r="244" spans="1:10">
      <c r="A244" s="115" t="s">
        <v>960</v>
      </c>
      <c r="B244" s="115" t="s">
        <v>961</v>
      </c>
      <c r="C244" s="115" t="s">
        <v>1410</v>
      </c>
      <c r="D244" s="115" t="s">
        <v>1411</v>
      </c>
      <c r="E244" s="133" t="str">
        <f t="shared" si="6"/>
        <v>1200001011PUL-51335 CLEAR 90 VN</v>
      </c>
      <c r="F244" s="133" t="s">
        <v>3154</v>
      </c>
      <c r="G244" s="133" t="s">
        <v>3881</v>
      </c>
      <c r="H244" s="133">
        <f>VLOOKUP(G244,'packing mapping'!A:B,2,0)</f>
        <v>20</v>
      </c>
      <c r="I244" s="137">
        <v>1433800</v>
      </c>
      <c r="J244" s="132">
        <f t="shared" si="7"/>
        <v>71690</v>
      </c>
    </row>
    <row r="245" spans="1:10">
      <c r="A245" s="115" t="s">
        <v>960</v>
      </c>
      <c r="B245" s="115" t="s">
        <v>961</v>
      </c>
      <c r="C245" s="115" t="s">
        <v>1292</v>
      </c>
      <c r="D245" s="115" t="s">
        <v>1293</v>
      </c>
      <c r="E245" s="133" t="str">
        <f t="shared" si="6"/>
        <v>1200001011PUP-52135 WHITE VN</v>
      </c>
      <c r="F245" s="133" t="s">
        <v>3098</v>
      </c>
      <c r="G245" s="133" t="s">
        <v>3881</v>
      </c>
      <c r="H245" s="133">
        <f>VLOOKUP(G245,'packing mapping'!A:B,2,0)</f>
        <v>20</v>
      </c>
      <c r="I245" s="137">
        <v>2044200</v>
      </c>
      <c r="J245" s="132">
        <f t="shared" si="7"/>
        <v>102210</v>
      </c>
    </row>
    <row r="246" spans="1:10">
      <c r="A246" s="115" t="s">
        <v>960</v>
      </c>
      <c r="B246" s="115" t="s">
        <v>961</v>
      </c>
      <c r="C246" s="115" t="s">
        <v>1176</v>
      </c>
      <c r="D246" s="115" t="s">
        <v>1177</v>
      </c>
      <c r="E246" s="133" t="str">
        <f t="shared" si="6"/>
        <v>1200001011PUSS-51235 VN</v>
      </c>
      <c r="F246" s="133" t="s">
        <v>3042</v>
      </c>
      <c r="G246" s="133" t="s">
        <v>3881</v>
      </c>
      <c r="H246" s="133">
        <f>VLOOKUP(G246,'packing mapping'!A:B,2,0)</f>
        <v>20</v>
      </c>
      <c r="I246" s="137">
        <v>1510600</v>
      </c>
      <c r="J246" s="132">
        <f t="shared" si="7"/>
        <v>75530</v>
      </c>
    </row>
    <row r="247" spans="1:10">
      <c r="A247" s="115" t="s">
        <v>960</v>
      </c>
      <c r="B247" s="115" t="s">
        <v>961</v>
      </c>
      <c r="C247" s="115" t="s">
        <v>1296</v>
      </c>
      <c r="D247" s="115" t="s">
        <v>1297</v>
      </c>
      <c r="E247" s="133" t="str">
        <f t="shared" si="6"/>
        <v>1200001011RD-74106 VN</v>
      </c>
      <c r="F247" s="133" t="s">
        <v>3099</v>
      </c>
      <c r="G247" s="133" t="s">
        <v>3880</v>
      </c>
      <c r="H247" s="133">
        <f>VLOOKUP(G247,'packing mapping'!A:B,2,0)</f>
        <v>20</v>
      </c>
      <c r="I247" s="137">
        <v>1468400</v>
      </c>
      <c r="J247" s="132">
        <f t="shared" si="7"/>
        <v>73420</v>
      </c>
    </row>
    <row r="248" spans="1:10">
      <c r="A248" s="115" t="s">
        <v>960</v>
      </c>
      <c r="B248" s="115" t="s">
        <v>961</v>
      </c>
      <c r="C248" s="115" t="s">
        <v>1300</v>
      </c>
      <c r="D248" s="115" t="s">
        <v>1301</v>
      </c>
      <c r="E248" s="133" t="str">
        <f t="shared" si="6"/>
        <v>1200001011GZPU-21500 BLACK VN</v>
      </c>
      <c r="F248" s="133" t="s">
        <v>3101</v>
      </c>
      <c r="G248" s="133" t="s">
        <v>3883</v>
      </c>
      <c r="H248" s="133">
        <f>VLOOKUP(G248,'packing mapping'!A:B,2,0)</f>
        <v>4</v>
      </c>
      <c r="I248" s="137">
        <v>1334040</v>
      </c>
      <c r="J248" s="132">
        <f t="shared" si="7"/>
        <v>333510</v>
      </c>
    </row>
    <row r="249" spans="1:10">
      <c r="A249" s="115" t="s">
        <v>960</v>
      </c>
      <c r="B249" s="115" t="s">
        <v>961</v>
      </c>
      <c r="C249" s="115" t="s">
        <v>1302</v>
      </c>
      <c r="D249" s="115" t="s">
        <v>1303</v>
      </c>
      <c r="E249" s="133" t="str">
        <f t="shared" si="6"/>
        <v>1200001011GZPU-21500 BROWN VN</v>
      </c>
      <c r="F249" s="133" t="s">
        <v>3102</v>
      </c>
      <c r="G249" s="133" t="s">
        <v>3883</v>
      </c>
      <c r="H249" s="133">
        <f>VLOOKUP(G249,'packing mapping'!A:B,2,0)</f>
        <v>4</v>
      </c>
      <c r="I249" s="137">
        <v>1120600</v>
      </c>
      <c r="J249" s="132">
        <f t="shared" si="7"/>
        <v>280150</v>
      </c>
    </row>
    <row r="250" spans="1:10">
      <c r="A250" s="115" t="s">
        <v>960</v>
      </c>
      <c r="B250" s="115" t="s">
        <v>961</v>
      </c>
      <c r="C250" s="115" t="s">
        <v>1488</v>
      </c>
      <c r="D250" s="115" t="s">
        <v>1489</v>
      </c>
      <c r="E250" s="133" t="str">
        <f t="shared" si="6"/>
        <v>1200001011SST-11100 C10 RED</v>
      </c>
      <c r="F250" s="133" t="s">
        <v>3067</v>
      </c>
      <c r="G250" s="133" t="s">
        <v>3895</v>
      </c>
      <c r="H250" s="133">
        <f>VLOOKUP(G250,'packing mapping'!A:B,2,0)</f>
        <v>16</v>
      </c>
      <c r="I250" s="137">
        <v>4057280</v>
      </c>
      <c r="J250" s="132">
        <f t="shared" si="7"/>
        <v>253580</v>
      </c>
    </row>
    <row r="251" spans="1:10">
      <c r="A251" s="115" t="s">
        <v>960</v>
      </c>
      <c r="B251" s="115" t="s">
        <v>961</v>
      </c>
      <c r="C251" s="115" t="s">
        <v>1490</v>
      </c>
      <c r="D251" s="115" t="s">
        <v>1491</v>
      </c>
      <c r="E251" s="133" t="str">
        <f t="shared" si="6"/>
        <v>1200001011SST-11100 C10 BLACK</v>
      </c>
      <c r="F251" s="133" t="s">
        <v>3064</v>
      </c>
      <c r="G251" s="133" t="s">
        <v>3895</v>
      </c>
      <c r="H251" s="133">
        <f>VLOOKUP(G251,'packing mapping'!A:B,2,0)</f>
        <v>16</v>
      </c>
      <c r="I251" s="137">
        <v>3838400</v>
      </c>
      <c r="J251" s="132">
        <f t="shared" si="7"/>
        <v>239900</v>
      </c>
    </row>
    <row r="252" spans="1:10">
      <c r="A252" s="115" t="s">
        <v>960</v>
      </c>
      <c r="B252" s="115" t="s">
        <v>961</v>
      </c>
      <c r="C252" s="115" t="s">
        <v>1492</v>
      </c>
      <c r="D252" s="115" t="s">
        <v>1493</v>
      </c>
      <c r="E252" s="133" t="str">
        <f t="shared" si="6"/>
        <v>1200001011SST-11100 C10 BLUE</v>
      </c>
      <c r="F252" s="133" t="s">
        <v>3065</v>
      </c>
      <c r="G252" s="133" t="s">
        <v>3895</v>
      </c>
      <c r="H252" s="133">
        <f>VLOOKUP(G252,'packing mapping'!A:B,2,0)</f>
        <v>16</v>
      </c>
      <c r="I252" s="137">
        <v>7419360</v>
      </c>
      <c r="J252" s="132">
        <f t="shared" si="7"/>
        <v>463710</v>
      </c>
    </row>
    <row r="253" spans="1:10">
      <c r="A253" s="115" t="s">
        <v>960</v>
      </c>
      <c r="B253" s="115" t="s">
        <v>961</v>
      </c>
      <c r="C253" s="115" t="s">
        <v>1314</v>
      </c>
      <c r="D253" s="115" t="s">
        <v>1315</v>
      </c>
      <c r="E253" s="133" t="str">
        <f t="shared" si="6"/>
        <v>1200001011PCL-31300 RED 31701 PASTE</v>
      </c>
      <c r="F253" s="133" t="s">
        <v>3108</v>
      </c>
      <c r="G253" s="133" t="s">
        <v>3883</v>
      </c>
      <c r="H253" s="133">
        <f>VLOOKUP(G253,'packing mapping'!A:B,2,0)</f>
        <v>4</v>
      </c>
      <c r="I253" s="137">
        <v>3038080</v>
      </c>
      <c r="J253" s="132">
        <f t="shared" si="7"/>
        <v>759520</v>
      </c>
    </row>
    <row r="254" spans="1:10">
      <c r="A254" s="115" t="s">
        <v>960</v>
      </c>
      <c r="B254" s="115" t="s">
        <v>961</v>
      </c>
      <c r="C254" s="115" t="s">
        <v>1316</v>
      </c>
      <c r="D254" s="115" t="s">
        <v>1317</v>
      </c>
      <c r="E254" s="133" t="str">
        <f t="shared" si="6"/>
        <v>1200001011PCL-31300 YELLOW 170 HR PASTE</v>
      </c>
      <c r="F254" s="133" t="s">
        <v>3109</v>
      </c>
      <c r="G254" s="133" t="s">
        <v>3883</v>
      </c>
      <c r="H254" s="133">
        <f>VLOOKUP(G254,'packing mapping'!A:B,2,0)</f>
        <v>4</v>
      </c>
      <c r="I254" s="137">
        <v>1667520</v>
      </c>
      <c r="J254" s="132">
        <f t="shared" si="7"/>
        <v>416880</v>
      </c>
    </row>
    <row r="255" spans="1:10">
      <c r="A255" s="115" t="s">
        <v>960</v>
      </c>
      <c r="B255" s="115" t="s">
        <v>961</v>
      </c>
      <c r="C255" s="115" t="s">
        <v>1318</v>
      </c>
      <c r="D255" s="115" t="s">
        <v>1319</v>
      </c>
      <c r="E255" s="133" t="str">
        <f t="shared" si="6"/>
        <v>1200001011GZPU-21500 WHITE VN</v>
      </c>
      <c r="F255" s="133" t="s">
        <v>3110</v>
      </c>
      <c r="G255" s="133" t="s">
        <v>3883</v>
      </c>
      <c r="H255" s="133">
        <f>VLOOKUP(G255,'packing mapping'!A:B,2,0)</f>
        <v>4</v>
      </c>
      <c r="I255" s="137">
        <v>1076000</v>
      </c>
      <c r="J255" s="132">
        <f t="shared" si="7"/>
        <v>269000</v>
      </c>
    </row>
    <row r="256" spans="1:10">
      <c r="A256" s="115" t="s">
        <v>960</v>
      </c>
      <c r="B256" s="115" t="s">
        <v>961</v>
      </c>
      <c r="C256" s="115" t="s">
        <v>1494</v>
      </c>
      <c r="D256" s="115" t="s">
        <v>1495</v>
      </c>
      <c r="E256" s="133" t="str">
        <f t="shared" si="6"/>
        <v>1200001011NCL-11301 AC CLEAR 10 VN</v>
      </c>
      <c r="F256" s="133" t="s">
        <v>3188</v>
      </c>
      <c r="G256" s="133" t="s">
        <v>3879</v>
      </c>
      <c r="H256" s="133">
        <f>VLOOKUP(G256,'packing mapping'!A:B,2,0)</f>
        <v>20</v>
      </c>
      <c r="I256" s="137">
        <v>3660000</v>
      </c>
      <c r="J256" s="132">
        <f t="shared" si="7"/>
        <v>183000</v>
      </c>
    </row>
    <row r="257" spans="1:10">
      <c r="A257" s="115" t="s">
        <v>960</v>
      </c>
      <c r="B257" s="115" t="s">
        <v>961</v>
      </c>
      <c r="C257" s="115" t="s">
        <v>1496</v>
      </c>
      <c r="D257" s="115" t="s">
        <v>1497</v>
      </c>
      <c r="E257" s="133" t="str">
        <f t="shared" si="6"/>
        <v>1200001011PUH-56141 VN</v>
      </c>
      <c r="F257" s="133" t="s">
        <v>3189</v>
      </c>
      <c r="G257" s="133" t="s">
        <v>3881</v>
      </c>
      <c r="H257" s="133">
        <f>VLOOKUP(G257,'packing mapping'!A:B,2,0)</f>
        <v>20</v>
      </c>
      <c r="I257" s="137">
        <v>2653800</v>
      </c>
      <c r="J257" s="132">
        <f t="shared" si="7"/>
        <v>132690</v>
      </c>
    </row>
    <row r="258" spans="1:10">
      <c r="A258" s="115" t="s">
        <v>960</v>
      </c>
      <c r="B258" s="115" t="s">
        <v>961</v>
      </c>
      <c r="C258" s="115" t="s">
        <v>1498</v>
      </c>
      <c r="D258" s="115" t="s">
        <v>1499</v>
      </c>
      <c r="E258" s="133" t="str">
        <f t="shared" si="6"/>
        <v>1200001011GP-98000 GREENISH</v>
      </c>
      <c r="F258" s="133" t="s">
        <v>3190</v>
      </c>
      <c r="G258" s="133" t="s">
        <v>3894</v>
      </c>
      <c r="H258" s="133">
        <f>VLOOKUP(G258,'packing mapping'!A:B,2,0)</f>
        <v>1</v>
      </c>
      <c r="I258" s="137">
        <v>1514070</v>
      </c>
      <c r="J258" s="132">
        <f t="shared" si="7"/>
        <v>1514070</v>
      </c>
    </row>
    <row r="259" spans="1:10">
      <c r="A259" s="115" t="s">
        <v>960</v>
      </c>
      <c r="B259" s="115" t="s">
        <v>961</v>
      </c>
      <c r="C259" s="115" t="s">
        <v>1500</v>
      </c>
      <c r="D259" s="115" t="s">
        <v>1501</v>
      </c>
      <c r="E259" s="133" t="str">
        <f t="shared" ref="E259:E322" si="8">A259&amp;F259</f>
        <v>1200001011PP-98100 PEARL 13 VN</v>
      </c>
      <c r="F259" s="133" t="s">
        <v>3191</v>
      </c>
      <c r="G259" s="133" t="s">
        <v>3894</v>
      </c>
      <c r="H259" s="133">
        <f>VLOOKUP(G259,'packing mapping'!A:B,2,0)</f>
        <v>1</v>
      </c>
      <c r="I259" s="137">
        <v>533610</v>
      </c>
      <c r="J259" s="132">
        <f t="shared" ref="J259:J322" si="9">I259/H259</f>
        <v>533610</v>
      </c>
    </row>
    <row r="260" spans="1:10">
      <c r="A260" s="115" t="s">
        <v>960</v>
      </c>
      <c r="B260" s="115" t="s">
        <v>961</v>
      </c>
      <c r="C260" s="115" t="s">
        <v>1502</v>
      </c>
      <c r="D260" s="115" t="s">
        <v>1503</v>
      </c>
      <c r="E260" s="133" t="str">
        <f t="shared" si="8"/>
        <v>1200001011NCSS-11230 NG VN</v>
      </c>
      <c r="F260" s="133" t="s">
        <v>3192</v>
      </c>
      <c r="G260" s="133" t="s">
        <v>3882</v>
      </c>
      <c r="H260" s="133">
        <f>VLOOKUP(G260,'packing mapping'!A:B,2,0)</f>
        <v>18</v>
      </c>
      <c r="I260" s="137">
        <v>1575000</v>
      </c>
      <c r="J260" s="132">
        <f t="shared" si="9"/>
        <v>87500</v>
      </c>
    </row>
    <row r="261" spans="1:10">
      <c r="A261" s="115" t="s">
        <v>960</v>
      </c>
      <c r="B261" s="115" t="s">
        <v>961</v>
      </c>
      <c r="C261" s="115" t="s">
        <v>1504</v>
      </c>
      <c r="D261" s="115" t="s">
        <v>1505</v>
      </c>
      <c r="E261" s="133" t="str">
        <f t="shared" si="8"/>
        <v>1200001011AP-98200 PEARL 01 PHALE VN</v>
      </c>
      <c r="F261" s="133" t="s">
        <v>3193</v>
      </c>
      <c r="G261" s="133" t="s">
        <v>3894</v>
      </c>
      <c r="H261" s="133">
        <f>VLOOKUP(G261,'packing mapping'!A:B,2,0)</f>
        <v>1</v>
      </c>
      <c r="I261" s="137">
        <v>1647140</v>
      </c>
      <c r="J261" s="132">
        <f t="shared" si="9"/>
        <v>1647140</v>
      </c>
    </row>
    <row r="262" spans="1:10">
      <c r="A262" s="115" t="s">
        <v>960</v>
      </c>
      <c r="B262" s="115" t="s">
        <v>961</v>
      </c>
      <c r="C262" s="115" t="s">
        <v>1506</v>
      </c>
      <c r="D262" s="115" t="s">
        <v>1507</v>
      </c>
      <c r="E262" s="133" t="str">
        <f t="shared" si="8"/>
        <v>1200001011AP-98200 PEARL 01 PHALE VN</v>
      </c>
      <c r="F262" s="133" t="s">
        <v>3193</v>
      </c>
      <c r="G262" s="133" t="s">
        <v>3883</v>
      </c>
      <c r="H262" s="133">
        <f>VLOOKUP(G262,'packing mapping'!A:B,2,0)</f>
        <v>4</v>
      </c>
      <c r="I262" s="137">
        <v>6555920</v>
      </c>
      <c r="J262" s="132">
        <f t="shared" si="9"/>
        <v>1638980</v>
      </c>
    </row>
    <row r="263" spans="1:10">
      <c r="A263" s="115" t="s">
        <v>960</v>
      </c>
      <c r="B263" s="115" t="s">
        <v>961</v>
      </c>
      <c r="C263" s="115" t="s">
        <v>1508</v>
      </c>
      <c r="D263" s="115" t="s">
        <v>1509</v>
      </c>
      <c r="E263" s="133" t="str">
        <f t="shared" si="8"/>
        <v>1200001011PUL-53306 AC EX CLEAR 20 DN VN</v>
      </c>
      <c r="F263" s="133" t="s">
        <v>3194</v>
      </c>
      <c r="G263" s="133" t="s">
        <v>3879</v>
      </c>
      <c r="H263" s="133">
        <f>VLOOKUP(G263,'packing mapping'!A:B,2,0)</f>
        <v>20</v>
      </c>
      <c r="I263" s="137">
        <v>3248000</v>
      </c>
      <c r="J263" s="132">
        <f t="shared" si="9"/>
        <v>162400</v>
      </c>
    </row>
    <row r="264" spans="1:10">
      <c r="A264" s="115" t="s">
        <v>960</v>
      </c>
      <c r="B264" s="115" t="s">
        <v>961</v>
      </c>
      <c r="C264" s="115" t="s">
        <v>1510</v>
      </c>
      <c r="D264" s="115" t="s">
        <v>1511</v>
      </c>
      <c r="E264" s="133" t="str">
        <f t="shared" si="8"/>
        <v>1200001011DP-12130 WHITE VN</v>
      </c>
      <c r="F264" s="133" t="s">
        <v>3195</v>
      </c>
      <c r="G264" s="133" t="s">
        <v>3882</v>
      </c>
      <c r="H264" s="133">
        <f>VLOOKUP(G264,'packing mapping'!A:B,2,0)</f>
        <v>18</v>
      </c>
      <c r="I264" s="137">
        <v>2050560</v>
      </c>
      <c r="J264" s="132">
        <f t="shared" si="9"/>
        <v>113920</v>
      </c>
    </row>
    <row r="265" spans="1:10">
      <c r="A265" s="115" t="s">
        <v>960</v>
      </c>
      <c r="B265" s="115" t="s">
        <v>961</v>
      </c>
      <c r="C265" s="115" t="s">
        <v>1512</v>
      </c>
      <c r="D265" s="115" t="s">
        <v>1513</v>
      </c>
      <c r="E265" s="133" t="str">
        <f t="shared" si="8"/>
        <v>1200001011PCL-31300 VIOLET PASTE AF VN</v>
      </c>
      <c r="F265" s="133" t="s">
        <v>3196</v>
      </c>
      <c r="G265" s="133" t="s">
        <v>3883</v>
      </c>
      <c r="H265" s="133">
        <f>VLOOKUP(G265,'packing mapping'!A:B,2,0)</f>
        <v>4</v>
      </c>
      <c r="I265" s="137">
        <v>2459880</v>
      </c>
      <c r="J265" s="132">
        <f t="shared" si="9"/>
        <v>614970</v>
      </c>
    </row>
    <row r="266" spans="1:10">
      <c r="A266" s="115" t="s">
        <v>960</v>
      </c>
      <c r="B266" s="115" t="s">
        <v>961</v>
      </c>
      <c r="C266" s="115" t="s">
        <v>1514</v>
      </c>
      <c r="D266" s="115" t="s">
        <v>1515</v>
      </c>
      <c r="E266" s="133" t="str">
        <f t="shared" si="8"/>
        <v>1200001011PUP-52141 WHITE BL VN</v>
      </c>
      <c r="F266" s="133" t="s">
        <v>3197</v>
      </c>
      <c r="G266" s="133" t="s">
        <v>3881</v>
      </c>
      <c r="H266" s="133">
        <f>VLOOKUP(G266,'packing mapping'!A:B,2,0)</f>
        <v>20</v>
      </c>
      <c r="I266" s="137">
        <v>2445400</v>
      </c>
      <c r="J266" s="132">
        <f t="shared" si="9"/>
        <v>122270</v>
      </c>
    </row>
    <row r="267" spans="1:10">
      <c r="A267" s="115" t="s">
        <v>960</v>
      </c>
      <c r="B267" s="115" t="s">
        <v>961</v>
      </c>
      <c r="C267" s="115" t="s">
        <v>1516</v>
      </c>
      <c r="D267" s="115" t="s">
        <v>1517</v>
      </c>
      <c r="E267" s="133" t="str">
        <f t="shared" si="8"/>
        <v>1200001011PUL-53306 AC EX SUPER MATT VN</v>
      </c>
      <c r="F267" s="133" t="s">
        <v>3198</v>
      </c>
      <c r="G267" s="133" t="s">
        <v>3882</v>
      </c>
      <c r="H267" s="133">
        <f>VLOOKUP(G267,'packing mapping'!A:B,2,0)</f>
        <v>18</v>
      </c>
      <c r="I267" s="137">
        <v>4524660</v>
      </c>
      <c r="J267" s="132">
        <f t="shared" si="9"/>
        <v>251370</v>
      </c>
    </row>
    <row r="268" spans="1:10">
      <c r="A268" s="115" t="s">
        <v>960</v>
      </c>
      <c r="B268" s="115" t="s">
        <v>961</v>
      </c>
      <c r="C268" s="115" t="s">
        <v>1450</v>
      </c>
      <c r="D268" s="115" t="s">
        <v>1451</v>
      </c>
      <c r="E268" s="133" t="str">
        <f t="shared" si="8"/>
        <v>1200001011PCL-31300 BLUE OR 50 PASTE VN</v>
      </c>
      <c r="F268" s="133" t="s">
        <v>3173</v>
      </c>
      <c r="G268" s="133" t="s">
        <v>3883</v>
      </c>
      <c r="H268" s="133">
        <f>VLOOKUP(G268,'packing mapping'!A:B,2,0)</f>
        <v>4</v>
      </c>
      <c r="I268" s="137">
        <v>1697440</v>
      </c>
      <c r="J268" s="132">
        <f t="shared" si="9"/>
        <v>424360</v>
      </c>
    </row>
    <row r="269" spans="1:10">
      <c r="A269" s="115" t="s">
        <v>223</v>
      </c>
      <c r="B269" s="115" t="s">
        <v>224</v>
      </c>
      <c r="C269" s="115" t="s">
        <v>1460</v>
      </c>
      <c r="D269" s="115" t="s">
        <v>1461</v>
      </c>
      <c r="E269" s="133" t="str">
        <f t="shared" si="8"/>
        <v>120000006711-26 WIPPING THINNER LC VN</v>
      </c>
      <c r="F269" s="133" t="s">
        <v>3177</v>
      </c>
      <c r="G269" s="133" t="s">
        <v>3880</v>
      </c>
      <c r="H269" s="133">
        <f>VLOOKUP(G269,'packing mapping'!A:B,2,0)</f>
        <v>20</v>
      </c>
      <c r="I269" s="137">
        <v>1122220</v>
      </c>
      <c r="J269" s="132">
        <f t="shared" si="9"/>
        <v>56111</v>
      </c>
    </row>
    <row r="270" spans="1:10">
      <c r="A270" s="115" t="s">
        <v>223</v>
      </c>
      <c r="B270" s="115" t="s">
        <v>224</v>
      </c>
      <c r="C270" s="115" t="s">
        <v>1518</v>
      </c>
      <c r="D270" s="115" t="s">
        <v>1519</v>
      </c>
      <c r="E270" s="133" t="str">
        <f t="shared" si="8"/>
        <v>120000006764-56 MICRO FILLER 28 F1 VN</v>
      </c>
      <c r="F270" s="133" t="s">
        <v>3199</v>
      </c>
      <c r="G270" s="133" t="s">
        <v>3881</v>
      </c>
      <c r="H270" s="133">
        <f>VLOOKUP(G270,'packing mapping'!A:B,2,0)</f>
        <v>20</v>
      </c>
      <c r="I270" s="137">
        <v>1538640</v>
      </c>
      <c r="J270" s="132">
        <f t="shared" si="9"/>
        <v>76932</v>
      </c>
    </row>
    <row r="271" spans="1:10">
      <c r="A271" s="115" t="s">
        <v>223</v>
      </c>
      <c r="B271" s="115" t="s">
        <v>224</v>
      </c>
      <c r="C271" s="115" t="s">
        <v>1188</v>
      </c>
      <c r="D271" s="115" t="s">
        <v>1189</v>
      </c>
      <c r="E271" s="133" t="str">
        <f t="shared" si="8"/>
        <v>1200000067PCA-31100 BLACK PASTE VN</v>
      </c>
      <c r="F271" s="133" t="s">
        <v>3048</v>
      </c>
      <c r="G271" s="133" t="s">
        <v>3883</v>
      </c>
      <c r="H271" s="133">
        <f>VLOOKUP(G271,'packing mapping'!A:B,2,0)</f>
        <v>4</v>
      </c>
      <c r="I271" s="137">
        <v>1339760</v>
      </c>
      <c r="J271" s="132">
        <f t="shared" si="9"/>
        <v>334940</v>
      </c>
    </row>
    <row r="272" spans="1:10">
      <c r="A272" s="115" t="s">
        <v>223</v>
      </c>
      <c r="B272" s="115" t="s">
        <v>224</v>
      </c>
      <c r="C272" s="115" t="s">
        <v>1520</v>
      </c>
      <c r="D272" s="115" t="s">
        <v>1521</v>
      </c>
      <c r="E272" s="133" t="str">
        <f t="shared" si="8"/>
        <v>1200000067PCA-31100 GREEN OB PASTE VN</v>
      </c>
      <c r="F272" s="133" t="s">
        <v>3200</v>
      </c>
      <c r="G272" s="133" t="s">
        <v>3883</v>
      </c>
      <c r="H272" s="133">
        <f>VLOOKUP(G272,'packing mapping'!A:B,2,0)</f>
        <v>4</v>
      </c>
      <c r="I272" s="137">
        <v>1243620</v>
      </c>
      <c r="J272" s="132">
        <f t="shared" si="9"/>
        <v>310905</v>
      </c>
    </row>
    <row r="273" spans="1:10">
      <c r="A273" s="115" t="s">
        <v>223</v>
      </c>
      <c r="B273" s="115" t="s">
        <v>224</v>
      </c>
      <c r="C273" s="115" t="s">
        <v>1372</v>
      </c>
      <c r="D273" s="115" t="s">
        <v>1373</v>
      </c>
      <c r="E273" s="133" t="str">
        <f t="shared" si="8"/>
        <v>1200000067PCA-31100 OXIDE RED PASTE VN</v>
      </c>
      <c r="F273" s="133" t="s">
        <v>3136</v>
      </c>
      <c r="G273" s="133" t="s">
        <v>3883</v>
      </c>
      <c r="H273" s="133">
        <f>VLOOKUP(G273,'packing mapping'!A:B,2,0)</f>
        <v>4</v>
      </c>
      <c r="I273" s="137">
        <v>848484</v>
      </c>
      <c r="J273" s="132">
        <f t="shared" si="9"/>
        <v>212121</v>
      </c>
    </row>
    <row r="274" spans="1:10">
      <c r="A274" s="115" t="s">
        <v>223</v>
      </c>
      <c r="B274" s="115" t="s">
        <v>224</v>
      </c>
      <c r="C274" s="115" t="s">
        <v>1374</v>
      </c>
      <c r="D274" s="115" t="s">
        <v>1375</v>
      </c>
      <c r="E274" s="133" t="str">
        <f t="shared" si="8"/>
        <v>1200000067PCA-31100 RED OB 35 PASTE VN</v>
      </c>
      <c r="F274" s="133" t="s">
        <v>3137</v>
      </c>
      <c r="G274" s="133" t="s">
        <v>3883</v>
      </c>
      <c r="H274" s="133">
        <f>VLOOKUP(G274,'packing mapping'!A:B,2,0)</f>
        <v>4</v>
      </c>
      <c r="I274" s="137">
        <v>1836324</v>
      </c>
      <c r="J274" s="132">
        <f t="shared" si="9"/>
        <v>459081</v>
      </c>
    </row>
    <row r="275" spans="1:10">
      <c r="A275" s="115" t="s">
        <v>223</v>
      </c>
      <c r="B275" s="115" t="s">
        <v>224</v>
      </c>
      <c r="C275" s="115" t="s">
        <v>1190</v>
      </c>
      <c r="D275" s="115" t="s">
        <v>1191</v>
      </c>
      <c r="E275" s="133" t="str">
        <f t="shared" si="8"/>
        <v>1200000067PCA-31100 WHITE PASTE VN</v>
      </c>
      <c r="F275" s="133" t="s">
        <v>3049</v>
      </c>
      <c r="G275" s="133" t="s">
        <v>3883</v>
      </c>
      <c r="H275" s="133">
        <f>VLOOKUP(G275,'packing mapping'!A:B,2,0)</f>
        <v>4</v>
      </c>
      <c r="I275" s="137">
        <v>799404</v>
      </c>
      <c r="J275" s="132">
        <f t="shared" si="9"/>
        <v>199851</v>
      </c>
    </row>
    <row r="276" spans="1:10">
      <c r="A276" s="115" t="s">
        <v>223</v>
      </c>
      <c r="B276" s="115" t="s">
        <v>224</v>
      </c>
      <c r="C276" s="115" t="s">
        <v>1376</v>
      </c>
      <c r="D276" s="115" t="s">
        <v>1377</v>
      </c>
      <c r="E276" s="133" t="str">
        <f t="shared" si="8"/>
        <v>1200000067PCA-31100 YELLOW HR PASTE VN</v>
      </c>
      <c r="F276" s="133" t="s">
        <v>3138</v>
      </c>
      <c r="G276" s="133" t="s">
        <v>3883</v>
      </c>
      <c r="H276" s="133">
        <f>VLOOKUP(G276,'packing mapping'!A:B,2,0)</f>
        <v>4</v>
      </c>
      <c r="I276" s="137">
        <v>1323000</v>
      </c>
      <c r="J276" s="132">
        <f t="shared" si="9"/>
        <v>330750</v>
      </c>
    </row>
    <row r="277" spans="1:10">
      <c r="A277" s="115" t="s">
        <v>223</v>
      </c>
      <c r="B277" s="115" t="s">
        <v>224</v>
      </c>
      <c r="C277" s="115" t="s">
        <v>1468</v>
      </c>
      <c r="D277" s="115" t="s">
        <v>1469</v>
      </c>
      <c r="E277" s="133" t="str">
        <f t="shared" si="8"/>
        <v>1200000067PCA-31100 YELLOW OG 16 PASTE VN</v>
      </c>
      <c r="F277" s="133" t="s">
        <v>3180</v>
      </c>
      <c r="G277" s="133" t="s">
        <v>3883</v>
      </c>
      <c r="H277" s="133">
        <f>VLOOKUP(G277,'packing mapping'!A:B,2,0)</f>
        <v>4</v>
      </c>
      <c r="I277" s="137">
        <v>2363848</v>
      </c>
      <c r="J277" s="132">
        <f t="shared" si="9"/>
        <v>590962</v>
      </c>
    </row>
    <row r="278" spans="1:10">
      <c r="A278" s="115" t="s">
        <v>223</v>
      </c>
      <c r="B278" s="115" t="s">
        <v>224</v>
      </c>
      <c r="C278" s="115" t="s">
        <v>1378</v>
      </c>
      <c r="D278" s="115" t="s">
        <v>1379</v>
      </c>
      <c r="E278" s="133" t="str">
        <f t="shared" si="8"/>
        <v>1200000067PCA-31100 YELLOW OKER PASTE VN</v>
      </c>
      <c r="F278" s="133" t="s">
        <v>3139</v>
      </c>
      <c r="G278" s="133" t="s">
        <v>3883</v>
      </c>
      <c r="H278" s="133">
        <f>VLOOKUP(G278,'packing mapping'!A:B,2,0)</f>
        <v>4</v>
      </c>
      <c r="I278" s="137">
        <v>771752</v>
      </c>
      <c r="J278" s="132">
        <f t="shared" si="9"/>
        <v>192938</v>
      </c>
    </row>
    <row r="279" spans="1:10">
      <c r="A279" s="115" t="s">
        <v>223</v>
      </c>
      <c r="B279" s="115" t="s">
        <v>224</v>
      </c>
      <c r="C279" s="115" t="s">
        <v>1522</v>
      </c>
      <c r="D279" s="115" t="s">
        <v>1523</v>
      </c>
      <c r="E279" s="133" t="str">
        <f t="shared" si="8"/>
        <v>1200000067PCA-31102 BLACK OB PASTE</v>
      </c>
      <c r="F279" s="133" t="s">
        <v>3201</v>
      </c>
      <c r="G279" s="133" t="s">
        <v>3883</v>
      </c>
      <c r="H279" s="133">
        <f>VLOOKUP(G279,'packing mapping'!A:B,2,0)</f>
        <v>4</v>
      </c>
      <c r="I279" s="137">
        <v>742556</v>
      </c>
      <c r="J279" s="132">
        <f t="shared" si="9"/>
        <v>185639</v>
      </c>
    </row>
    <row r="280" spans="1:10">
      <c r="A280" s="115" t="s">
        <v>223</v>
      </c>
      <c r="B280" s="115" t="s">
        <v>224</v>
      </c>
      <c r="C280" s="115" t="s">
        <v>1524</v>
      </c>
      <c r="D280" s="115" t="s">
        <v>1525</v>
      </c>
      <c r="E280" s="133" t="str">
        <f t="shared" si="8"/>
        <v>1200000067PCA-31102 OXIDE RED 45 PASTE</v>
      </c>
      <c r="F280" s="133" t="s">
        <v>3202</v>
      </c>
      <c r="G280" s="133" t="s">
        <v>3883</v>
      </c>
      <c r="H280" s="133">
        <f>VLOOKUP(G280,'packing mapping'!A:B,2,0)</f>
        <v>4</v>
      </c>
      <c r="I280" s="137">
        <v>696208</v>
      </c>
      <c r="J280" s="132">
        <f t="shared" si="9"/>
        <v>174052</v>
      </c>
    </row>
    <row r="281" spans="1:10">
      <c r="A281" s="115" t="s">
        <v>223</v>
      </c>
      <c r="B281" s="115" t="s">
        <v>224</v>
      </c>
      <c r="C281" s="115" t="s">
        <v>1526</v>
      </c>
      <c r="D281" s="115" t="s">
        <v>1527</v>
      </c>
      <c r="E281" s="133" t="str">
        <f t="shared" si="8"/>
        <v>1200000067PCA-31102 YELLOW OKER 13 PASTE</v>
      </c>
      <c r="F281" s="133" t="s">
        <v>3203</v>
      </c>
      <c r="G281" s="133" t="s">
        <v>3883</v>
      </c>
      <c r="H281" s="133">
        <f>VLOOKUP(G281,'packing mapping'!A:B,2,0)</f>
        <v>4</v>
      </c>
      <c r="I281" s="137">
        <v>598524</v>
      </c>
      <c r="J281" s="132">
        <f t="shared" si="9"/>
        <v>149631</v>
      </c>
    </row>
    <row r="282" spans="1:10">
      <c r="A282" s="115" t="s">
        <v>223</v>
      </c>
      <c r="B282" s="115" t="s">
        <v>224</v>
      </c>
      <c r="C282" s="115" t="s">
        <v>1528</v>
      </c>
      <c r="D282" s="115" t="s">
        <v>1529</v>
      </c>
      <c r="E282" s="133" t="str">
        <f t="shared" si="8"/>
        <v>1200000067PCA-31102 YELLOW OR 10 PASTE</v>
      </c>
      <c r="F282" s="133" t="s">
        <v>3204</v>
      </c>
      <c r="G282" s="133" t="s">
        <v>3883</v>
      </c>
      <c r="H282" s="133">
        <f>VLOOKUP(G282,'packing mapping'!A:B,2,0)</f>
        <v>4</v>
      </c>
      <c r="I282" s="137">
        <v>1172268</v>
      </c>
      <c r="J282" s="132">
        <f t="shared" si="9"/>
        <v>293067</v>
      </c>
    </row>
    <row r="283" spans="1:10">
      <c r="A283" s="115" t="s">
        <v>223</v>
      </c>
      <c r="B283" s="115" t="s">
        <v>224</v>
      </c>
      <c r="C283" s="115" t="s">
        <v>1192</v>
      </c>
      <c r="D283" s="115" t="s">
        <v>1193</v>
      </c>
      <c r="E283" s="133" t="str">
        <f t="shared" si="8"/>
        <v>1200000067PCL-31300 BLACK PASTE</v>
      </c>
      <c r="F283" s="133" t="s">
        <v>3050</v>
      </c>
      <c r="G283" s="133" t="s">
        <v>3883</v>
      </c>
      <c r="H283" s="133">
        <f>VLOOKUP(G283,'packing mapping'!A:B,2,0)</f>
        <v>4</v>
      </c>
      <c r="I283" s="137">
        <v>2532664</v>
      </c>
      <c r="J283" s="132">
        <f t="shared" si="9"/>
        <v>633166</v>
      </c>
    </row>
    <row r="284" spans="1:10">
      <c r="A284" s="115" t="s">
        <v>223</v>
      </c>
      <c r="B284" s="115" t="s">
        <v>224</v>
      </c>
      <c r="C284" s="115" t="s">
        <v>1200</v>
      </c>
      <c r="D284" s="115" t="s">
        <v>1201</v>
      </c>
      <c r="E284" s="133" t="str">
        <f t="shared" si="8"/>
        <v>1200000067PCL-31300 RED OB 35 PASTE</v>
      </c>
      <c r="F284" s="133" t="s">
        <v>3054</v>
      </c>
      <c r="G284" s="133" t="s">
        <v>3883</v>
      </c>
      <c r="H284" s="133">
        <f>VLOOKUP(G284,'packing mapping'!A:B,2,0)</f>
        <v>4</v>
      </c>
      <c r="I284" s="137">
        <v>1406792</v>
      </c>
      <c r="J284" s="132">
        <f t="shared" si="9"/>
        <v>351698</v>
      </c>
    </row>
    <row r="285" spans="1:10">
      <c r="A285" s="115" t="s">
        <v>223</v>
      </c>
      <c r="B285" s="115" t="s">
        <v>224</v>
      </c>
      <c r="C285" s="115" t="s">
        <v>1202</v>
      </c>
      <c r="D285" s="115" t="s">
        <v>1203</v>
      </c>
      <c r="E285" s="133" t="str">
        <f t="shared" si="8"/>
        <v>1200000067PCL-31300 WHITE PASTE</v>
      </c>
      <c r="F285" s="133" t="s">
        <v>3055</v>
      </c>
      <c r="G285" s="133" t="s">
        <v>3883</v>
      </c>
      <c r="H285" s="133">
        <f>VLOOKUP(G285,'packing mapping'!A:B,2,0)</f>
        <v>4</v>
      </c>
      <c r="I285" s="137">
        <v>987840</v>
      </c>
      <c r="J285" s="132">
        <f t="shared" si="9"/>
        <v>246960</v>
      </c>
    </row>
    <row r="286" spans="1:10">
      <c r="A286" s="115" t="s">
        <v>223</v>
      </c>
      <c r="B286" s="115" t="s">
        <v>224</v>
      </c>
      <c r="C286" s="115" t="s">
        <v>1204</v>
      </c>
      <c r="D286" s="115" t="s">
        <v>1205</v>
      </c>
      <c r="E286" s="133" t="str">
        <f t="shared" si="8"/>
        <v>1200000067PCL-31300 YELLOW OG 16 PASTE</v>
      </c>
      <c r="F286" s="133" t="s">
        <v>3056</v>
      </c>
      <c r="G286" s="133" t="s">
        <v>3883</v>
      </c>
      <c r="H286" s="133">
        <f>VLOOKUP(G286,'packing mapping'!A:B,2,0)</f>
        <v>4</v>
      </c>
      <c r="I286" s="137">
        <v>3107288</v>
      </c>
      <c r="J286" s="132">
        <f t="shared" si="9"/>
        <v>776822</v>
      </c>
    </row>
    <row r="287" spans="1:10">
      <c r="A287" s="115" t="s">
        <v>223</v>
      </c>
      <c r="B287" s="115" t="s">
        <v>224</v>
      </c>
      <c r="C287" s="115" t="s">
        <v>1206</v>
      </c>
      <c r="D287" s="115" t="s">
        <v>1207</v>
      </c>
      <c r="E287" s="133" t="str">
        <f t="shared" si="8"/>
        <v>1200000067PCL-31300 YELLOW OKER PASTE</v>
      </c>
      <c r="F287" s="133" t="s">
        <v>3057</v>
      </c>
      <c r="G287" s="133" t="s">
        <v>3883</v>
      </c>
      <c r="H287" s="133">
        <f>VLOOKUP(G287,'packing mapping'!A:B,2,0)</f>
        <v>4</v>
      </c>
      <c r="I287" s="137">
        <v>1404584</v>
      </c>
      <c r="J287" s="132">
        <f t="shared" si="9"/>
        <v>351146</v>
      </c>
    </row>
    <row r="288" spans="1:10">
      <c r="A288" s="115" t="s">
        <v>223</v>
      </c>
      <c r="B288" s="115" t="s">
        <v>224</v>
      </c>
      <c r="C288" s="115" t="s">
        <v>1530</v>
      </c>
      <c r="D288" s="115" t="s">
        <v>1531</v>
      </c>
      <c r="E288" s="133" t="str">
        <f t="shared" si="8"/>
        <v>1200000067PCU-31400 WHITE PASTE</v>
      </c>
      <c r="F288" s="133" t="s">
        <v>3205</v>
      </c>
      <c r="G288" s="133" t="s">
        <v>3883</v>
      </c>
      <c r="H288" s="133">
        <f>VLOOKUP(G288,'packing mapping'!A:B,2,0)</f>
        <v>4</v>
      </c>
      <c r="I288" s="137">
        <v>833800</v>
      </c>
      <c r="J288" s="132">
        <f t="shared" si="9"/>
        <v>208450</v>
      </c>
    </row>
    <row r="289" spans="1:10">
      <c r="A289" s="115" t="s">
        <v>223</v>
      </c>
      <c r="B289" s="115" t="s">
        <v>224</v>
      </c>
      <c r="C289" s="115" t="s">
        <v>1208</v>
      </c>
      <c r="D289" s="115" t="s">
        <v>1209</v>
      </c>
      <c r="E289" s="133" t="str">
        <f t="shared" si="8"/>
        <v>1200000067PG-13900 WHITE 01 VN</v>
      </c>
      <c r="F289" s="133" t="s">
        <v>3058</v>
      </c>
      <c r="G289" s="133" t="s">
        <v>3881</v>
      </c>
      <c r="H289" s="133">
        <f>VLOOKUP(G289,'packing mapping'!A:B,2,0)</f>
        <v>20</v>
      </c>
      <c r="I289" s="137">
        <v>1254440</v>
      </c>
      <c r="J289" s="132">
        <f t="shared" si="9"/>
        <v>62722</v>
      </c>
    </row>
    <row r="290" spans="1:10">
      <c r="A290" s="115" t="s">
        <v>223</v>
      </c>
      <c r="B290" s="115" t="s">
        <v>224</v>
      </c>
      <c r="C290" s="115" t="s">
        <v>1532</v>
      </c>
      <c r="D290" s="115" t="s">
        <v>1533</v>
      </c>
      <c r="E290" s="133" t="str">
        <f t="shared" si="8"/>
        <v>1200000067PST-12100 C10 RED</v>
      </c>
      <c r="F290" s="133" t="s">
        <v>3206</v>
      </c>
      <c r="G290" s="133" t="s">
        <v>3883</v>
      </c>
      <c r="H290" s="133">
        <f>VLOOKUP(G290,'packing mapping'!A:B,2,0)</f>
        <v>4</v>
      </c>
      <c r="I290" s="137">
        <v>1424440</v>
      </c>
      <c r="J290" s="132">
        <f t="shared" si="9"/>
        <v>356110</v>
      </c>
    </row>
    <row r="291" spans="1:10">
      <c r="A291" s="115" t="s">
        <v>223</v>
      </c>
      <c r="B291" s="115" t="s">
        <v>224</v>
      </c>
      <c r="C291" s="115" t="s">
        <v>1534</v>
      </c>
      <c r="D291" s="115" t="s">
        <v>1535</v>
      </c>
      <c r="E291" s="133" t="str">
        <f t="shared" si="8"/>
        <v>1200000067PST-12100 C10 YELLOW</v>
      </c>
      <c r="F291" s="133" t="s">
        <v>3207</v>
      </c>
      <c r="G291" s="133" t="s">
        <v>3883</v>
      </c>
      <c r="H291" s="133">
        <f>VLOOKUP(G291,'packing mapping'!A:B,2,0)</f>
        <v>4</v>
      </c>
      <c r="I291" s="137">
        <v>1494108</v>
      </c>
      <c r="J291" s="132">
        <f t="shared" si="9"/>
        <v>373527</v>
      </c>
    </row>
    <row r="292" spans="1:10">
      <c r="A292" s="115" t="s">
        <v>223</v>
      </c>
      <c r="B292" s="115" t="s">
        <v>224</v>
      </c>
      <c r="C292" s="115" t="s">
        <v>1536</v>
      </c>
      <c r="D292" s="115" t="s">
        <v>1537</v>
      </c>
      <c r="E292" s="133" t="str">
        <f t="shared" si="8"/>
        <v>1200000067PST-12100 C15 BLACK</v>
      </c>
      <c r="F292" s="133" t="s">
        <v>3208</v>
      </c>
      <c r="G292" s="133" t="s">
        <v>3883</v>
      </c>
      <c r="H292" s="133">
        <f>VLOOKUP(G292,'packing mapping'!A:B,2,0)</f>
        <v>4</v>
      </c>
      <c r="I292" s="137">
        <v>1493668</v>
      </c>
      <c r="J292" s="132">
        <f t="shared" si="9"/>
        <v>373417</v>
      </c>
    </row>
    <row r="293" spans="1:10">
      <c r="A293" s="115" t="s">
        <v>223</v>
      </c>
      <c r="B293" s="115" t="s">
        <v>224</v>
      </c>
      <c r="C293" s="115" t="s">
        <v>1538</v>
      </c>
      <c r="D293" s="115" t="s">
        <v>1539</v>
      </c>
      <c r="E293" s="133" t="str">
        <f t="shared" si="8"/>
        <v>1200000067PST-12100 C20 WHITE</v>
      </c>
      <c r="F293" s="133" t="s">
        <v>3209</v>
      </c>
      <c r="G293" s="133" t="s">
        <v>3883</v>
      </c>
      <c r="H293" s="133">
        <f>VLOOKUP(G293,'packing mapping'!A:B,2,0)</f>
        <v>4</v>
      </c>
      <c r="I293" s="137">
        <v>518616</v>
      </c>
      <c r="J293" s="132">
        <f t="shared" si="9"/>
        <v>129654</v>
      </c>
    </row>
    <row r="294" spans="1:10">
      <c r="A294" s="115" t="s">
        <v>223</v>
      </c>
      <c r="B294" s="115" t="s">
        <v>224</v>
      </c>
      <c r="C294" s="115" t="s">
        <v>1540</v>
      </c>
      <c r="D294" s="115" t="s">
        <v>1541</v>
      </c>
      <c r="E294" s="133" t="str">
        <f t="shared" si="8"/>
        <v>1200000067PUC-54205 AC WHITE 15 VN</v>
      </c>
      <c r="F294" s="133" t="s">
        <v>3210</v>
      </c>
      <c r="G294" s="133" t="s">
        <v>3881</v>
      </c>
      <c r="H294" s="133">
        <f>VLOOKUP(G294,'packing mapping'!A:B,2,0)</f>
        <v>20</v>
      </c>
      <c r="I294" s="137">
        <v>2707740</v>
      </c>
      <c r="J294" s="132">
        <f t="shared" si="9"/>
        <v>135387</v>
      </c>
    </row>
    <row r="295" spans="1:10">
      <c r="A295" s="115" t="s">
        <v>223</v>
      </c>
      <c r="B295" s="115" t="s">
        <v>224</v>
      </c>
      <c r="C295" s="115" t="s">
        <v>1210</v>
      </c>
      <c r="D295" s="115" t="s">
        <v>1211</v>
      </c>
      <c r="E295" s="133" t="str">
        <f t="shared" si="8"/>
        <v>1200000067PUH-56306 LY VN</v>
      </c>
      <c r="F295" s="133" t="s">
        <v>3059</v>
      </c>
      <c r="G295" s="133" t="s">
        <v>3879</v>
      </c>
      <c r="H295" s="133">
        <f>VLOOKUP(G295,'packing mapping'!A:B,2,0)</f>
        <v>20</v>
      </c>
      <c r="I295" s="137">
        <v>2906640</v>
      </c>
      <c r="J295" s="132">
        <f t="shared" si="9"/>
        <v>145332</v>
      </c>
    </row>
    <row r="296" spans="1:10">
      <c r="A296" s="115" t="s">
        <v>223</v>
      </c>
      <c r="B296" s="115" t="s">
        <v>224</v>
      </c>
      <c r="C296" s="115" t="s">
        <v>1542</v>
      </c>
      <c r="D296" s="115" t="s">
        <v>1543</v>
      </c>
      <c r="E296" s="133" t="str">
        <f t="shared" si="8"/>
        <v>1200000067PUL-53306 AC EX CLEAR 05 VN</v>
      </c>
      <c r="F296" s="133" t="s">
        <v>3211</v>
      </c>
      <c r="G296" s="133" t="s">
        <v>3879</v>
      </c>
      <c r="H296" s="133">
        <f>VLOOKUP(G296,'packing mapping'!A:B,2,0)</f>
        <v>20</v>
      </c>
      <c r="I296" s="137">
        <v>2740380</v>
      </c>
      <c r="J296" s="132">
        <f t="shared" si="9"/>
        <v>137019</v>
      </c>
    </row>
    <row r="297" spans="1:10">
      <c r="A297" s="115" t="s">
        <v>223</v>
      </c>
      <c r="B297" s="115" t="s">
        <v>224</v>
      </c>
      <c r="C297" s="115" t="s">
        <v>1396</v>
      </c>
      <c r="D297" s="115" t="s">
        <v>1397</v>
      </c>
      <c r="E297" s="133" t="str">
        <f t="shared" si="8"/>
        <v>1200000067PUL-53306 AC EX CLEAR 10 VN</v>
      </c>
      <c r="F297" s="133" t="s">
        <v>3148</v>
      </c>
      <c r="G297" s="133" t="s">
        <v>3879</v>
      </c>
      <c r="H297" s="133">
        <f>VLOOKUP(G297,'packing mapping'!A:B,2,0)</f>
        <v>20</v>
      </c>
      <c r="I297" s="137">
        <v>2612040</v>
      </c>
      <c r="J297" s="132">
        <f t="shared" si="9"/>
        <v>130602</v>
      </c>
    </row>
    <row r="298" spans="1:10">
      <c r="A298" s="115" t="s">
        <v>223</v>
      </c>
      <c r="B298" s="115" t="s">
        <v>224</v>
      </c>
      <c r="C298" s="115" t="s">
        <v>1478</v>
      </c>
      <c r="D298" s="115" t="s">
        <v>1479</v>
      </c>
      <c r="E298" s="133" t="str">
        <f t="shared" si="8"/>
        <v>1200000067PUSS-51241 VN</v>
      </c>
      <c r="F298" s="133" t="s">
        <v>3185</v>
      </c>
      <c r="G298" s="133" t="s">
        <v>3881</v>
      </c>
      <c r="H298" s="133">
        <f>VLOOKUP(G298,'packing mapping'!A:B,2,0)</f>
        <v>20</v>
      </c>
      <c r="I298" s="137">
        <v>1291040</v>
      </c>
      <c r="J298" s="132">
        <f t="shared" si="9"/>
        <v>64552</v>
      </c>
    </row>
    <row r="299" spans="1:10">
      <c r="A299" s="115" t="s">
        <v>223</v>
      </c>
      <c r="B299" s="115" t="s">
        <v>224</v>
      </c>
      <c r="C299" s="115" t="s">
        <v>1218</v>
      </c>
      <c r="D299" s="115" t="s">
        <v>1219</v>
      </c>
      <c r="E299" s="133" t="str">
        <f t="shared" si="8"/>
        <v>1200000067PUSS-53206 AC EX VN</v>
      </c>
      <c r="F299" s="133" t="s">
        <v>3063</v>
      </c>
      <c r="G299" s="133" t="s">
        <v>3881</v>
      </c>
      <c r="H299" s="133">
        <f>VLOOKUP(G299,'packing mapping'!A:B,2,0)</f>
        <v>20</v>
      </c>
      <c r="I299" s="137">
        <v>2075340</v>
      </c>
      <c r="J299" s="132">
        <f t="shared" si="9"/>
        <v>103767</v>
      </c>
    </row>
    <row r="300" spans="1:10">
      <c r="A300" s="115" t="s">
        <v>223</v>
      </c>
      <c r="B300" s="115" t="s">
        <v>224</v>
      </c>
      <c r="C300" s="115" t="s">
        <v>1480</v>
      </c>
      <c r="D300" s="115" t="s">
        <v>1481</v>
      </c>
      <c r="E300" s="133" t="str">
        <f t="shared" si="8"/>
        <v>1200000067PUSS-53206 AC EX VN</v>
      </c>
      <c r="F300" s="133" t="s">
        <v>3063</v>
      </c>
      <c r="G300" s="133" t="s">
        <v>3889</v>
      </c>
      <c r="H300" s="133">
        <f>VLOOKUP(G300,'packing mapping'!A:B,2,0)</f>
        <v>200</v>
      </c>
      <c r="I300" s="137">
        <v>20316800</v>
      </c>
      <c r="J300" s="132">
        <f t="shared" si="9"/>
        <v>101584</v>
      </c>
    </row>
    <row r="301" spans="1:10">
      <c r="A301" s="115" t="s">
        <v>223</v>
      </c>
      <c r="B301" s="115" t="s">
        <v>224</v>
      </c>
      <c r="C301" s="115" t="s">
        <v>1544</v>
      </c>
      <c r="D301" s="115" t="s">
        <v>1545</v>
      </c>
      <c r="E301" s="133" t="str">
        <f t="shared" si="8"/>
        <v>1200000067SST-11100 28 F1 VN</v>
      </c>
      <c r="F301" s="133" t="s">
        <v>3212</v>
      </c>
      <c r="G301" s="133" t="s">
        <v>3880</v>
      </c>
      <c r="H301" s="133">
        <f>VLOOKUP(G301,'packing mapping'!A:B,2,0)</f>
        <v>20</v>
      </c>
      <c r="I301" s="137">
        <v>1145200</v>
      </c>
      <c r="J301" s="132">
        <f t="shared" si="9"/>
        <v>57260</v>
      </c>
    </row>
    <row r="302" spans="1:10">
      <c r="A302" s="115" t="s">
        <v>223</v>
      </c>
      <c r="B302" s="115" t="s">
        <v>224</v>
      </c>
      <c r="C302" s="115" t="s">
        <v>1220</v>
      </c>
      <c r="D302" s="115" t="s">
        <v>1221</v>
      </c>
      <c r="E302" s="133" t="str">
        <f t="shared" si="8"/>
        <v>1200000067SST-11100 C10 BLACK</v>
      </c>
      <c r="F302" s="133" t="s">
        <v>3064</v>
      </c>
      <c r="G302" s="133" t="s">
        <v>3883</v>
      </c>
      <c r="H302" s="133">
        <f>VLOOKUP(G302,'packing mapping'!A:B,2,0)</f>
        <v>4</v>
      </c>
      <c r="I302" s="137">
        <v>999748</v>
      </c>
      <c r="J302" s="132">
        <f t="shared" si="9"/>
        <v>249937</v>
      </c>
    </row>
    <row r="303" spans="1:10">
      <c r="A303" s="115" t="s">
        <v>223</v>
      </c>
      <c r="B303" s="115" t="s">
        <v>224</v>
      </c>
      <c r="C303" s="115" t="s">
        <v>1222</v>
      </c>
      <c r="D303" s="115" t="s">
        <v>1223</v>
      </c>
      <c r="E303" s="133" t="str">
        <f t="shared" si="8"/>
        <v>1200000067SST-11100 C10 BLUE</v>
      </c>
      <c r="F303" s="133" t="s">
        <v>3065</v>
      </c>
      <c r="G303" s="133" t="s">
        <v>3883</v>
      </c>
      <c r="H303" s="133">
        <f>VLOOKUP(G303,'packing mapping'!A:B,2,0)</f>
        <v>4</v>
      </c>
      <c r="I303" s="137">
        <v>2708844</v>
      </c>
      <c r="J303" s="132">
        <f t="shared" si="9"/>
        <v>677211</v>
      </c>
    </row>
    <row r="304" spans="1:10">
      <c r="A304" s="115" t="s">
        <v>223</v>
      </c>
      <c r="B304" s="115" t="s">
        <v>224</v>
      </c>
      <c r="C304" s="115" t="s">
        <v>1226</v>
      </c>
      <c r="D304" s="115" t="s">
        <v>1227</v>
      </c>
      <c r="E304" s="133" t="str">
        <f t="shared" si="8"/>
        <v>1200000067SST-11100 C10 RED</v>
      </c>
      <c r="F304" s="133" t="s">
        <v>3067</v>
      </c>
      <c r="G304" s="133" t="s">
        <v>3883</v>
      </c>
      <c r="H304" s="133">
        <f>VLOOKUP(G304,'packing mapping'!A:B,2,0)</f>
        <v>4</v>
      </c>
      <c r="I304" s="137">
        <v>1123668</v>
      </c>
      <c r="J304" s="132">
        <f t="shared" si="9"/>
        <v>280917</v>
      </c>
    </row>
    <row r="305" spans="1:10">
      <c r="A305" s="115" t="s">
        <v>223</v>
      </c>
      <c r="B305" s="115" t="s">
        <v>224</v>
      </c>
      <c r="C305" s="115" t="s">
        <v>1228</v>
      </c>
      <c r="D305" s="115" t="s">
        <v>1229</v>
      </c>
      <c r="E305" s="133" t="str">
        <f t="shared" si="8"/>
        <v>1200000067SST-11100 C10 YELLOW</v>
      </c>
      <c r="F305" s="133" t="s">
        <v>3068</v>
      </c>
      <c r="G305" s="133" t="s">
        <v>3883</v>
      </c>
      <c r="H305" s="133">
        <f>VLOOKUP(G305,'packing mapping'!A:B,2,0)</f>
        <v>4</v>
      </c>
      <c r="I305" s="137">
        <v>844340</v>
      </c>
      <c r="J305" s="132">
        <f t="shared" si="9"/>
        <v>211085</v>
      </c>
    </row>
    <row r="306" spans="1:10">
      <c r="A306" s="115" t="s">
        <v>223</v>
      </c>
      <c r="B306" s="115" t="s">
        <v>224</v>
      </c>
      <c r="C306" s="115" t="s">
        <v>1238</v>
      </c>
      <c r="D306" s="115" t="s">
        <v>1239</v>
      </c>
      <c r="E306" s="133" t="str">
        <f t="shared" si="8"/>
        <v>1200000067THGZ-72200 VN</v>
      </c>
      <c r="F306" s="133" t="s">
        <v>3073</v>
      </c>
      <c r="G306" s="133" t="s">
        <v>3880</v>
      </c>
      <c r="H306" s="133">
        <f>VLOOKUP(G306,'packing mapping'!A:B,2,0)</f>
        <v>20</v>
      </c>
      <c r="I306" s="137">
        <v>1148720</v>
      </c>
      <c r="J306" s="132">
        <f t="shared" si="9"/>
        <v>57436</v>
      </c>
    </row>
    <row r="307" spans="1:10">
      <c r="A307" s="115" t="s">
        <v>223</v>
      </c>
      <c r="B307" s="115" t="s">
        <v>224</v>
      </c>
      <c r="C307" s="115" t="s">
        <v>1240</v>
      </c>
      <c r="D307" s="115" t="s">
        <v>1241</v>
      </c>
      <c r="E307" s="133" t="str">
        <f t="shared" si="8"/>
        <v>1200000067THNC-71100 SD VN</v>
      </c>
      <c r="F307" s="133" t="s">
        <v>3074</v>
      </c>
      <c r="G307" s="133" t="s">
        <v>3884</v>
      </c>
      <c r="H307" s="133">
        <f>VLOOKUP(G307,'packing mapping'!A:B,2,0)</f>
        <v>200</v>
      </c>
      <c r="I307" s="137">
        <v>10689400</v>
      </c>
      <c r="J307" s="132">
        <f t="shared" si="9"/>
        <v>53447</v>
      </c>
    </row>
    <row r="308" spans="1:10">
      <c r="A308" s="115" t="s">
        <v>223</v>
      </c>
      <c r="B308" s="115" t="s">
        <v>224</v>
      </c>
      <c r="C308" s="115" t="s">
        <v>1244</v>
      </c>
      <c r="D308" s="115" t="s">
        <v>1245</v>
      </c>
      <c r="E308" s="133" t="str">
        <f t="shared" si="8"/>
        <v>1200000067TOL-76114 W VN</v>
      </c>
      <c r="F308" s="133" t="s">
        <v>3075</v>
      </c>
      <c r="G308" s="133" t="s">
        <v>3880</v>
      </c>
      <c r="H308" s="133">
        <f>VLOOKUP(G308,'packing mapping'!A:B,2,0)</f>
        <v>20</v>
      </c>
      <c r="I308" s="137">
        <v>1406500</v>
      </c>
      <c r="J308" s="132">
        <f t="shared" si="9"/>
        <v>70325</v>
      </c>
    </row>
    <row r="309" spans="1:10">
      <c r="A309" s="115" t="s">
        <v>223</v>
      </c>
      <c r="B309" s="115" t="s">
        <v>224</v>
      </c>
      <c r="C309" s="115" t="s">
        <v>1546</v>
      </c>
      <c r="D309" s="115" t="s">
        <v>1547</v>
      </c>
      <c r="E309" s="133" t="str">
        <f t="shared" si="8"/>
        <v>1200000067TOL-76301 N CLEAR BASE VN</v>
      </c>
      <c r="F309" s="133" t="s">
        <v>3213</v>
      </c>
      <c r="G309" s="133" t="s">
        <v>3880</v>
      </c>
      <c r="H309" s="133">
        <f>VLOOKUP(G309,'packing mapping'!A:B,2,0)</f>
        <v>20</v>
      </c>
      <c r="I309" s="137">
        <v>1414000</v>
      </c>
      <c r="J309" s="132">
        <f t="shared" si="9"/>
        <v>70700</v>
      </c>
    </row>
    <row r="310" spans="1:10">
      <c r="A310" s="115" t="s">
        <v>223</v>
      </c>
      <c r="B310" s="115" t="s">
        <v>224</v>
      </c>
      <c r="C310" s="115" t="s">
        <v>1548</v>
      </c>
      <c r="D310" s="115" t="s">
        <v>1549</v>
      </c>
      <c r="E310" s="133" t="str">
        <f t="shared" si="8"/>
        <v>1200000067TOL-76301 N MTT-01 VN</v>
      </c>
      <c r="F310" s="133" t="s">
        <v>3214</v>
      </c>
      <c r="G310" s="133" t="s">
        <v>3880</v>
      </c>
      <c r="H310" s="133">
        <f>VLOOKUP(G310,'packing mapping'!A:B,2,0)</f>
        <v>20</v>
      </c>
      <c r="I310" s="137">
        <v>1605000</v>
      </c>
      <c r="J310" s="132">
        <f t="shared" si="9"/>
        <v>80250</v>
      </c>
    </row>
    <row r="311" spans="1:10">
      <c r="A311" s="115" t="s">
        <v>223</v>
      </c>
      <c r="B311" s="115" t="s">
        <v>224</v>
      </c>
      <c r="C311" s="115" t="s">
        <v>1550</v>
      </c>
      <c r="D311" s="115" t="s">
        <v>1551</v>
      </c>
      <c r="E311" s="133" t="str">
        <f t="shared" si="8"/>
        <v>1200000067TOL-76301 N RUDO F1 VN</v>
      </c>
      <c r="F311" s="133" t="s">
        <v>3215</v>
      </c>
      <c r="G311" s="133" t="s">
        <v>3880</v>
      </c>
      <c r="H311" s="133">
        <f>VLOOKUP(G311,'packing mapping'!A:B,2,0)</f>
        <v>20</v>
      </c>
      <c r="I311" s="137">
        <v>1396360</v>
      </c>
      <c r="J311" s="132">
        <f t="shared" si="9"/>
        <v>69818</v>
      </c>
    </row>
    <row r="312" spans="1:10">
      <c r="A312" s="115" t="s">
        <v>223</v>
      </c>
      <c r="B312" s="115" t="s">
        <v>224</v>
      </c>
      <c r="C312" s="115" t="s">
        <v>1552</v>
      </c>
      <c r="D312" s="115" t="s">
        <v>1553</v>
      </c>
      <c r="E312" s="133" t="str">
        <f t="shared" si="8"/>
        <v>1200000067TOL-76301 N LEVICO F1 VN</v>
      </c>
      <c r="F312" s="133" t="s">
        <v>3216</v>
      </c>
      <c r="G312" s="133" t="s">
        <v>3880</v>
      </c>
      <c r="H312" s="133">
        <f>VLOOKUP(G312,'packing mapping'!A:B,2,0)</f>
        <v>20</v>
      </c>
      <c r="I312" s="137">
        <v>1815840</v>
      </c>
      <c r="J312" s="132">
        <f t="shared" si="9"/>
        <v>90792</v>
      </c>
    </row>
    <row r="313" spans="1:10">
      <c r="A313" s="115" t="s">
        <v>223</v>
      </c>
      <c r="B313" s="115" t="s">
        <v>224</v>
      </c>
      <c r="C313" s="115" t="s">
        <v>1554</v>
      </c>
      <c r="D313" s="115" t="s">
        <v>1555</v>
      </c>
      <c r="E313" s="133" t="str">
        <f t="shared" si="8"/>
        <v>1200000067EQ-10200 MTT 01 TM VN</v>
      </c>
      <c r="F313" s="133" t="s">
        <v>3217</v>
      </c>
      <c r="G313" s="133" t="s">
        <v>3880</v>
      </c>
      <c r="H313" s="133">
        <f>VLOOKUP(G313,'packing mapping'!A:B,2,0)</f>
        <v>20</v>
      </c>
      <c r="I313" s="137">
        <v>1645100</v>
      </c>
      <c r="J313" s="132">
        <f t="shared" si="9"/>
        <v>82255</v>
      </c>
    </row>
    <row r="314" spans="1:10">
      <c r="A314" s="115" t="s">
        <v>223</v>
      </c>
      <c r="B314" s="115" t="s">
        <v>224</v>
      </c>
      <c r="C314" s="115" t="s">
        <v>1262</v>
      </c>
      <c r="D314" s="115" t="s">
        <v>1263</v>
      </c>
      <c r="E314" s="133" t="str">
        <f t="shared" si="8"/>
        <v>1200000067NCL-11329 LC CLEAR 10 VN</v>
      </c>
      <c r="F314" s="133" t="s">
        <v>3084</v>
      </c>
      <c r="G314" s="133" t="s">
        <v>3879</v>
      </c>
      <c r="H314" s="133">
        <f>VLOOKUP(G314,'packing mapping'!A:B,2,0)</f>
        <v>20</v>
      </c>
      <c r="I314" s="137">
        <v>1488640</v>
      </c>
      <c r="J314" s="132">
        <f t="shared" si="9"/>
        <v>74432</v>
      </c>
    </row>
    <row r="315" spans="1:10">
      <c r="A315" s="115" t="s">
        <v>223</v>
      </c>
      <c r="B315" s="115" t="s">
        <v>224</v>
      </c>
      <c r="C315" s="115" t="s">
        <v>1264</v>
      </c>
      <c r="D315" s="115" t="s">
        <v>1265</v>
      </c>
      <c r="E315" s="133" t="str">
        <f t="shared" si="8"/>
        <v>1200000067NCL-11329 LC CLEAR 20 VN</v>
      </c>
      <c r="F315" s="133" t="s">
        <v>3085</v>
      </c>
      <c r="G315" s="133" t="s">
        <v>3879</v>
      </c>
      <c r="H315" s="133">
        <f>VLOOKUP(G315,'packing mapping'!A:B,2,0)</f>
        <v>20</v>
      </c>
      <c r="I315" s="137">
        <v>1472240</v>
      </c>
      <c r="J315" s="132">
        <f t="shared" si="9"/>
        <v>73612</v>
      </c>
    </row>
    <row r="316" spans="1:10">
      <c r="A316" s="115" t="s">
        <v>223</v>
      </c>
      <c r="B316" s="115" t="s">
        <v>224</v>
      </c>
      <c r="C316" s="115" t="s">
        <v>1556</v>
      </c>
      <c r="D316" s="115" t="s">
        <v>1557</v>
      </c>
      <c r="E316" s="133" t="str">
        <f t="shared" si="8"/>
        <v>1200000067NCSS-11229 LC VN</v>
      </c>
      <c r="F316" s="133" t="s">
        <v>3089</v>
      </c>
      <c r="G316" s="133" t="s">
        <v>3896</v>
      </c>
      <c r="H316" s="133">
        <f>VLOOKUP(G316,'packing mapping'!A:B,2,0)</f>
        <v>200</v>
      </c>
      <c r="I316" s="137">
        <v>14886400</v>
      </c>
      <c r="J316" s="132">
        <f t="shared" si="9"/>
        <v>74432</v>
      </c>
    </row>
    <row r="317" spans="1:10">
      <c r="A317" s="115" t="s">
        <v>223</v>
      </c>
      <c r="B317" s="115" t="s">
        <v>224</v>
      </c>
      <c r="C317" s="115" t="s">
        <v>1272</v>
      </c>
      <c r="D317" s="115" t="s">
        <v>1273</v>
      </c>
      <c r="E317" s="133" t="str">
        <f t="shared" si="8"/>
        <v>1200000067NCSS-11229 LC VN</v>
      </c>
      <c r="F317" s="133" t="s">
        <v>3089</v>
      </c>
      <c r="G317" s="133" t="s">
        <v>3879</v>
      </c>
      <c r="H317" s="133">
        <f>VLOOKUP(G317,'packing mapping'!A:B,2,0)</f>
        <v>20</v>
      </c>
      <c r="I317" s="137">
        <v>1604280</v>
      </c>
      <c r="J317" s="132">
        <f t="shared" si="9"/>
        <v>80214</v>
      </c>
    </row>
    <row r="318" spans="1:10">
      <c r="A318" s="115" t="s">
        <v>223</v>
      </c>
      <c r="B318" s="115" t="s">
        <v>224</v>
      </c>
      <c r="C318" s="115" t="s">
        <v>1558</v>
      </c>
      <c r="D318" s="115" t="s">
        <v>1559</v>
      </c>
      <c r="E318" s="133" t="str">
        <f t="shared" si="8"/>
        <v>1200000067PUP-54111 AC WHITE VN</v>
      </c>
      <c r="F318" s="133" t="s">
        <v>3218</v>
      </c>
      <c r="G318" s="133" t="s">
        <v>3881</v>
      </c>
      <c r="H318" s="133">
        <f>VLOOKUP(G318,'packing mapping'!A:B,2,0)</f>
        <v>20</v>
      </c>
      <c r="I318" s="137">
        <v>2983360</v>
      </c>
      <c r="J318" s="132">
        <f t="shared" si="9"/>
        <v>149168</v>
      </c>
    </row>
    <row r="319" spans="1:10">
      <c r="A319" s="115" t="s">
        <v>223</v>
      </c>
      <c r="B319" s="115" t="s">
        <v>224</v>
      </c>
      <c r="C319" s="115" t="s">
        <v>1304</v>
      </c>
      <c r="D319" s="115" t="s">
        <v>1305</v>
      </c>
      <c r="E319" s="133" t="str">
        <f t="shared" si="8"/>
        <v>1200000067GZ-12700 N BLACK VN</v>
      </c>
      <c r="F319" s="133" t="s">
        <v>3103</v>
      </c>
      <c r="G319" s="133" t="s">
        <v>3883</v>
      </c>
      <c r="H319" s="133">
        <f>VLOOKUP(G319,'packing mapping'!A:B,2,0)</f>
        <v>4</v>
      </c>
      <c r="I319" s="137">
        <v>1102940</v>
      </c>
      <c r="J319" s="132">
        <f t="shared" si="9"/>
        <v>275735</v>
      </c>
    </row>
    <row r="320" spans="1:10">
      <c r="A320" s="115" t="s">
        <v>223</v>
      </c>
      <c r="B320" s="115" t="s">
        <v>224</v>
      </c>
      <c r="C320" s="115" t="s">
        <v>1306</v>
      </c>
      <c r="D320" s="115" t="s">
        <v>1307</v>
      </c>
      <c r="E320" s="133" t="str">
        <f t="shared" si="8"/>
        <v>1200000067GZ-12700 N RED VN</v>
      </c>
      <c r="F320" s="133" t="s">
        <v>3104</v>
      </c>
      <c r="G320" s="133" t="s">
        <v>3883</v>
      </c>
      <c r="H320" s="133">
        <f>VLOOKUP(G320,'packing mapping'!A:B,2,0)</f>
        <v>4</v>
      </c>
      <c r="I320" s="137">
        <v>1113084</v>
      </c>
      <c r="J320" s="132">
        <f t="shared" si="9"/>
        <v>278271</v>
      </c>
    </row>
    <row r="321" spans="1:10">
      <c r="A321" s="115" t="s">
        <v>223</v>
      </c>
      <c r="B321" s="115" t="s">
        <v>224</v>
      </c>
      <c r="C321" s="115" t="s">
        <v>1308</v>
      </c>
      <c r="D321" s="115" t="s">
        <v>1309</v>
      </c>
      <c r="E321" s="133" t="str">
        <f t="shared" si="8"/>
        <v>1200000067GZ-12700 N YELLOW</v>
      </c>
      <c r="F321" s="133" t="s">
        <v>3105</v>
      </c>
      <c r="G321" s="133" t="s">
        <v>3883</v>
      </c>
      <c r="H321" s="133">
        <f>VLOOKUP(G321,'packing mapping'!A:B,2,0)</f>
        <v>4</v>
      </c>
      <c r="I321" s="137">
        <v>1068544</v>
      </c>
      <c r="J321" s="132">
        <f t="shared" si="9"/>
        <v>267136</v>
      </c>
    </row>
    <row r="322" spans="1:10">
      <c r="A322" s="115" t="s">
        <v>223</v>
      </c>
      <c r="B322" s="115" t="s">
        <v>224</v>
      </c>
      <c r="C322" s="115" t="s">
        <v>1560</v>
      </c>
      <c r="D322" s="115" t="s">
        <v>1561</v>
      </c>
      <c r="E322" s="133" t="str">
        <f t="shared" si="8"/>
        <v>1200000067TOL-76301 N ML10 F1 VN</v>
      </c>
      <c r="F322" s="133" t="s">
        <v>3219</v>
      </c>
      <c r="G322" s="133" t="s">
        <v>3880</v>
      </c>
      <c r="H322" s="133">
        <f>VLOOKUP(G322,'packing mapping'!A:B,2,0)</f>
        <v>20</v>
      </c>
      <c r="I322" s="137">
        <v>2052040</v>
      </c>
      <c r="J322" s="132">
        <f t="shared" si="9"/>
        <v>102602</v>
      </c>
    </row>
    <row r="323" spans="1:10">
      <c r="A323" s="115" t="s">
        <v>223</v>
      </c>
      <c r="B323" s="115" t="s">
        <v>224</v>
      </c>
      <c r="C323" s="115" t="s">
        <v>1562</v>
      </c>
      <c r="D323" s="115" t="s">
        <v>1563</v>
      </c>
      <c r="E323" s="133" t="str">
        <f t="shared" ref="E323:E386" si="10">A323&amp;F323</f>
        <v>1200000067PUP-54106 AC EX BLACK VN</v>
      </c>
      <c r="F323" s="133" t="s">
        <v>3220</v>
      </c>
      <c r="G323" s="133" t="s">
        <v>3881</v>
      </c>
      <c r="H323" s="133">
        <f>VLOOKUP(G323,'packing mapping'!A:B,2,0)</f>
        <v>20</v>
      </c>
      <c r="I323" s="137">
        <v>3893820</v>
      </c>
      <c r="J323" s="132">
        <f t="shared" ref="J323:J386" si="11">I323/H323</f>
        <v>194691</v>
      </c>
    </row>
    <row r="324" spans="1:10">
      <c r="A324" s="115" t="s">
        <v>223</v>
      </c>
      <c r="B324" s="115" t="s">
        <v>224</v>
      </c>
      <c r="C324" s="115" t="s">
        <v>1496</v>
      </c>
      <c r="D324" s="115" t="s">
        <v>1497</v>
      </c>
      <c r="E324" s="133" t="str">
        <f t="shared" si="10"/>
        <v>1200000067PUH-56141 VN</v>
      </c>
      <c r="F324" s="133" t="s">
        <v>3189</v>
      </c>
      <c r="G324" s="133" t="s">
        <v>3881</v>
      </c>
      <c r="H324" s="133">
        <f>VLOOKUP(G324,'packing mapping'!A:B,2,0)</f>
        <v>20</v>
      </c>
      <c r="I324" s="137">
        <v>1823760</v>
      </c>
      <c r="J324" s="132">
        <f t="shared" si="11"/>
        <v>91188</v>
      </c>
    </row>
    <row r="325" spans="1:10">
      <c r="A325" s="115" t="s">
        <v>223</v>
      </c>
      <c r="B325" s="115" t="s">
        <v>224</v>
      </c>
      <c r="C325" s="115" t="s">
        <v>1324</v>
      </c>
      <c r="D325" s="115" t="s">
        <v>1325</v>
      </c>
      <c r="E325" s="133" t="str">
        <f t="shared" si="10"/>
        <v>1200000067DP-12129 LC BLACK VN</v>
      </c>
      <c r="F325" s="133" t="s">
        <v>3113</v>
      </c>
      <c r="G325" s="133" t="s">
        <v>3881</v>
      </c>
      <c r="H325" s="133">
        <f>VLOOKUP(G325,'packing mapping'!A:B,2,0)</f>
        <v>20</v>
      </c>
      <c r="I325" s="137">
        <v>2553380</v>
      </c>
      <c r="J325" s="132">
        <f t="shared" si="11"/>
        <v>127669</v>
      </c>
    </row>
    <row r="326" spans="1:10">
      <c r="A326" s="115" t="s">
        <v>223</v>
      </c>
      <c r="B326" s="115" t="s">
        <v>224</v>
      </c>
      <c r="C326" s="115" t="s">
        <v>1564</v>
      </c>
      <c r="D326" s="115" t="s">
        <v>1565</v>
      </c>
      <c r="E326" s="133" t="str">
        <f t="shared" si="10"/>
        <v>1200000067SST-11100 CACNAC 02 F1 VN</v>
      </c>
      <c r="F326" s="133" t="s">
        <v>3221</v>
      </c>
      <c r="G326" s="133" t="s">
        <v>3880</v>
      </c>
      <c r="H326" s="133">
        <f>VLOOKUP(G326,'packing mapping'!A:B,2,0)</f>
        <v>20</v>
      </c>
      <c r="I326" s="137">
        <v>1431620</v>
      </c>
      <c r="J326" s="132">
        <f t="shared" si="11"/>
        <v>71581</v>
      </c>
    </row>
    <row r="327" spans="1:10">
      <c r="A327" s="115" t="s">
        <v>223</v>
      </c>
      <c r="B327" s="115" t="s">
        <v>224</v>
      </c>
      <c r="C327" s="115" t="s">
        <v>1566</v>
      </c>
      <c r="D327" s="115" t="s">
        <v>1567</v>
      </c>
      <c r="E327" s="133" t="str">
        <f t="shared" si="10"/>
        <v>1200000067TOL-76301 N GNH F1 VN</v>
      </c>
      <c r="F327" s="133" t="s">
        <v>3222</v>
      </c>
      <c r="G327" s="133" t="s">
        <v>3880</v>
      </c>
      <c r="H327" s="133">
        <f>VLOOKUP(G327,'packing mapping'!A:B,2,0)</f>
        <v>20</v>
      </c>
      <c r="I327" s="137">
        <v>1929580</v>
      </c>
      <c r="J327" s="132">
        <f t="shared" si="11"/>
        <v>96479</v>
      </c>
    </row>
    <row r="328" spans="1:10">
      <c r="A328" s="115" t="s">
        <v>223</v>
      </c>
      <c r="B328" s="115" t="s">
        <v>224</v>
      </c>
      <c r="C328" s="115" t="s">
        <v>1568</v>
      </c>
      <c r="D328" s="115" t="s">
        <v>1569</v>
      </c>
      <c r="E328" s="133" t="str">
        <f t="shared" si="10"/>
        <v>1200000067TOL-76301 N RUDO I F1 VN</v>
      </c>
      <c r="F328" s="133" t="s">
        <v>3223</v>
      </c>
      <c r="G328" s="133" t="s">
        <v>3890</v>
      </c>
      <c r="H328" s="133">
        <f>VLOOKUP(G328,'packing mapping'!A:B,2,0)</f>
        <v>16</v>
      </c>
      <c r="I328" s="137">
        <v>1422544</v>
      </c>
      <c r="J328" s="132">
        <f t="shared" si="11"/>
        <v>88909</v>
      </c>
    </row>
    <row r="329" spans="1:10">
      <c r="A329" s="115" t="s">
        <v>223</v>
      </c>
      <c r="B329" s="115" t="s">
        <v>224</v>
      </c>
      <c r="C329" s="115" t="s">
        <v>1570</v>
      </c>
      <c r="D329" s="115" t="s">
        <v>1571</v>
      </c>
      <c r="E329" s="133" t="str">
        <f t="shared" si="10"/>
        <v>1200000067TOL-76301 N ML12  F1 VN</v>
      </c>
      <c r="F329" s="133" t="s">
        <v>3224</v>
      </c>
      <c r="G329" s="133" t="s">
        <v>3890</v>
      </c>
      <c r="H329" s="133">
        <f>VLOOKUP(G329,'packing mapping'!A:B,2,0)</f>
        <v>16</v>
      </c>
      <c r="I329" s="137">
        <v>1492864</v>
      </c>
      <c r="J329" s="132">
        <f t="shared" si="11"/>
        <v>93304</v>
      </c>
    </row>
    <row r="330" spans="1:10">
      <c r="A330" s="115" t="s">
        <v>223</v>
      </c>
      <c r="B330" s="115" t="s">
        <v>224</v>
      </c>
      <c r="C330" s="115" t="s">
        <v>1572</v>
      </c>
      <c r="D330" s="115" t="s">
        <v>1573</v>
      </c>
      <c r="E330" s="133" t="str">
        <f t="shared" si="10"/>
        <v>1200000067TOL-76301 N 2C01 F1 VN</v>
      </c>
      <c r="F330" s="133" t="s">
        <v>3225</v>
      </c>
      <c r="G330" s="133" t="s">
        <v>3890</v>
      </c>
      <c r="H330" s="133">
        <f>VLOOKUP(G330,'packing mapping'!A:B,2,0)</f>
        <v>16</v>
      </c>
      <c r="I330" s="137">
        <v>1406496</v>
      </c>
      <c r="J330" s="132">
        <f t="shared" si="11"/>
        <v>87906</v>
      </c>
    </row>
    <row r="331" spans="1:10">
      <c r="A331" s="115" t="s">
        <v>223</v>
      </c>
      <c r="B331" s="115" t="s">
        <v>224</v>
      </c>
      <c r="C331" s="115" t="s">
        <v>1574</v>
      </c>
      <c r="D331" s="115" t="s">
        <v>1575</v>
      </c>
      <c r="E331" s="133" t="str">
        <f t="shared" si="10"/>
        <v>1200000067TOL-76301 N 2C02 F1 VN</v>
      </c>
      <c r="F331" s="133" t="s">
        <v>3226</v>
      </c>
      <c r="G331" s="133" t="s">
        <v>3890</v>
      </c>
      <c r="H331" s="133">
        <f>VLOOKUP(G331,'packing mapping'!A:B,2,0)</f>
        <v>16</v>
      </c>
      <c r="I331" s="137">
        <v>1601824</v>
      </c>
      <c r="J331" s="132">
        <f t="shared" si="11"/>
        <v>100114</v>
      </c>
    </row>
    <row r="332" spans="1:10">
      <c r="A332" s="115" t="s">
        <v>223</v>
      </c>
      <c r="B332" s="115" t="s">
        <v>224</v>
      </c>
      <c r="C332" s="115" t="s">
        <v>1576</v>
      </c>
      <c r="D332" s="115" t="s">
        <v>1577</v>
      </c>
      <c r="E332" s="133" t="str">
        <f t="shared" si="10"/>
        <v>1200000067TOL-76301 N FR01 F1 VN</v>
      </c>
      <c r="F332" s="133" t="s">
        <v>3227</v>
      </c>
      <c r="G332" s="133" t="s">
        <v>3895</v>
      </c>
      <c r="H332" s="133">
        <f>VLOOKUP(G332,'packing mapping'!A:B,2,0)</f>
        <v>16</v>
      </c>
      <c r="I332" s="137">
        <v>1575360</v>
      </c>
      <c r="J332" s="132">
        <f t="shared" si="11"/>
        <v>98460</v>
      </c>
    </row>
    <row r="333" spans="1:10">
      <c r="A333" s="115" t="s">
        <v>223</v>
      </c>
      <c r="B333" s="115" t="s">
        <v>224</v>
      </c>
      <c r="C333" s="115" t="s">
        <v>1578</v>
      </c>
      <c r="D333" s="115" t="s">
        <v>1579</v>
      </c>
      <c r="E333" s="133" t="str">
        <f t="shared" si="10"/>
        <v>1200000067PST-12200 1K GREY F1 VN</v>
      </c>
      <c r="F333" s="133" t="s">
        <v>3228</v>
      </c>
      <c r="G333" s="133" t="s">
        <v>3885</v>
      </c>
      <c r="H333" s="133">
        <f>VLOOKUP(G333,'packing mapping'!A:B,2,0)</f>
        <v>18</v>
      </c>
      <c r="I333" s="137">
        <v>2188566</v>
      </c>
      <c r="J333" s="132">
        <f t="shared" si="11"/>
        <v>121587</v>
      </c>
    </row>
    <row r="334" spans="1:10">
      <c r="A334" s="115" t="s">
        <v>223</v>
      </c>
      <c r="B334" s="115" t="s">
        <v>224</v>
      </c>
      <c r="C334" s="115" t="s">
        <v>1580</v>
      </c>
      <c r="D334" s="115" t="s">
        <v>1581</v>
      </c>
      <c r="E334" s="133" t="str">
        <f t="shared" si="10"/>
        <v>1200000067TOL-76301 N GREY F1 VN</v>
      </c>
      <c r="F334" s="133" t="s">
        <v>3229</v>
      </c>
      <c r="G334" s="133" t="s">
        <v>3895</v>
      </c>
      <c r="H334" s="133">
        <f>VLOOKUP(G334,'packing mapping'!A:B,2,0)</f>
        <v>16</v>
      </c>
      <c r="I334" s="137">
        <v>1953472</v>
      </c>
      <c r="J334" s="132">
        <f t="shared" si="11"/>
        <v>122092</v>
      </c>
    </row>
    <row r="335" spans="1:10">
      <c r="A335" s="115" t="s">
        <v>223</v>
      </c>
      <c r="B335" s="115" t="s">
        <v>224</v>
      </c>
      <c r="C335" s="115" t="s">
        <v>1582</v>
      </c>
      <c r="D335" s="115" t="s">
        <v>1583</v>
      </c>
      <c r="E335" s="133" t="str">
        <f t="shared" si="10"/>
        <v>1200000067TOL-76301 N 2C-03  F1 VN</v>
      </c>
      <c r="F335" s="133" t="s">
        <v>3230</v>
      </c>
      <c r="G335" s="133" t="s">
        <v>3895</v>
      </c>
      <c r="H335" s="133">
        <f>VLOOKUP(G335,'packing mapping'!A:B,2,0)</f>
        <v>16</v>
      </c>
      <c r="I335" s="137">
        <v>1721408</v>
      </c>
      <c r="J335" s="132">
        <f t="shared" si="11"/>
        <v>107588</v>
      </c>
    </row>
    <row r="336" spans="1:10">
      <c r="A336" s="115" t="s">
        <v>223</v>
      </c>
      <c r="B336" s="115" t="s">
        <v>224</v>
      </c>
      <c r="C336" s="115" t="s">
        <v>1584</v>
      </c>
      <c r="D336" s="115" t="s">
        <v>1585</v>
      </c>
      <c r="E336" s="133" t="str">
        <f t="shared" si="10"/>
        <v>1200000067THPU-71306 01 KD VN</v>
      </c>
      <c r="F336" s="133" t="s">
        <v>3231</v>
      </c>
      <c r="G336" s="133" t="s">
        <v>3880</v>
      </c>
      <c r="H336" s="133">
        <f>VLOOKUP(G336,'packing mapping'!A:B,2,0)</f>
        <v>20</v>
      </c>
      <c r="I336" s="137">
        <v>1126080</v>
      </c>
      <c r="J336" s="132">
        <f t="shared" si="11"/>
        <v>56304</v>
      </c>
    </row>
    <row r="337" spans="1:10">
      <c r="A337" s="115" t="s">
        <v>223</v>
      </c>
      <c r="B337" s="115" t="s">
        <v>224</v>
      </c>
      <c r="C337" s="115" t="s">
        <v>1586</v>
      </c>
      <c r="D337" s="115" t="s">
        <v>1587</v>
      </c>
      <c r="E337" s="133" t="str">
        <f t="shared" si="10"/>
        <v>1200000067THPU-71306 01 KD VN</v>
      </c>
      <c r="F337" s="133" t="s">
        <v>3231</v>
      </c>
      <c r="G337" s="133" t="s">
        <v>3884</v>
      </c>
      <c r="H337" s="133">
        <f>VLOOKUP(G337,'packing mapping'!A:B,2,0)</f>
        <v>200</v>
      </c>
      <c r="I337" s="137">
        <v>9894600</v>
      </c>
      <c r="J337" s="132">
        <f t="shared" si="11"/>
        <v>49473</v>
      </c>
    </row>
    <row r="338" spans="1:10">
      <c r="A338" s="115" t="s">
        <v>223</v>
      </c>
      <c r="B338" s="115" t="s">
        <v>224</v>
      </c>
      <c r="C338" s="115" t="s">
        <v>1588</v>
      </c>
      <c r="D338" s="115" t="s">
        <v>1589</v>
      </c>
      <c r="E338" s="133" t="str">
        <f t="shared" si="10"/>
        <v>1200000067SST-11100 YEL CANAC 05 F1 VN</v>
      </c>
      <c r="F338" s="133" t="s">
        <v>3232</v>
      </c>
      <c r="G338" s="133" t="s">
        <v>3895</v>
      </c>
      <c r="H338" s="133">
        <f>VLOOKUP(G338,'packing mapping'!A:B,2,0)</f>
        <v>16</v>
      </c>
      <c r="I338" s="137">
        <v>1292896</v>
      </c>
      <c r="J338" s="132">
        <f t="shared" si="11"/>
        <v>80806</v>
      </c>
    </row>
    <row r="339" spans="1:10">
      <c r="A339" s="115" t="s">
        <v>223</v>
      </c>
      <c r="B339" s="115" t="s">
        <v>224</v>
      </c>
      <c r="C339" s="115" t="s">
        <v>1590</v>
      </c>
      <c r="D339" s="115" t="s">
        <v>1591</v>
      </c>
      <c r="E339" s="133" t="str">
        <f t="shared" si="10"/>
        <v>1200000067TOL-76301 N 2C-04 F1 VN</v>
      </c>
      <c r="F339" s="133" t="s">
        <v>3233</v>
      </c>
      <c r="G339" s="133" t="s">
        <v>3895</v>
      </c>
      <c r="H339" s="133">
        <f>VLOOKUP(G339,'packing mapping'!A:B,2,0)</f>
        <v>16</v>
      </c>
      <c r="I339" s="137">
        <v>1537872</v>
      </c>
      <c r="J339" s="132">
        <f t="shared" si="11"/>
        <v>96117</v>
      </c>
    </row>
    <row r="340" spans="1:10">
      <c r="A340" s="115" t="s">
        <v>223</v>
      </c>
      <c r="B340" s="115" t="s">
        <v>224</v>
      </c>
      <c r="C340" s="115" t="s">
        <v>1592</v>
      </c>
      <c r="D340" s="115" t="s">
        <v>1593</v>
      </c>
      <c r="E340" s="133" t="str">
        <f t="shared" si="10"/>
        <v>1200000067PST-12100 C10 YELLOW VN</v>
      </c>
      <c r="F340" s="133" t="s">
        <v>3234</v>
      </c>
      <c r="G340" s="133" t="s">
        <v>3883</v>
      </c>
      <c r="H340" s="133">
        <f>VLOOKUP(G340,'packing mapping'!A:B,2,0)</f>
        <v>4</v>
      </c>
      <c r="I340" s="137">
        <v>1494108</v>
      </c>
      <c r="J340" s="132">
        <f t="shared" si="11"/>
        <v>373527</v>
      </c>
    </row>
    <row r="341" spans="1:10">
      <c r="A341" s="115" t="s">
        <v>223</v>
      </c>
      <c r="B341" s="115" t="s">
        <v>224</v>
      </c>
      <c r="C341" s="115" t="s">
        <v>1594</v>
      </c>
      <c r="D341" s="115" t="s">
        <v>1595</v>
      </c>
      <c r="E341" s="133" t="str">
        <f t="shared" si="10"/>
        <v>1200000067TOL-76301 N LEVICO AQ F1 VN</v>
      </c>
      <c r="F341" s="133" t="s">
        <v>3235</v>
      </c>
      <c r="G341" s="133" t="s">
        <v>3895</v>
      </c>
      <c r="H341" s="133">
        <f>VLOOKUP(G341,'packing mapping'!A:B,2,0)</f>
        <v>16</v>
      </c>
      <c r="I341" s="137">
        <v>1682768</v>
      </c>
      <c r="J341" s="132">
        <f t="shared" si="11"/>
        <v>105173</v>
      </c>
    </row>
    <row r="342" spans="1:10">
      <c r="A342" s="115" t="s">
        <v>223</v>
      </c>
      <c r="B342" s="115" t="s">
        <v>224</v>
      </c>
      <c r="C342" s="115" t="s">
        <v>1596</v>
      </c>
      <c r="D342" s="115" t="s">
        <v>1597</v>
      </c>
      <c r="E342" s="133" t="str">
        <f t="shared" si="10"/>
        <v>1200000067PG-13900 WHITE SA F1 VN</v>
      </c>
      <c r="F342" s="133" t="s">
        <v>3236</v>
      </c>
      <c r="G342" s="133" t="s">
        <v>3881</v>
      </c>
      <c r="H342" s="133">
        <f>VLOOKUP(G342,'packing mapping'!A:B,2,0)</f>
        <v>20</v>
      </c>
      <c r="I342" s="137">
        <v>1777240</v>
      </c>
      <c r="J342" s="132">
        <f t="shared" si="11"/>
        <v>88862</v>
      </c>
    </row>
    <row r="343" spans="1:10">
      <c r="A343" s="115" t="s">
        <v>223</v>
      </c>
      <c r="B343" s="115" t="s">
        <v>224</v>
      </c>
      <c r="C343" s="115" t="s">
        <v>1598</v>
      </c>
      <c r="D343" s="115" t="s">
        <v>1599</v>
      </c>
      <c r="E343" s="133" t="str">
        <f t="shared" si="10"/>
        <v>1200000067SST-11100 YEL SA 01 F1 VN</v>
      </c>
      <c r="F343" s="133" t="s">
        <v>3237</v>
      </c>
      <c r="G343" s="133" t="s">
        <v>3895</v>
      </c>
      <c r="H343" s="133">
        <f>VLOOKUP(G343,'packing mapping'!A:B,2,0)</f>
        <v>16</v>
      </c>
      <c r="I343" s="137">
        <v>1690496</v>
      </c>
      <c r="J343" s="132">
        <f t="shared" si="11"/>
        <v>105656</v>
      </c>
    </row>
    <row r="344" spans="1:10">
      <c r="A344" s="115" t="s">
        <v>223</v>
      </c>
      <c r="B344" s="115" t="s">
        <v>224</v>
      </c>
      <c r="C344" s="115" t="s">
        <v>1600</v>
      </c>
      <c r="D344" s="115" t="s">
        <v>1601</v>
      </c>
      <c r="E344" s="133" t="str">
        <f t="shared" si="10"/>
        <v>1200000067SST-11100 RED SA F1 VN</v>
      </c>
      <c r="F344" s="133" t="s">
        <v>3238</v>
      </c>
      <c r="G344" s="133" t="s">
        <v>3895</v>
      </c>
      <c r="H344" s="133">
        <f>VLOOKUP(G344,'packing mapping'!A:B,2,0)</f>
        <v>16</v>
      </c>
      <c r="I344" s="137">
        <v>1362064</v>
      </c>
      <c r="J344" s="132">
        <f t="shared" si="11"/>
        <v>85129</v>
      </c>
    </row>
    <row r="345" spans="1:10">
      <c r="A345" s="115" t="s">
        <v>223</v>
      </c>
      <c r="B345" s="115" t="s">
        <v>224</v>
      </c>
      <c r="C345" s="115" t="s">
        <v>1602</v>
      </c>
      <c r="D345" s="115" t="s">
        <v>1603</v>
      </c>
      <c r="E345" s="133" t="str">
        <f t="shared" si="10"/>
        <v>1200000067WBL-63220 BROWN 2C01 N F1 VN</v>
      </c>
      <c r="F345" s="133" t="s">
        <v>3239</v>
      </c>
      <c r="G345" s="133" t="s">
        <v>3882</v>
      </c>
      <c r="H345" s="133">
        <f>VLOOKUP(G345,'packing mapping'!A:B,2,0)</f>
        <v>18</v>
      </c>
      <c r="I345" s="137">
        <v>1472508</v>
      </c>
      <c r="J345" s="132">
        <f t="shared" si="11"/>
        <v>81806</v>
      </c>
    </row>
    <row r="346" spans="1:10">
      <c r="A346" s="115" t="s">
        <v>223</v>
      </c>
      <c r="B346" s="115" t="s">
        <v>224</v>
      </c>
      <c r="C346" s="115" t="s">
        <v>1604</v>
      </c>
      <c r="D346" s="115" t="s">
        <v>1605</v>
      </c>
      <c r="E346" s="133" t="str">
        <f t="shared" si="10"/>
        <v>1200000067WBL-63220 BLACK 2C01 F1 VN</v>
      </c>
      <c r="F346" s="133" t="s">
        <v>3240</v>
      </c>
      <c r="G346" s="133" t="s">
        <v>3882</v>
      </c>
      <c r="H346" s="133">
        <f>VLOOKUP(G346,'packing mapping'!A:B,2,0)</f>
        <v>18</v>
      </c>
      <c r="I346" s="137">
        <v>1700712</v>
      </c>
      <c r="J346" s="132">
        <f t="shared" si="11"/>
        <v>94484</v>
      </c>
    </row>
    <row r="347" spans="1:10">
      <c r="A347" s="115" t="s">
        <v>223</v>
      </c>
      <c r="B347" s="115" t="s">
        <v>224</v>
      </c>
      <c r="C347" s="115" t="s">
        <v>1606</v>
      </c>
      <c r="D347" s="115" t="s">
        <v>1607</v>
      </c>
      <c r="E347" s="133" t="str">
        <f t="shared" si="10"/>
        <v>1200000067PCWB-31600 BLACK 90400 R PASTE VN</v>
      </c>
      <c r="F347" s="133" t="s">
        <v>3241</v>
      </c>
      <c r="G347" s="133" t="s">
        <v>3883</v>
      </c>
      <c r="H347" s="133">
        <f>VLOOKUP(G347,'packing mapping'!A:B,2,0)</f>
        <v>4</v>
      </c>
      <c r="I347" s="137">
        <v>1092356</v>
      </c>
      <c r="J347" s="132">
        <f t="shared" si="11"/>
        <v>273089</v>
      </c>
    </row>
    <row r="348" spans="1:10">
      <c r="A348" s="115" t="s">
        <v>223</v>
      </c>
      <c r="B348" s="115" t="s">
        <v>224</v>
      </c>
      <c r="C348" s="115" t="s">
        <v>1608</v>
      </c>
      <c r="D348" s="115" t="s">
        <v>1609</v>
      </c>
      <c r="E348" s="133" t="str">
        <f t="shared" si="10"/>
        <v>1200000067PCWB-31600 RED 34597 PASTE VN</v>
      </c>
      <c r="F348" s="133" t="s">
        <v>3242</v>
      </c>
      <c r="G348" s="133" t="s">
        <v>3883</v>
      </c>
      <c r="H348" s="133">
        <f>VLOOKUP(G348,'packing mapping'!A:B,2,0)</f>
        <v>4</v>
      </c>
      <c r="I348" s="137">
        <v>1124108</v>
      </c>
      <c r="J348" s="132">
        <f t="shared" si="11"/>
        <v>281027</v>
      </c>
    </row>
    <row r="349" spans="1:10">
      <c r="A349" s="115" t="s">
        <v>223</v>
      </c>
      <c r="B349" s="115" t="s">
        <v>224</v>
      </c>
      <c r="C349" s="115" t="s">
        <v>1610</v>
      </c>
      <c r="D349" s="115" t="s">
        <v>1611</v>
      </c>
      <c r="E349" s="133" t="str">
        <f t="shared" si="10"/>
        <v>1200000067PCWB-31600 YELLOW 10313 PASTE VN</v>
      </c>
      <c r="F349" s="133" t="s">
        <v>3243</v>
      </c>
      <c r="G349" s="133" t="s">
        <v>3883</v>
      </c>
      <c r="H349" s="133">
        <f>VLOOKUP(G349,'packing mapping'!A:B,2,0)</f>
        <v>4</v>
      </c>
      <c r="I349" s="137">
        <v>848044</v>
      </c>
      <c r="J349" s="132">
        <f t="shared" si="11"/>
        <v>212011</v>
      </c>
    </row>
    <row r="350" spans="1:10">
      <c r="A350" s="115" t="s">
        <v>223</v>
      </c>
      <c r="B350" s="115" t="s">
        <v>224</v>
      </c>
      <c r="C350" s="115" t="s">
        <v>1612</v>
      </c>
      <c r="D350" s="115" t="s">
        <v>1613</v>
      </c>
      <c r="E350" s="133" t="str">
        <f t="shared" si="10"/>
        <v>1200000067PCWB-31600 BROWN 645 PASTE VN</v>
      </c>
      <c r="F350" s="133" t="s">
        <v>3244</v>
      </c>
      <c r="G350" s="133" t="s">
        <v>3883</v>
      </c>
      <c r="H350" s="133">
        <f>VLOOKUP(G350,'packing mapping'!A:B,2,0)</f>
        <v>4</v>
      </c>
      <c r="I350" s="137">
        <v>901404</v>
      </c>
      <c r="J350" s="132">
        <f t="shared" si="11"/>
        <v>225351</v>
      </c>
    </row>
    <row r="351" spans="1:10">
      <c r="A351" s="115" t="s">
        <v>223</v>
      </c>
      <c r="B351" s="115" t="s">
        <v>224</v>
      </c>
      <c r="C351" s="115" t="s">
        <v>1614</v>
      </c>
      <c r="D351" s="115" t="s">
        <v>1615</v>
      </c>
      <c r="E351" s="133" t="str">
        <f t="shared" si="10"/>
        <v>1200000067DP-12129 LC YEL DIVA F1 VN</v>
      </c>
      <c r="F351" s="133" t="s">
        <v>3245</v>
      </c>
      <c r="G351" s="133" t="s">
        <v>3882</v>
      </c>
      <c r="H351" s="133">
        <f>VLOOKUP(G351,'packing mapping'!A:B,2,0)</f>
        <v>18</v>
      </c>
      <c r="I351" s="137">
        <v>2359980</v>
      </c>
      <c r="J351" s="132">
        <f t="shared" si="11"/>
        <v>131110</v>
      </c>
    </row>
    <row r="352" spans="1:10">
      <c r="A352" s="115" t="s">
        <v>223</v>
      </c>
      <c r="B352" s="115" t="s">
        <v>224</v>
      </c>
      <c r="C352" s="115" t="s">
        <v>1616</v>
      </c>
      <c r="D352" s="115" t="s">
        <v>1617</v>
      </c>
      <c r="E352" s="133" t="str">
        <f t="shared" si="10"/>
        <v>1200000067PG-13900 WHITE DIVA F1 VN</v>
      </c>
      <c r="F352" s="133" t="s">
        <v>3246</v>
      </c>
      <c r="G352" s="133" t="s">
        <v>3881</v>
      </c>
      <c r="H352" s="133">
        <f>VLOOKUP(G352,'packing mapping'!A:B,2,0)</f>
        <v>20</v>
      </c>
      <c r="I352" s="137">
        <v>1764000</v>
      </c>
      <c r="J352" s="132">
        <f t="shared" si="11"/>
        <v>88200</v>
      </c>
    </row>
    <row r="353" spans="1:10">
      <c r="A353" s="115" t="s">
        <v>223</v>
      </c>
      <c r="B353" s="115" t="s">
        <v>224</v>
      </c>
      <c r="C353" s="115" t="s">
        <v>1618</v>
      </c>
      <c r="D353" s="115" t="s">
        <v>1619</v>
      </c>
      <c r="E353" s="133" t="str">
        <f t="shared" si="10"/>
        <v>1200000067SST-11100 YEL DIVA F1 VN</v>
      </c>
      <c r="F353" s="133" t="s">
        <v>3247</v>
      </c>
      <c r="G353" s="133" t="s">
        <v>3895</v>
      </c>
      <c r="H353" s="133">
        <f>VLOOKUP(G353,'packing mapping'!A:B,2,0)</f>
        <v>16</v>
      </c>
      <c r="I353" s="137">
        <v>1394912</v>
      </c>
      <c r="J353" s="132">
        <f t="shared" si="11"/>
        <v>87182</v>
      </c>
    </row>
    <row r="354" spans="1:10">
      <c r="A354" s="115" t="s">
        <v>223</v>
      </c>
      <c r="B354" s="115" t="s">
        <v>224</v>
      </c>
      <c r="C354" s="115" t="s">
        <v>1620</v>
      </c>
      <c r="D354" s="115" t="s">
        <v>1621</v>
      </c>
      <c r="E354" s="133" t="str">
        <f t="shared" si="10"/>
        <v>1200000067EQ-10200 YEL 2C05 F1 VN</v>
      </c>
      <c r="F354" s="133" t="s">
        <v>3248</v>
      </c>
      <c r="G354" s="133" t="s">
        <v>3895</v>
      </c>
      <c r="H354" s="133">
        <f>VLOOKUP(G354,'packing mapping'!A:B,2,0)</f>
        <v>16</v>
      </c>
      <c r="I354" s="137">
        <v>2822656</v>
      </c>
      <c r="J354" s="132">
        <f t="shared" si="11"/>
        <v>176416</v>
      </c>
    </row>
    <row r="355" spans="1:10">
      <c r="A355" s="115" t="s">
        <v>223</v>
      </c>
      <c r="B355" s="115" t="s">
        <v>224</v>
      </c>
      <c r="C355" s="115" t="s">
        <v>1622</v>
      </c>
      <c r="D355" s="115" t="s">
        <v>1623</v>
      </c>
      <c r="E355" s="133" t="str">
        <f t="shared" si="10"/>
        <v>1200000067TOL-76301 N WHITE 2C05  F1 VN</v>
      </c>
      <c r="F355" s="133" t="s">
        <v>3249</v>
      </c>
      <c r="G355" s="133" t="s">
        <v>3895</v>
      </c>
      <c r="H355" s="133">
        <f>VLOOKUP(G355,'packing mapping'!A:B,2,0)</f>
        <v>16</v>
      </c>
      <c r="I355" s="137">
        <v>1988032</v>
      </c>
      <c r="J355" s="132">
        <f t="shared" si="11"/>
        <v>124252</v>
      </c>
    </row>
    <row r="356" spans="1:10">
      <c r="A356" s="115" t="s">
        <v>223</v>
      </c>
      <c r="B356" s="115" t="s">
        <v>224</v>
      </c>
      <c r="C356" s="115" t="s">
        <v>1624</v>
      </c>
      <c r="D356" s="115" t="s">
        <v>1625</v>
      </c>
      <c r="E356" s="133" t="str">
        <f t="shared" si="10"/>
        <v>1200000067DC-12229 LC BLACK 10 VN</v>
      </c>
      <c r="F356" s="133" t="s">
        <v>3250</v>
      </c>
      <c r="G356" s="133" t="s">
        <v>3882</v>
      </c>
      <c r="H356" s="133">
        <f>VLOOKUP(G356,'packing mapping'!A:B,2,0)</f>
        <v>18</v>
      </c>
      <c r="I356" s="137">
        <v>2438550</v>
      </c>
      <c r="J356" s="132">
        <f t="shared" si="11"/>
        <v>135475</v>
      </c>
    </row>
    <row r="357" spans="1:10">
      <c r="A357" s="115" t="s">
        <v>223</v>
      </c>
      <c r="B357" s="115" t="s">
        <v>224</v>
      </c>
      <c r="C357" s="115" t="s">
        <v>1626</v>
      </c>
      <c r="D357" s="115" t="s">
        <v>1627</v>
      </c>
      <c r="E357" s="133" t="str">
        <f t="shared" si="10"/>
        <v>1200000067SST-11100 BL AQ03 01 F1 VN</v>
      </c>
      <c r="F357" s="133" t="s">
        <v>3251</v>
      </c>
      <c r="G357" s="133" t="s">
        <v>3895</v>
      </c>
      <c r="H357" s="133">
        <f>VLOOKUP(G357,'packing mapping'!A:B,2,0)</f>
        <v>16</v>
      </c>
      <c r="I357" s="137">
        <v>1263536</v>
      </c>
      <c r="J357" s="132">
        <f t="shared" si="11"/>
        <v>78971</v>
      </c>
    </row>
    <row r="358" spans="1:10">
      <c r="A358" s="115" t="s">
        <v>223</v>
      </c>
      <c r="B358" s="115" t="s">
        <v>224</v>
      </c>
      <c r="C358" s="115" t="s">
        <v>1628</v>
      </c>
      <c r="D358" s="115" t="s">
        <v>1629</v>
      </c>
      <c r="E358" s="133" t="str">
        <f t="shared" si="10"/>
        <v>1200000067SST-11100 BL AQ03 02 F1 VN</v>
      </c>
      <c r="F358" s="133" t="s">
        <v>3252</v>
      </c>
      <c r="G358" s="133" t="s">
        <v>3895</v>
      </c>
      <c r="H358" s="133">
        <f>VLOOKUP(G358,'packing mapping'!A:B,2,0)</f>
        <v>16</v>
      </c>
      <c r="I358" s="137">
        <v>1304096</v>
      </c>
      <c r="J358" s="132">
        <f t="shared" si="11"/>
        <v>81506</v>
      </c>
    </row>
    <row r="359" spans="1:10">
      <c r="A359" s="115" t="s">
        <v>223</v>
      </c>
      <c r="B359" s="115" t="s">
        <v>224</v>
      </c>
      <c r="C359" s="115" t="s">
        <v>1630</v>
      </c>
      <c r="D359" s="115" t="s">
        <v>1631</v>
      </c>
      <c r="E359" s="133" t="str">
        <f t="shared" si="10"/>
        <v>1200000067PST-12100 RED AQ03 F1 VN</v>
      </c>
      <c r="F359" s="133" t="s">
        <v>3253</v>
      </c>
      <c r="G359" s="133" t="s">
        <v>3895</v>
      </c>
      <c r="H359" s="133">
        <f>VLOOKUP(G359,'packing mapping'!A:B,2,0)</f>
        <v>16</v>
      </c>
      <c r="I359" s="137">
        <v>2040192</v>
      </c>
      <c r="J359" s="132">
        <f t="shared" si="11"/>
        <v>127512</v>
      </c>
    </row>
    <row r="360" spans="1:10">
      <c r="A360" s="115" t="s">
        <v>223</v>
      </c>
      <c r="B360" s="115" t="s">
        <v>224</v>
      </c>
      <c r="C360" s="115" t="s">
        <v>1632</v>
      </c>
      <c r="D360" s="115" t="s">
        <v>1633</v>
      </c>
      <c r="E360" s="133" t="str">
        <f t="shared" si="10"/>
        <v>1200000067PST-12100 YEL AQ23 01 F1 VN</v>
      </c>
      <c r="F360" s="133" t="s">
        <v>3254</v>
      </c>
      <c r="G360" s="133" t="s">
        <v>3895</v>
      </c>
      <c r="H360" s="133">
        <f>VLOOKUP(G360,'packing mapping'!A:B,2,0)</f>
        <v>16</v>
      </c>
      <c r="I360" s="137">
        <v>1698224</v>
      </c>
      <c r="J360" s="132">
        <f t="shared" si="11"/>
        <v>106139</v>
      </c>
    </row>
    <row r="361" spans="1:10">
      <c r="A361" s="115" t="s">
        <v>223</v>
      </c>
      <c r="B361" s="115" t="s">
        <v>224</v>
      </c>
      <c r="C361" s="115" t="s">
        <v>1634</v>
      </c>
      <c r="D361" s="115" t="s">
        <v>1635</v>
      </c>
      <c r="E361" s="133" t="str">
        <f t="shared" si="10"/>
        <v>1200000067PST-12100 YEL AQ23 02 F1 VN</v>
      </c>
      <c r="F361" s="133" t="s">
        <v>3255</v>
      </c>
      <c r="G361" s="133" t="s">
        <v>3895</v>
      </c>
      <c r="H361" s="133">
        <f>VLOOKUP(G361,'packing mapping'!A:B,2,0)</f>
        <v>16</v>
      </c>
      <c r="I361" s="137">
        <v>1620944</v>
      </c>
      <c r="J361" s="132">
        <f t="shared" si="11"/>
        <v>101309</v>
      </c>
    </row>
    <row r="362" spans="1:10">
      <c r="A362" s="115" t="s">
        <v>223</v>
      </c>
      <c r="B362" s="115" t="s">
        <v>224</v>
      </c>
      <c r="C362" s="115" t="s">
        <v>1636</v>
      </c>
      <c r="D362" s="115" t="s">
        <v>1637</v>
      </c>
      <c r="E362" s="133" t="str">
        <f t="shared" si="10"/>
        <v>1200000067PST-12100 YEL AQ25 01 F1 VN</v>
      </c>
      <c r="F362" s="133" t="s">
        <v>3256</v>
      </c>
      <c r="G362" s="133" t="s">
        <v>3895</v>
      </c>
      <c r="H362" s="133">
        <f>VLOOKUP(G362,'packing mapping'!A:B,2,0)</f>
        <v>16</v>
      </c>
      <c r="I362" s="137">
        <v>1918480</v>
      </c>
      <c r="J362" s="132">
        <f t="shared" si="11"/>
        <v>119905</v>
      </c>
    </row>
    <row r="363" spans="1:10">
      <c r="A363" s="115" t="s">
        <v>223</v>
      </c>
      <c r="B363" s="115" t="s">
        <v>224</v>
      </c>
      <c r="C363" s="115" t="s">
        <v>1638</v>
      </c>
      <c r="D363" s="115" t="s">
        <v>1639</v>
      </c>
      <c r="E363" s="133" t="str">
        <f t="shared" si="10"/>
        <v>1200000067PST-12100 YEL AQ25 02 F1 VN</v>
      </c>
      <c r="F363" s="133" t="s">
        <v>3257</v>
      </c>
      <c r="G363" s="133" t="s">
        <v>3895</v>
      </c>
      <c r="H363" s="133">
        <f>VLOOKUP(G363,'packing mapping'!A:B,2,0)</f>
        <v>16</v>
      </c>
      <c r="I363" s="137">
        <v>1705952</v>
      </c>
      <c r="J363" s="132">
        <f t="shared" si="11"/>
        <v>106622</v>
      </c>
    </row>
    <row r="364" spans="1:10">
      <c r="A364" s="115" t="s">
        <v>223</v>
      </c>
      <c r="B364" s="115" t="s">
        <v>224</v>
      </c>
      <c r="C364" s="115" t="s">
        <v>1640</v>
      </c>
      <c r="D364" s="115" t="s">
        <v>1641</v>
      </c>
      <c r="E364" s="133" t="str">
        <f t="shared" si="10"/>
        <v>1200000067TOL-76301 N YEL AQ 02 F1 VN</v>
      </c>
      <c r="F364" s="133" t="s">
        <v>3258</v>
      </c>
      <c r="G364" s="133" t="s">
        <v>3895</v>
      </c>
      <c r="H364" s="133">
        <f>VLOOKUP(G364,'packing mapping'!A:B,2,0)</f>
        <v>16</v>
      </c>
      <c r="I364" s="137">
        <v>1566848</v>
      </c>
      <c r="J364" s="132">
        <f t="shared" si="11"/>
        <v>97928</v>
      </c>
    </row>
    <row r="365" spans="1:10">
      <c r="A365" s="115" t="s">
        <v>223</v>
      </c>
      <c r="B365" s="115" t="s">
        <v>224</v>
      </c>
      <c r="C365" s="115" t="s">
        <v>1642</v>
      </c>
      <c r="D365" s="115" t="s">
        <v>1643</v>
      </c>
      <c r="E365" s="133" t="str">
        <f t="shared" si="10"/>
        <v>1200000067SST-11100 BRO AQ04 F1 VN</v>
      </c>
      <c r="F365" s="133" t="s">
        <v>3259</v>
      </c>
      <c r="G365" s="133" t="s">
        <v>3895</v>
      </c>
      <c r="H365" s="133">
        <f>VLOOKUP(G365,'packing mapping'!A:B,2,0)</f>
        <v>16</v>
      </c>
      <c r="I365" s="137">
        <v>1354336</v>
      </c>
      <c r="J365" s="132">
        <f t="shared" si="11"/>
        <v>84646</v>
      </c>
    </row>
    <row r="366" spans="1:10">
      <c r="A366" s="115" t="s">
        <v>223</v>
      </c>
      <c r="B366" s="115" t="s">
        <v>224</v>
      </c>
      <c r="C366" s="115" t="s">
        <v>1644</v>
      </c>
      <c r="D366" s="115" t="s">
        <v>1645</v>
      </c>
      <c r="E366" s="133" t="str">
        <f t="shared" si="10"/>
        <v>1200000067SST-11100 BL AQ04 F1 VN</v>
      </c>
      <c r="F366" s="133" t="s">
        <v>3260</v>
      </c>
      <c r="G366" s="133" t="s">
        <v>3895</v>
      </c>
      <c r="H366" s="133">
        <f>VLOOKUP(G366,'packing mapping'!A:B,2,0)</f>
        <v>16</v>
      </c>
      <c r="I366" s="137">
        <v>1344672</v>
      </c>
      <c r="J366" s="132">
        <f t="shared" si="11"/>
        <v>84042</v>
      </c>
    </row>
    <row r="367" spans="1:10">
      <c r="A367" s="115" t="s">
        <v>223</v>
      </c>
      <c r="B367" s="115" t="s">
        <v>224</v>
      </c>
      <c r="C367" s="115" t="s">
        <v>1646</v>
      </c>
      <c r="D367" s="115" t="s">
        <v>1647</v>
      </c>
      <c r="E367" s="133" t="str">
        <f t="shared" si="10"/>
        <v>1200000067PST-12100 BRO AQ01 F1 VN</v>
      </c>
      <c r="F367" s="133" t="s">
        <v>3261</v>
      </c>
      <c r="G367" s="133" t="s">
        <v>3895</v>
      </c>
      <c r="H367" s="133">
        <f>VLOOKUP(G367,'packing mapping'!A:B,2,0)</f>
        <v>16</v>
      </c>
      <c r="I367" s="137">
        <v>2082704</v>
      </c>
      <c r="J367" s="132">
        <f t="shared" si="11"/>
        <v>130169</v>
      </c>
    </row>
    <row r="368" spans="1:10">
      <c r="A368" s="115" t="s">
        <v>223</v>
      </c>
      <c r="B368" s="115" t="s">
        <v>224</v>
      </c>
      <c r="C368" s="115" t="s">
        <v>1648</v>
      </c>
      <c r="D368" s="115" t="s">
        <v>1649</v>
      </c>
      <c r="E368" s="133" t="str">
        <f t="shared" si="10"/>
        <v>1200000067PST-12100 RED AQ01 F1 VN</v>
      </c>
      <c r="F368" s="133" t="s">
        <v>3262</v>
      </c>
      <c r="G368" s="133" t="s">
        <v>3895</v>
      </c>
      <c r="H368" s="133">
        <f>VLOOKUP(G368,'packing mapping'!A:B,2,0)</f>
        <v>16</v>
      </c>
      <c r="I368" s="137">
        <v>1723344</v>
      </c>
      <c r="J368" s="132">
        <f t="shared" si="11"/>
        <v>107709</v>
      </c>
    </row>
    <row r="369" spans="1:10">
      <c r="A369" s="115" t="s">
        <v>223</v>
      </c>
      <c r="B369" s="115" t="s">
        <v>224</v>
      </c>
      <c r="C369" s="115" t="s">
        <v>1650</v>
      </c>
      <c r="D369" s="115" t="s">
        <v>1651</v>
      </c>
      <c r="E369" s="133" t="str">
        <f t="shared" si="10"/>
        <v>1200000067PCL-31300 YEL DISCO 18 F1 VN</v>
      </c>
      <c r="F369" s="133" t="s">
        <v>3263</v>
      </c>
      <c r="G369" s="133" t="s">
        <v>3895</v>
      </c>
      <c r="H369" s="133">
        <f>VLOOKUP(G369,'packing mapping'!A:B,2,0)</f>
        <v>16</v>
      </c>
      <c r="I369" s="137">
        <v>1350464</v>
      </c>
      <c r="J369" s="132">
        <f t="shared" si="11"/>
        <v>84404</v>
      </c>
    </row>
    <row r="370" spans="1:10">
      <c r="A370" s="115" t="s">
        <v>223</v>
      </c>
      <c r="B370" s="115" t="s">
        <v>224</v>
      </c>
      <c r="C370" s="115" t="s">
        <v>1652</v>
      </c>
      <c r="D370" s="115" t="s">
        <v>1653</v>
      </c>
      <c r="E370" s="133" t="str">
        <f t="shared" si="10"/>
        <v>1200000067PCL-31300 RED DISCO 18 F1 VN</v>
      </c>
      <c r="F370" s="133" t="s">
        <v>3264</v>
      </c>
      <c r="G370" s="133" t="s">
        <v>3895</v>
      </c>
      <c r="H370" s="133">
        <f>VLOOKUP(G370,'packing mapping'!A:B,2,0)</f>
        <v>16</v>
      </c>
      <c r="I370" s="137">
        <v>1294448</v>
      </c>
      <c r="J370" s="132">
        <f t="shared" si="11"/>
        <v>80903</v>
      </c>
    </row>
    <row r="371" spans="1:10">
      <c r="A371" s="115" t="s">
        <v>223</v>
      </c>
      <c r="B371" s="115" t="s">
        <v>224</v>
      </c>
      <c r="C371" s="115" t="s">
        <v>1654</v>
      </c>
      <c r="D371" s="115" t="s">
        <v>1655</v>
      </c>
      <c r="E371" s="133" t="str">
        <f t="shared" si="10"/>
        <v>1200000067PCL-31300 XAM VSHW11 LAU F1 VN</v>
      </c>
      <c r="F371" s="133" t="s">
        <v>3265</v>
      </c>
      <c r="G371" s="133" t="s">
        <v>3895</v>
      </c>
      <c r="H371" s="133">
        <f>VLOOKUP(G371,'packing mapping'!A:B,2,0)</f>
        <v>16</v>
      </c>
      <c r="I371" s="137">
        <v>1389104</v>
      </c>
      <c r="J371" s="132">
        <f t="shared" si="11"/>
        <v>86819</v>
      </c>
    </row>
    <row r="372" spans="1:10">
      <c r="A372" s="115" t="s">
        <v>223</v>
      </c>
      <c r="B372" s="115" t="s">
        <v>224</v>
      </c>
      <c r="C372" s="115" t="s">
        <v>1656</v>
      </c>
      <c r="D372" s="115" t="s">
        <v>1657</v>
      </c>
      <c r="E372" s="133" t="str">
        <f t="shared" si="10"/>
        <v>1200000067PCL-31300 WHITE VSHW11 DAM F1 VN</v>
      </c>
      <c r="F372" s="133" t="s">
        <v>3266</v>
      </c>
      <c r="G372" s="133" t="s">
        <v>3895</v>
      </c>
      <c r="H372" s="133">
        <f>VLOOKUP(G372,'packing mapping'!A:B,2,0)</f>
        <v>16</v>
      </c>
      <c r="I372" s="137">
        <v>1342736</v>
      </c>
      <c r="J372" s="132">
        <f t="shared" si="11"/>
        <v>83921</v>
      </c>
    </row>
    <row r="373" spans="1:10">
      <c r="A373" s="115" t="s">
        <v>223</v>
      </c>
      <c r="B373" s="115" t="s">
        <v>224</v>
      </c>
      <c r="C373" s="115" t="s">
        <v>1658</v>
      </c>
      <c r="D373" s="115" t="s">
        <v>1659</v>
      </c>
      <c r="E373" s="133" t="str">
        <f t="shared" si="10"/>
        <v>1200000067PST-12100 YEL W03 LAU F1 VN</v>
      </c>
      <c r="F373" s="133" t="s">
        <v>3267</v>
      </c>
      <c r="G373" s="133" t="s">
        <v>3895</v>
      </c>
      <c r="H373" s="133">
        <f>VLOOKUP(G373,'packing mapping'!A:B,2,0)</f>
        <v>16</v>
      </c>
      <c r="I373" s="137">
        <v>1966784</v>
      </c>
      <c r="J373" s="132">
        <f t="shared" si="11"/>
        <v>122924</v>
      </c>
    </row>
    <row r="374" spans="1:10">
      <c r="A374" s="115" t="s">
        <v>223</v>
      </c>
      <c r="B374" s="115" t="s">
        <v>224</v>
      </c>
      <c r="C374" s="115" t="s">
        <v>1660</v>
      </c>
      <c r="D374" s="115" t="s">
        <v>1661</v>
      </c>
      <c r="E374" s="133" t="str">
        <f t="shared" si="10"/>
        <v>1200000067PST-12100 BRO W03 DAM F1 VN</v>
      </c>
      <c r="F374" s="133" t="s">
        <v>3268</v>
      </c>
      <c r="G374" s="133" t="s">
        <v>3895</v>
      </c>
      <c r="H374" s="133">
        <f>VLOOKUP(G374,'packing mapping'!A:B,2,0)</f>
        <v>16</v>
      </c>
      <c r="I374" s="137">
        <v>1850864</v>
      </c>
      <c r="J374" s="132">
        <f t="shared" si="11"/>
        <v>115679</v>
      </c>
    </row>
    <row r="375" spans="1:10">
      <c r="A375" s="115" t="s">
        <v>223</v>
      </c>
      <c r="B375" s="115" t="s">
        <v>224</v>
      </c>
      <c r="C375" s="115" t="s">
        <v>1662</v>
      </c>
      <c r="D375" s="115" t="s">
        <v>1663</v>
      </c>
      <c r="E375" s="133" t="str">
        <f t="shared" si="10"/>
        <v>1200000067PG-13900 WHITE W03 F1 VN</v>
      </c>
      <c r="F375" s="133" t="s">
        <v>3269</v>
      </c>
      <c r="G375" s="133" t="s">
        <v>3881</v>
      </c>
      <c r="H375" s="133">
        <f>VLOOKUP(G375,'packing mapping'!A:B,2,0)</f>
        <v>20</v>
      </c>
      <c r="I375" s="137">
        <v>1827940</v>
      </c>
      <c r="J375" s="132">
        <f t="shared" si="11"/>
        <v>91397</v>
      </c>
    </row>
    <row r="376" spans="1:10">
      <c r="A376" s="115" t="s">
        <v>223</v>
      </c>
      <c r="B376" s="115" t="s">
        <v>224</v>
      </c>
      <c r="C376" s="115" t="s">
        <v>1664</v>
      </c>
      <c r="D376" s="115" t="s">
        <v>1665</v>
      </c>
      <c r="E376" s="133" t="str">
        <f t="shared" si="10"/>
        <v>1200000067PUC-54206 AC EX BLACK 15 VN</v>
      </c>
      <c r="F376" s="133" t="s">
        <v>3270</v>
      </c>
      <c r="G376" s="133" t="s">
        <v>3882</v>
      </c>
      <c r="H376" s="133">
        <f>VLOOKUP(G376,'packing mapping'!A:B,2,0)</f>
        <v>18</v>
      </c>
      <c r="I376" s="137">
        <v>3671334</v>
      </c>
      <c r="J376" s="132">
        <f t="shared" si="11"/>
        <v>203963</v>
      </c>
    </row>
    <row r="377" spans="1:10">
      <c r="A377" s="115" t="s">
        <v>223</v>
      </c>
      <c r="B377" s="115" t="s">
        <v>224</v>
      </c>
      <c r="C377" s="115" t="s">
        <v>1666</v>
      </c>
      <c r="D377" s="115" t="s">
        <v>1667</v>
      </c>
      <c r="E377" s="133" t="str">
        <f t="shared" si="10"/>
        <v>1200000067PUP-52142 ACR BLACK SP VN</v>
      </c>
      <c r="F377" s="133" t="s">
        <v>3271</v>
      </c>
      <c r="G377" s="133" t="s">
        <v>3881</v>
      </c>
      <c r="H377" s="133">
        <f>VLOOKUP(G377,'packing mapping'!A:B,2,0)</f>
        <v>20</v>
      </c>
      <c r="I377" s="137">
        <v>2641600</v>
      </c>
      <c r="J377" s="132">
        <f t="shared" si="11"/>
        <v>132080</v>
      </c>
    </row>
    <row r="378" spans="1:10">
      <c r="A378" s="115" t="s">
        <v>223</v>
      </c>
      <c r="B378" s="115" t="s">
        <v>224</v>
      </c>
      <c r="C378" s="115" t="s">
        <v>1668</v>
      </c>
      <c r="D378" s="115" t="s">
        <v>1669</v>
      </c>
      <c r="E378" s="133" t="str">
        <f t="shared" si="10"/>
        <v>1200000067PUP-52142 ACR WHITE SP VN</v>
      </c>
      <c r="F378" s="133" t="s">
        <v>3272</v>
      </c>
      <c r="G378" s="133" t="s">
        <v>3881</v>
      </c>
      <c r="H378" s="133">
        <f>VLOOKUP(G378,'packing mapping'!A:B,2,0)</f>
        <v>20</v>
      </c>
      <c r="I378" s="137">
        <v>2403460</v>
      </c>
      <c r="J378" s="132">
        <f t="shared" si="11"/>
        <v>120173</v>
      </c>
    </row>
    <row r="379" spans="1:10">
      <c r="A379" s="115" t="s">
        <v>223</v>
      </c>
      <c r="B379" s="115" t="s">
        <v>224</v>
      </c>
      <c r="C379" s="115" t="s">
        <v>1670</v>
      </c>
      <c r="D379" s="115" t="s">
        <v>1671</v>
      </c>
      <c r="E379" s="133" t="str">
        <f t="shared" si="10"/>
        <v>1200000067PUH-56142 SP VN</v>
      </c>
      <c r="F379" s="133" t="s">
        <v>3273</v>
      </c>
      <c r="G379" s="133" t="s">
        <v>3881</v>
      </c>
      <c r="H379" s="133">
        <f>VLOOKUP(G379,'packing mapping'!A:B,2,0)</f>
        <v>20</v>
      </c>
      <c r="I379" s="137">
        <v>1686820</v>
      </c>
      <c r="J379" s="132">
        <f t="shared" si="11"/>
        <v>84341</v>
      </c>
    </row>
    <row r="380" spans="1:10">
      <c r="A380" s="115" t="s">
        <v>223</v>
      </c>
      <c r="B380" s="115" t="s">
        <v>224</v>
      </c>
      <c r="C380" s="115" t="s">
        <v>1672</v>
      </c>
      <c r="D380" s="115" t="s">
        <v>1673</v>
      </c>
      <c r="E380" s="133" t="str">
        <f t="shared" si="10"/>
        <v>1200000067PST-12100 C10 RED VN</v>
      </c>
      <c r="F380" s="133" t="s">
        <v>3274</v>
      </c>
      <c r="G380" s="133" t="s">
        <v>3883</v>
      </c>
      <c r="H380" s="133">
        <f>VLOOKUP(G380,'packing mapping'!A:B,2,0)</f>
        <v>4</v>
      </c>
      <c r="I380" s="137">
        <v>1424432</v>
      </c>
      <c r="J380" s="132">
        <f t="shared" si="11"/>
        <v>356108</v>
      </c>
    </row>
    <row r="381" spans="1:10">
      <c r="A381" s="115" t="s">
        <v>223</v>
      </c>
      <c r="B381" s="115" t="s">
        <v>224</v>
      </c>
      <c r="C381" s="115" t="s">
        <v>1674</v>
      </c>
      <c r="D381" s="115" t="s">
        <v>1675</v>
      </c>
      <c r="E381" s="133" t="str">
        <f t="shared" si="10"/>
        <v>1200000067PCL-31300 LIGHTTEAK L LAU F1 VN</v>
      </c>
      <c r="F381" s="133" t="s">
        <v>3275</v>
      </c>
      <c r="G381" s="133" t="s">
        <v>3895</v>
      </c>
      <c r="H381" s="133">
        <f>VLOOKUP(G381,'packing mapping'!A:B,2,0)</f>
        <v>16</v>
      </c>
      <c r="I381" s="137">
        <v>1311824</v>
      </c>
      <c r="J381" s="132">
        <f t="shared" si="11"/>
        <v>81989</v>
      </c>
    </row>
    <row r="382" spans="1:10">
      <c r="A382" s="115" t="s">
        <v>223</v>
      </c>
      <c r="B382" s="115" t="s">
        <v>224</v>
      </c>
      <c r="C382" s="115" t="s">
        <v>1676</v>
      </c>
      <c r="D382" s="115" t="s">
        <v>1677</v>
      </c>
      <c r="E382" s="133" t="str">
        <f t="shared" si="10"/>
        <v>1200000067PCL-31300 LIGHTTEAK L DAM F1 VN</v>
      </c>
      <c r="F382" s="133" t="s">
        <v>3276</v>
      </c>
      <c r="G382" s="133" t="s">
        <v>3895</v>
      </c>
      <c r="H382" s="133">
        <f>VLOOKUP(G382,'packing mapping'!A:B,2,0)</f>
        <v>16</v>
      </c>
      <c r="I382" s="137">
        <v>1336944</v>
      </c>
      <c r="J382" s="132">
        <f t="shared" si="11"/>
        <v>83559</v>
      </c>
    </row>
    <row r="383" spans="1:10">
      <c r="A383" s="115" t="s">
        <v>223</v>
      </c>
      <c r="B383" s="115" t="s">
        <v>224</v>
      </c>
      <c r="C383" s="115" t="s">
        <v>1678</v>
      </c>
      <c r="D383" s="115" t="s">
        <v>1679</v>
      </c>
      <c r="E383" s="133" t="str">
        <f t="shared" si="10"/>
        <v>1200000067PUP-54106 AC EX YEL W07 F1 VN</v>
      </c>
      <c r="F383" s="133" t="s">
        <v>3277</v>
      </c>
      <c r="G383" s="133" t="s">
        <v>3881</v>
      </c>
      <c r="H383" s="133">
        <f>VLOOKUP(G383,'packing mapping'!A:B,2,0)</f>
        <v>20</v>
      </c>
      <c r="I383" s="137">
        <v>3228000</v>
      </c>
      <c r="J383" s="132">
        <f t="shared" si="11"/>
        <v>161400</v>
      </c>
    </row>
    <row r="384" spans="1:10">
      <c r="A384" s="115" t="s">
        <v>223</v>
      </c>
      <c r="B384" s="115" t="s">
        <v>224</v>
      </c>
      <c r="C384" s="115" t="s">
        <v>1680</v>
      </c>
      <c r="D384" s="115" t="s">
        <v>1681</v>
      </c>
      <c r="E384" s="133" t="str">
        <f t="shared" si="10"/>
        <v>1200000067PST-12100 YEL W07 DAM F1 VN</v>
      </c>
      <c r="F384" s="133" t="s">
        <v>3278</v>
      </c>
      <c r="G384" s="133" t="s">
        <v>3895</v>
      </c>
      <c r="H384" s="133">
        <f>VLOOKUP(G384,'packing mapping'!A:B,2,0)</f>
        <v>16</v>
      </c>
      <c r="I384" s="137">
        <v>2112000</v>
      </c>
      <c r="J384" s="132">
        <f t="shared" si="11"/>
        <v>132000</v>
      </c>
    </row>
    <row r="385" spans="1:10">
      <c r="A385" s="115" t="s">
        <v>950</v>
      </c>
      <c r="B385" s="115" t="s">
        <v>951</v>
      </c>
      <c r="C385" s="115" t="s">
        <v>1192</v>
      </c>
      <c r="D385" s="115" t="s">
        <v>1193</v>
      </c>
      <c r="E385" s="133" t="str">
        <f t="shared" si="10"/>
        <v>1200001006PCL-31300 BLACK PASTE</v>
      </c>
      <c r="F385" s="133" t="s">
        <v>3050</v>
      </c>
      <c r="G385" s="133" t="s">
        <v>3883</v>
      </c>
      <c r="H385" s="133">
        <f>VLOOKUP(G385,'packing mapping'!A:B,2,0)</f>
        <v>4</v>
      </c>
      <c r="I385" s="137">
        <v>2144000</v>
      </c>
      <c r="J385" s="132">
        <f t="shared" si="11"/>
        <v>536000</v>
      </c>
    </row>
    <row r="386" spans="1:10">
      <c r="A386" s="115" t="s">
        <v>950</v>
      </c>
      <c r="B386" s="115" t="s">
        <v>951</v>
      </c>
      <c r="C386" s="115" t="s">
        <v>1194</v>
      </c>
      <c r="D386" s="115" t="s">
        <v>1195</v>
      </c>
      <c r="E386" s="133" t="str">
        <f t="shared" si="10"/>
        <v>1200001006PCL-31300 BLUE OG PASTE</v>
      </c>
      <c r="F386" s="133" t="s">
        <v>3051</v>
      </c>
      <c r="G386" s="133" t="s">
        <v>3883</v>
      </c>
      <c r="H386" s="133">
        <f>VLOOKUP(G386,'packing mapping'!A:B,2,0)</f>
        <v>4</v>
      </c>
      <c r="I386" s="137">
        <v>1773600</v>
      </c>
      <c r="J386" s="132">
        <f t="shared" si="11"/>
        <v>443400</v>
      </c>
    </row>
    <row r="387" spans="1:10">
      <c r="A387" s="115" t="s">
        <v>950</v>
      </c>
      <c r="B387" s="115" t="s">
        <v>951</v>
      </c>
      <c r="C387" s="115" t="s">
        <v>1380</v>
      </c>
      <c r="D387" s="115" t="s">
        <v>1381</v>
      </c>
      <c r="E387" s="133" t="str">
        <f t="shared" ref="E387:E450" si="12">A387&amp;F387</f>
        <v>1200001006PCL-31300 OXIDE RED PASTE</v>
      </c>
      <c r="F387" s="133" t="s">
        <v>3140</v>
      </c>
      <c r="G387" s="133" t="s">
        <v>3883</v>
      </c>
      <c r="H387" s="133">
        <f>VLOOKUP(G387,'packing mapping'!A:B,2,0)</f>
        <v>4</v>
      </c>
      <c r="I387" s="137">
        <v>1672000</v>
      </c>
      <c r="J387" s="132">
        <f t="shared" ref="J387:J450" si="13">I387/H387</f>
        <v>418000</v>
      </c>
    </row>
    <row r="388" spans="1:10">
      <c r="A388" s="115" t="s">
        <v>950</v>
      </c>
      <c r="B388" s="115" t="s">
        <v>951</v>
      </c>
      <c r="C388" s="115" t="s">
        <v>1384</v>
      </c>
      <c r="D388" s="115" t="s">
        <v>1385</v>
      </c>
      <c r="E388" s="133" t="str">
        <f t="shared" si="12"/>
        <v>1200001006PCL-31300 VIOLET PASTE</v>
      </c>
      <c r="F388" s="133" t="s">
        <v>3142</v>
      </c>
      <c r="G388" s="133" t="s">
        <v>3883</v>
      </c>
      <c r="H388" s="133">
        <f>VLOOKUP(G388,'packing mapping'!A:B,2,0)</f>
        <v>4</v>
      </c>
      <c r="I388" s="137">
        <v>1665600</v>
      </c>
      <c r="J388" s="132">
        <f t="shared" si="13"/>
        <v>416400</v>
      </c>
    </row>
    <row r="389" spans="1:10">
      <c r="A389" s="115" t="s">
        <v>950</v>
      </c>
      <c r="B389" s="115" t="s">
        <v>951</v>
      </c>
      <c r="C389" s="115" t="s">
        <v>1202</v>
      </c>
      <c r="D389" s="115" t="s">
        <v>1203</v>
      </c>
      <c r="E389" s="133" t="str">
        <f t="shared" si="12"/>
        <v>1200001006PCL-31300 WHITE PASTE</v>
      </c>
      <c r="F389" s="133" t="s">
        <v>3055</v>
      </c>
      <c r="G389" s="133" t="s">
        <v>3883</v>
      </c>
      <c r="H389" s="133">
        <f>VLOOKUP(G389,'packing mapping'!A:B,2,0)</f>
        <v>4</v>
      </c>
      <c r="I389" s="137">
        <v>865600</v>
      </c>
      <c r="J389" s="132">
        <f t="shared" si="13"/>
        <v>216400</v>
      </c>
    </row>
    <row r="390" spans="1:10">
      <c r="A390" s="115" t="s">
        <v>950</v>
      </c>
      <c r="B390" s="115" t="s">
        <v>951</v>
      </c>
      <c r="C390" s="115" t="s">
        <v>1204</v>
      </c>
      <c r="D390" s="115" t="s">
        <v>1205</v>
      </c>
      <c r="E390" s="133" t="str">
        <f t="shared" si="12"/>
        <v>1200001006PCL-31300 YELLOW OG 16 PASTE</v>
      </c>
      <c r="F390" s="133" t="s">
        <v>3056</v>
      </c>
      <c r="G390" s="133" t="s">
        <v>3883</v>
      </c>
      <c r="H390" s="133">
        <f>VLOOKUP(G390,'packing mapping'!A:B,2,0)</f>
        <v>4</v>
      </c>
      <c r="I390" s="137">
        <v>3986800</v>
      </c>
      <c r="J390" s="132">
        <f t="shared" si="13"/>
        <v>996700</v>
      </c>
    </row>
    <row r="391" spans="1:10">
      <c r="A391" s="115" t="s">
        <v>950</v>
      </c>
      <c r="B391" s="115" t="s">
        <v>951</v>
      </c>
      <c r="C391" s="115" t="s">
        <v>1386</v>
      </c>
      <c r="D391" s="115" t="s">
        <v>1387</v>
      </c>
      <c r="E391" s="133" t="str">
        <f t="shared" si="12"/>
        <v>1200001006PUC-54205 AC WHITE 90 VN</v>
      </c>
      <c r="F391" s="133" t="s">
        <v>3143</v>
      </c>
      <c r="G391" s="133" t="s">
        <v>3881</v>
      </c>
      <c r="H391" s="133">
        <f>VLOOKUP(G391,'packing mapping'!A:B,2,0)</f>
        <v>20</v>
      </c>
      <c r="I391" s="137">
        <v>3166000</v>
      </c>
      <c r="J391" s="132">
        <f t="shared" si="13"/>
        <v>158300</v>
      </c>
    </row>
    <row r="392" spans="1:10">
      <c r="A392" s="115" t="s">
        <v>950</v>
      </c>
      <c r="B392" s="115" t="s">
        <v>951</v>
      </c>
      <c r="C392" s="115" t="s">
        <v>1388</v>
      </c>
      <c r="D392" s="115" t="s">
        <v>1389</v>
      </c>
      <c r="E392" s="133" t="str">
        <f t="shared" si="12"/>
        <v>1200001006PUC-54205 AC WHITE 10 VN</v>
      </c>
      <c r="F392" s="133" t="s">
        <v>3144</v>
      </c>
      <c r="G392" s="133" t="s">
        <v>3881</v>
      </c>
      <c r="H392" s="133">
        <f>VLOOKUP(G392,'packing mapping'!A:B,2,0)</f>
        <v>20</v>
      </c>
      <c r="I392" s="137">
        <v>3316000</v>
      </c>
      <c r="J392" s="132">
        <f t="shared" si="13"/>
        <v>165800</v>
      </c>
    </row>
    <row r="393" spans="1:10">
      <c r="A393" s="115" t="s">
        <v>950</v>
      </c>
      <c r="B393" s="115" t="s">
        <v>951</v>
      </c>
      <c r="C393" s="115" t="s">
        <v>1210</v>
      </c>
      <c r="D393" s="115" t="s">
        <v>1211</v>
      </c>
      <c r="E393" s="133" t="str">
        <f t="shared" si="12"/>
        <v>1200001006PUH-56306 LY VN</v>
      </c>
      <c r="F393" s="133" t="s">
        <v>3059</v>
      </c>
      <c r="G393" s="133" t="s">
        <v>3879</v>
      </c>
      <c r="H393" s="133">
        <f>VLOOKUP(G393,'packing mapping'!A:B,2,0)</f>
        <v>20</v>
      </c>
      <c r="I393" s="137">
        <v>2900400</v>
      </c>
      <c r="J393" s="132">
        <f t="shared" si="13"/>
        <v>145020</v>
      </c>
    </row>
    <row r="394" spans="1:10">
      <c r="A394" s="115" t="s">
        <v>950</v>
      </c>
      <c r="B394" s="115" t="s">
        <v>951</v>
      </c>
      <c r="C394" s="115" t="s">
        <v>1396</v>
      </c>
      <c r="D394" s="115" t="s">
        <v>1397</v>
      </c>
      <c r="E394" s="133" t="str">
        <f t="shared" si="12"/>
        <v>1200001006PUL-53306 AC EX CLEAR 10 VN</v>
      </c>
      <c r="F394" s="133" t="s">
        <v>3148</v>
      </c>
      <c r="G394" s="133" t="s">
        <v>3879</v>
      </c>
      <c r="H394" s="133">
        <f>VLOOKUP(G394,'packing mapping'!A:B,2,0)</f>
        <v>20</v>
      </c>
      <c r="I394" s="137">
        <v>3558000</v>
      </c>
      <c r="J394" s="132">
        <f t="shared" si="13"/>
        <v>177900</v>
      </c>
    </row>
    <row r="395" spans="1:10">
      <c r="A395" s="115" t="s">
        <v>950</v>
      </c>
      <c r="B395" s="115" t="s">
        <v>951</v>
      </c>
      <c r="C395" s="115" t="s">
        <v>1216</v>
      </c>
      <c r="D395" s="115" t="s">
        <v>1217</v>
      </c>
      <c r="E395" s="133" t="str">
        <f t="shared" si="12"/>
        <v>1200001006PUL-53306 AC EX CLEAR 90 VN</v>
      </c>
      <c r="F395" s="133" t="s">
        <v>3062</v>
      </c>
      <c r="G395" s="133" t="s">
        <v>3879</v>
      </c>
      <c r="H395" s="133">
        <f>VLOOKUP(G395,'packing mapping'!A:B,2,0)</f>
        <v>20</v>
      </c>
      <c r="I395" s="137">
        <v>2500000</v>
      </c>
      <c r="J395" s="132">
        <f t="shared" si="13"/>
        <v>125000</v>
      </c>
    </row>
    <row r="396" spans="1:10">
      <c r="A396" s="115" t="s">
        <v>950</v>
      </c>
      <c r="B396" s="115" t="s">
        <v>951</v>
      </c>
      <c r="C396" s="115" t="s">
        <v>1220</v>
      </c>
      <c r="D396" s="115" t="s">
        <v>1221</v>
      </c>
      <c r="E396" s="133" t="str">
        <f t="shared" si="12"/>
        <v>1200001006SST-11100 C10 BLACK</v>
      </c>
      <c r="F396" s="133" t="s">
        <v>3064</v>
      </c>
      <c r="G396" s="133" t="s">
        <v>3883</v>
      </c>
      <c r="H396" s="133">
        <f>VLOOKUP(G396,'packing mapping'!A:B,2,0)</f>
        <v>4</v>
      </c>
      <c r="I396" s="137">
        <v>748000</v>
      </c>
      <c r="J396" s="132">
        <f t="shared" si="13"/>
        <v>187000</v>
      </c>
    </row>
    <row r="397" spans="1:10">
      <c r="A397" s="115" t="s">
        <v>950</v>
      </c>
      <c r="B397" s="115" t="s">
        <v>951</v>
      </c>
      <c r="C397" s="115" t="s">
        <v>1222</v>
      </c>
      <c r="D397" s="115" t="s">
        <v>1223</v>
      </c>
      <c r="E397" s="133" t="str">
        <f t="shared" si="12"/>
        <v>1200001006SST-11100 C10 BLUE</v>
      </c>
      <c r="F397" s="133" t="s">
        <v>3065</v>
      </c>
      <c r="G397" s="133" t="s">
        <v>3883</v>
      </c>
      <c r="H397" s="133">
        <f>VLOOKUP(G397,'packing mapping'!A:B,2,0)</f>
        <v>4</v>
      </c>
      <c r="I397" s="137">
        <v>2430800</v>
      </c>
      <c r="J397" s="132">
        <f t="shared" si="13"/>
        <v>607700</v>
      </c>
    </row>
    <row r="398" spans="1:10">
      <c r="A398" s="115" t="s">
        <v>950</v>
      </c>
      <c r="B398" s="115" t="s">
        <v>951</v>
      </c>
      <c r="C398" s="115" t="s">
        <v>1224</v>
      </c>
      <c r="D398" s="115" t="s">
        <v>1225</v>
      </c>
      <c r="E398" s="133" t="str">
        <f t="shared" si="12"/>
        <v>1200001006SST-11100 C10 ORANGE</v>
      </c>
      <c r="F398" s="133" t="s">
        <v>3066</v>
      </c>
      <c r="G398" s="133" t="s">
        <v>3883</v>
      </c>
      <c r="H398" s="133">
        <f>VLOOKUP(G398,'packing mapping'!A:B,2,0)</f>
        <v>4</v>
      </c>
      <c r="I398" s="137">
        <v>684400</v>
      </c>
      <c r="J398" s="132">
        <f t="shared" si="13"/>
        <v>171100</v>
      </c>
    </row>
    <row r="399" spans="1:10">
      <c r="A399" s="115" t="s">
        <v>950</v>
      </c>
      <c r="B399" s="115" t="s">
        <v>951</v>
      </c>
      <c r="C399" s="115" t="s">
        <v>1226</v>
      </c>
      <c r="D399" s="115" t="s">
        <v>1227</v>
      </c>
      <c r="E399" s="133" t="str">
        <f t="shared" si="12"/>
        <v>1200001006SST-11100 C10 RED</v>
      </c>
      <c r="F399" s="133" t="s">
        <v>3067</v>
      </c>
      <c r="G399" s="133" t="s">
        <v>3883</v>
      </c>
      <c r="H399" s="133">
        <f>VLOOKUP(G399,'packing mapping'!A:B,2,0)</f>
        <v>4</v>
      </c>
      <c r="I399" s="137">
        <v>752800</v>
      </c>
      <c r="J399" s="132">
        <f t="shared" si="13"/>
        <v>188200</v>
      </c>
    </row>
    <row r="400" spans="1:10">
      <c r="A400" s="115" t="s">
        <v>950</v>
      </c>
      <c r="B400" s="115" t="s">
        <v>951</v>
      </c>
      <c r="C400" s="115" t="s">
        <v>1228</v>
      </c>
      <c r="D400" s="115" t="s">
        <v>1229</v>
      </c>
      <c r="E400" s="133" t="str">
        <f t="shared" si="12"/>
        <v>1200001006SST-11100 C10 YELLOW</v>
      </c>
      <c r="F400" s="133" t="s">
        <v>3068</v>
      </c>
      <c r="G400" s="133" t="s">
        <v>3883</v>
      </c>
      <c r="H400" s="133">
        <f>VLOOKUP(G400,'packing mapping'!A:B,2,0)</f>
        <v>4</v>
      </c>
      <c r="I400" s="137">
        <v>677200</v>
      </c>
      <c r="J400" s="132">
        <f t="shared" si="13"/>
        <v>169300</v>
      </c>
    </row>
    <row r="401" spans="1:10">
      <c r="A401" s="115" t="s">
        <v>950</v>
      </c>
      <c r="B401" s="115" t="s">
        <v>951</v>
      </c>
      <c r="C401" s="115" t="s">
        <v>1398</v>
      </c>
      <c r="D401" s="115" t="s">
        <v>1399</v>
      </c>
      <c r="E401" s="133" t="str">
        <f t="shared" si="12"/>
        <v>1200001006THC-73100 402 VN</v>
      </c>
      <c r="F401" s="133" t="s">
        <v>3149</v>
      </c>
      <c r="G401" s="133" t="s">
        <v>3884</v>
      </c>
      <c r="H401" s="133">
        <f>VLOOKUP(G401,'packing mapping'!A:B,2,0)</f>
        <v>200</v>
      </c>
      <c r="I401" s="137">
        <v>10660000</v>
      </c>
      <c r="J401" s="132">
        <f t="shared" si="13"/>
        <v>53300</v>
      </c>
    </row>
    <row r="402" spans="1:10">
      <c r="A402" s="115" t="s">
        <v>950</v>
      </c>
      <c r="B402" s="115" t="s">
        <v>951</v>
      </c>
      <c r="C402" s="115" t="s">
        <v>1682</v>
      </c>
      <c r="D402" s="115" t="s">
        <v>1683</v>
      </c>
      <c r="E402" s="133" t="str">
        <f t="shared" si="12"/>
        <v>1200001006THC-73100 402 VN</v>
      </c>
      <c r="F402" s="133" t="s">
        <v>3149</v>
      </c>
      <c r="G402" s="133" t="s">
        <v>3880</v>
      </c>
      <c r="H402" s="133">
        <f>VLOOKUP(G402,'packing mapping'!A:B,2,0)</f>
        <v>20</v>
      </c>
      <c r="I402" s="137">
        <v>1098000</v>
      </c>
      <c r="J402" s="132">
        <f t="shared" si="13"/>
        <v>54900</v>
      </c>
    </row>
    <row r="403" spans="1:10">
      <c r="A403" s="115" t="s">
        <v>950</v>
      </c>
      <c r="B403" s="115" t="s">
        <v>951</v>
      </c>
      <c r="C403" s="115" t="s">
        <v>1172</v>
      </c>
      <c r="D403" s="115" t="s">
        <v>1173</v>
      </c>
      <c r="E403" s="133" t="str">
        <f t="shared" si="12"/>
        <v>1200001006PUH-56135 S VN</v>
      </c>
      <c r="F403" s="133" t="s">
        <v>3040</v>
      </c>
      <c r="G403" s="133" t="s">
        <v>3881</v>
      </c>
      <c r="H403" s="133">
        <f>VLOOKUP(G403,'packing mapping'!A:B,2,0)</f>
        <v>20</v>
      </c>
      <c r="I403" s="137">
        <v>2475400</v>
      </c>
      <c r="J403" s="132">
        <f t="shared" si="13"/>
        <v>123770</v>
      </c>
    </row>
    <row r="404" spans="1:10">
      <c r="A404" s="115" t="s">
        <v>950</v>
      </c>
      <c r="B404" s="115" t="s">
        <v>951</v>
      </c>
      <c r="C404" s="115" t="s">
        <v>1276</v>
      </c>
      <c r="D404" s="115" t="s">
        <v>1277</v>
      </c>
      <c r="E404" s="133" t="str">
        <f t="shared" si="12"/>
        <v>1200001006PUL-51335 CLEAR 10 VN</v>
      </c>
      <c r="F404" s="133" t="s">
        <v>3091</v>
      </c>
      <c r="G404" s="133" t="s">
        <v>3881</v>
      </c>
      <c r="H404" s="133">
        <f>VLOOKUP(G404,'packing mapping'!A:B,2,0)</f>
        <v>20</v>
      </c>
      <c r="I404" s="137">
        <v>2230000</v>
      </c>
      <c r="J404" s="132">
        <f t="shared" si="13"/>
        <v>111500</v>
      </c>
    </row>
    <row r="405" spans="1:10">
      <c r="A405" s="115" t="s">
        <v>950</v>
      </c>
      <c r="B405" s="115" t="s">
        <v>951</v>
      </c>
      <c r="C405" s="115" t="s">
        <v>1410</v>
      </c>
      <c r="D405" s="115" t="s">
        <v>1411</v>
      </c>
      <c r="E405" s="133" t="str">
        <f t="shared" si="12"/>
        <v>1200001006PUL-51335 CLEAR 90 VN</v>
      </c>
      <c r="F405" s="133" t="s">
        <v>3154</v>
      </c>
      <c r="G405" s="133" t="s">
        <v>3881</v>
      </c>
      <c r="H405" s="133">
        <f>VLOOKUP(G405,'packing mapping'!A:B,2,0)</f>
        <v>20</v>
      </c>
      <c r="I405" s="137">
        <v>1754000</v>
      </c>
      <c r="J405" s="132">
        <f t="shared" si="13"/>
        <v>87700</v>
      </c>
    </row>
    <row r="406" spans="1:10">
      <c r="A406" s="115" t="s">
        <v>950</v>
      </c>
      <c r="B406" s="115" t="s">
        <v>951</v>
      </c>
      <c r="C406" s="115" t="s">
        <v>1292</v>
      </c>
      <c r="D406" s="115" t="s">
        <v>1293</v>
      </c>
      <c r="E406" s="133" t="str">
        <f t="shared" si="12"/>
        <v>1200001006PUP-52135 WHITE VN</v>
      </c>
      <c r="F406" s="133" t="s">
        <v>3098</v>
      </c>
      <c r="G406" s="133" t="s">
        <v>3881</v>
      </c>
      <c r="H406" s="133">
        <f>VLOOKUP(G406,'packing mapping'!A:B,2,0)</f>
        <v>20</v>
      </c>
      <c r="I406" s="137">
        <v>2208000</v>
      </c>
      <c r="J406" s="132">
        <f t="shared" si="13"/>
        <v>110400</v>
      </c>
    </row>
    <row r="407" spans="1:10">
      <c r="A407" s="115" t="s">
        <v>950</v>
      </c>
      <c r="B407" s="115" t="s">
        <v>951</v>
      </c>
      <c r="C407" s="115" t="s">
        <v>1176</v>
      </c>
      <c r="D407" s="115" t="s">
        <v>1177</v>
      </c>
      <c r="E407" s="133" t="str">
        <f t="shared" si="12"/>
        <v>1200001006PUSS-51235 VN</v>
      </c>
      <c r="F407" s="133" t="s">
        <v>3042</v>
      </c>
      <c r="G407" s="133" t="s">
        <v>3881</v>
      </c>
      <c r="H407" s="133">
        <f>VLOOKUP(G407,'packing mapping'!A:B,2,0)</f>
        <v>20</v>
      </c>
      <c r="I407" s="137">
        <v>1854000</v>
      </c>
      <c r="J407" s="132">
        <f t="shared" si="13"/>
        <v>92700</v>
      </c>
    </row>
    <row r="408" spans="1:10">
      <c r="A408" s="115" t="s">
        <v>950</v>
      </c>
      <c r="B408" s="115" t="s">
        <v>951</v>
      </c>
      <c r="C408" s="115" t="s">
        <v>1296</v>
      </c>
      <c r="D408" s="115" t="s">
        <v>1297</v>
      </c>
      <c r="E408" s="133" t="str">
        <f t="shared" si="12"/>
        <v>1200001006RD-74106 VN</v>
      </c>
      <c r="F408" s="133" t="s">
        <v>3099</v>
      </c>
      <c r="G408" s="133" t="s">
        <v>3880</v>
      </c>
      <c r="H408" s="133">
        <f>VLOOKUP(G408,'packing mapping'!A:B,2,0)</f>
        <v>20</v>
      </c>
      <c r="I408" s="137">
        <v>1026000</v>
      </c>
      <c r="J408" s="132">
        <f t="shared" si="13"/>
        <v>51300</v>
      </c>
    </row>
    <row r="409" spans="1:10">
      <c r="A409" s="115" t="s">
        <v>950</v>
      </c>
      <c r="B409" s="115" t="s">
        <v>951</v>
      </c>
      <c r="C409" s="115" t="s">
        <v>1316</v>
      </c>
      <c r="D409" s="115" t="s">
        <v>1317</v>
      </c>
      <c r="E409" s="133" t="str">
        <f t="shared" si="12"/>
        <v>1200001006PCL-31300 YELLOW 170 HR PASTE</v>
      </c>
      <c r="F409" s="133" t="s">
        <v>3109</v>
      </c>
      <c r="G409" s="133" t="s">
        <v>3883</v>
      </c>
      <c r="H409" s="133">
        <f>VLOOKUP(G409,'packing mapping'!A:B,2,0)</f>
        <v>4</v>
      </c>
      <c r="I409" s="137">
        <v>1676000</v>
      </c>
      <c r="J409" s="132">
        <f t="shared" si="13"/>
        <v>419000</v>
      </c>
    </row>
    <row r="410" spans="1:10">
      <c r="A410" s="115" t="s">
        <v>1099</v>
      </c>
      <c r="B410" s="115" t="s">
        <v>1100</v>
      </c>
      <c r="C410" s="115" t="s">
        <v>1684</v>
      </c>
      <c r="D410" s="115" t="s">
        <v>1685</v>
      </c>
      <c r="E410" s="133" t="str">
        <f t="shared" si="12"/>
        <v xml:space="preserve">1200001138DW-500 NT 740 DELICIOUS </v>
      </c>
      <c r="F410" s="133" t="s">
        <v>3279</v>
      </c>
      <c r="G410" s="133" t="s">
        <v>3897</v>
      </c>
      <c r="H410" s="133">
        <f>VLOOKUP(G410,'packing mapping'!A:B,2,0)</f>
        <v>18</v>
      </c>
      <c r="I410" s="137">
        <v>3288600</v>
      </c>
      <c r="J410" s="132">
        <f t="shared" si="13"/>
        <v>182700</v>
      </c>
    </row>
    <row r="411" spans="1:10">
      <c r="A411" s="115" t="s">
        <v>778</v>
      </c>
      <c r="B411" s="115" t="s">
        <v>779</v>
      </c>
      <c r="C411" s="115" t="s">
        <v>1686</v>
      </c>
      <c r="D411" s="115" t="s">
        <v>1687</v>
      </c>
      <c r="E411" s="133" t="str">
        <f t="shared" si="12"/>
        <v>1200000769FLX-66300 WB VN</v>
      </c>
      <c r="F411" s="133" t="s">
        <v>3280</v>
      </c>
      <c r="G411" s="133" t="s">
        <v>3881</v>
      </c>
      <c r="H411" s="133">
        <f>VLOOKUP(G411,'packing mapping'!A:B,2,0)</f>
        <v>20</v>
      </c>
      <c r="I411" s="137">
        <v>2141200</v>
      </c>
      <c r="J411" s="132">
        <f t="shared" si="13"/>
        <v>107060</v>
      </c>
    </row>
    <row r="412" spans="1:10" ht="0.75" customHeight="1">
      <c r="A412" s="115" t="s">
        <v>778</v>
      </c>
      <c r="B412" s="115" t="s">
        <v>779</v>
      </c>
      <c r="C412" s="115" t="s">
        <v>1184</v>
      </c>
      <c r="D412" s="115" t="s">
        <v>1185</v>
      </c>
      <c r="E412" s="133" t="str">
        <f t="shared" si="12"/>
        <v>1200000769MEP-12003 CLEAR BASE VN</v>
      </c>
      <c r="F412" s="133" t="s">
        <v>3046</v>
      </c>
      <c r="G412" s="133" t="s">
        <v>3882</v>
      </c>
      <c r="H412" s="133">
        <f>VLOOKUP(G412,'packing mapping'!A:B,2,0)</f>
        <v>18</v>
      </c>
      <c r="I412" s="137">
        <v>1643400</v>
      </c>
      <c r="J412" s="132">
        <f t="shared" si="13"/>
        <v>91300</v>
      </c>
    </row>
    <row r="413" spans="1:10">
      <c r="A413" s="115" t="s">
        <v>778</v>
      </c>
      <c r="B413" s="115" t="s">
        <v>779</v>
      </c>
      <c r="C413" s="115" t="s">
        <v>1466</v>
      </c>
      <c r="D413" s="115" t="s">
        <v>1467</v>
      </c>
      <c r="E413" s="133" t="str">
        <f t="shared" si="12"/>
        <v>1200000769PCA-31100 BLUE OR 50 PASTE VN</v>
      </c>
      <c r="F413" s="133" t="s">
        <v>3179</v>
      </c>
      <c r="G413" s="133" t="s">
        <v>3883</v>
      </c>
      <c r="H413" s="133">
        <f>VLOOKUP(G413,'packing mapping'!A:B,2,0)</f>
        <v>4</v>
      </c>
      <c r="I413" s="137">
        <v>1623040</v>
      </c>
      <c r="J413" s="132">
        <f t="shared" si="13"/>
        <v>405760</v>
      </c>
    </row>
    <row r="414" spans="1:10">
      <c r="A414" s="115" t="s">
        <v>778</v>
      </c>
      <c r="B414" s="115" t="s">
        <v>779</v>
      </c>
      <c r="C414" s="115" t="s">
        <v>1374</v>
      </c>
      <c r="D414" s="115" t="s">
        <v>1375</v>
      </c>
      <c r="E414" s="133" t="str">
        <f t="shared" si="12"/>
        <v>1200000769PCA-31100 RED OB 35 PASTE VN</v>
      </c>
      <c r="F414" s="133" t="s">
        <v>3137</v>
      </c>
      <c r="G414" s="133" t="s">
        <v>3883</v>
      </c>
      <c r="H414" s="133">
        <f>VLOOKUP(G414,'packing mapping'!A:B,2,0)</f>
        <v>4</v>
      </c>
      <c r="I414" s="137">
        <v>1692480</v>
      </c>
      <c r="J414" s="132">
        <f t="shared" si="13"/>
        <v>423120</v>
      </c>
    </row>
    <row r="415" spans="1:10">
      <c r="A415" s="115" t="s">
        <v>778</v>
      </c>
      <c r="B415" s="115" t="s">
        <v>779</v>
      </c>
      <c r="C415" s="115" t="s">
        <v>1190</v>
      </c>
      <c r="D415" s="115" t="s">
        <v>1191</v>
      </c>
      <c r="E415" s="133" t="str">
        <f t="shared" si="12"/>
        <v>1200000769PCA-31100 WHITE PASTE VN</v>
      </c>
      <c r="F415" s="133" t="s">
        <v>3049</v>
      </c>
      <c r="G415" s="133" t="s">
        <v>3883</v>
      </c>
      <c r="H415" s="133">
        <f>VLOOKUP(G415,'packing mapping'!A:B,2,0)</f>
        <v>4</v>
      </c>
      <c r="I415" s="137">
        <v>1109120</v>
      </c>
      <c r="J415" s="132">
        <f t="shared" si="13"/>
        <v>277280</v>
      </c>
    </row>
    <row r="416" spans="1:10">
      <c r="A416" s="115" t="s">
        <v>778</v>
      </c>
      <c r="B416" s="115" t="s">
        <v>779</v>
      </c>
      <c r="C416" s="115" t="s">
        <v>1376</v>
      </c>
      <c r="D416" s="115" t="s">
        <v>1377</v>
      </c>
      <c r="E416" s="133" t="str">
        <f t="shared" si="12"/>
        <v>1200000769PCA-31100 YELLOW HR PASTE VN</v>
      </c>
      <c r="F416" s="133" t="s">
        <v>3138</v>
      </c>
      <c r="G416" s="133" t="s">
        <v>3883</v>
      </c>
      <c r="H416" s="133">
        <f>VLOOKUP(G416,'packing mapping'!A:B,2,0)</f>
        <v>4</v>
      </c>
      <c r="I416" s="137">
        <v>1384040</v>
      </c>
      <c r="J416" s="132">
        <f t="shared" si="13"/>
        <v>346010</v>
      </c>
    </row>
    <row r="417" spans="1:10">
      <c r="A417" s="115" t="s">
        <v>778</v>
      </c>
      <c r="B417" s="115" t="s">
        <v>779</v>
      </c>
      <c r="C417" s="115" t="s">
        <v>1468</v>
      </c>
      <c r="D417" s="115" t="s">
        <v>1469</v>
      </c>
      <c r="E417" s="133" t="str">
        <f t="shared" si="12"/>
        <v>1200000769PCA-31100 YELLOW OG 16 PASTE VN</v>
      </c>
      <c r="F417" s="133" t="s">
        <v>3180</v>
      </c>
      <c r="G417" s="133" t="s">
        <v>3883</v>
      </c>
      <c r="H417" s="133">
        <f>VLOOKUP(G417,'packing mapping'!A:B,2,0)</f>
        <v>4</v>
      </c>
      <c r="I417" s="137">
        <v>3460080</v>
      </c>
      <c r="J417" s="132">
        <f t="shared" si="13"/>
        <v>865020</v>
      </c>
    </row>
    <row r="418" spans="1:10">
      <c r="A418" s="115" t="s">
        <v>778</v>
      </c>
      <c r="B418" s="115" t="s">
        <v>779</v>
      </c>
      <c r="C418" s="115" t="s">
        <v>1208</v>
      </c>
      <c r="D418" s="115" t="s">
        <v>1209</v>
      </c>
      <c r="E418" s="133" t="str">
        <f t="shared" si="12"/>
        <v>1200000769PG-13900 WHITE 01 VN</v>
      </c>
      <c r="F418" s="133" t="s">
        <v>3058</v>
      </c>
      <c r="G418" s="133" t="s">
        <v>3881</v>
      </c>
      <c r="H418" s="133">
        <f>VLOOKUP(G418,'packing mapping'!A:B,2,0)</f>
        <v>20</v>
      </c>
      <c r="I418" s="137">
        <v>1878600</v>
      </c>
      <c r="J418" s="132">
        <f t="shared" si="13"/>
        <v>93930</v>
      </c>
    </row>
    <row r="419" spans="1:10">
      <c r="A419" s="115" t="s">
        <v>778</v>
      </c>
      <c r="B419" s="115" t="s">
        <v>779</v>
      </c>
      <c r="C419" s="115" t="s">
        <v>1688</v>
      </c>
      <c r="D419" s="115" t="s">
        <v>1689</v>
      </c>
      <c r="E419" s="133" t="str">
        <f t="shared" si="12"/>
        <v>1200000769PUL-51339 CLEAR 05 VN</v>
      </c>
      <c r="F419" s="133" t="s">
        <v>3281</v>
      </c>
      <c r="G419" s="133" t="s">
        <v>3879</v>
      </c>
      <c r="H419" s="133">
        <f>VLOOKUP(G419,'packing mapping'!A:B,2,0)</f>
        <v>20</v>
      </c>
      <c r="I419" s="137">
        <v>2180800</v>
      </c>
      <c r="J419" s="132">
        <f t="shared" si="13"/>
        <v>109040</v>
      </c>
    </row>
    <row r="420" spans="1:10">
      <c r="A420" s="115" t="s">
        <v>778</v>
      </c>
      <c r="B420" s="115" t="s">
        <v>779</v>
      </c>
      <c r="C420" s="115" t="s">
        <v>1476</v>
      </c>
      <c r="D420" s="115" t="s">
        <v>1477</v>
      </c>
      <c r="E420" s="133" t="str">
        <f t="shared" si="12"/>
        <v>1200000769PUP-52141 WHITE 01 VN</v>
      </c>
      <c r="F420" s="133" t="s">
        <v>3184</v>
      </c>
      <c r="G420" s="133" t="s">
        <v>3881</v>
      </c>
      <c r="H420" s="133">
        <f>VLOOKUP(G420,'packing mapping'!A:B,2,0)</f>
        <v>20</v>
      </c>
      <c r="I420" s="137">
        <v>2125600</v>
      </c>
      <c r="J420" s="132">
        <f t="shared" si="13"/>
        <v>106280</v>
      </c>
    </row>
    <row r="421" spans="1:10">
      <c r="A421" s="115" t="s">
        <v>778</v>
      </c>
      <c r="B421" s="115" t="s">
        <v>779</v>
      </c>
      <c r="C421" s="115" t="s">
        <v>1478</v>
      </c>
      <c r="D421" s="115" t="s">
        <v>1479</v>
      </c>
      <c r="E421" s="133" t="str">
        <f t="shared" si="12"/>
        <v>1200000769PUSS-51241 VN</v>
      </c>
      <c r="F421" s="133" t="s">
        <v>3185</v>
      </c>
      <c r="G421" s="133" t="s">
        <v>3881</v>
      </c>
      <c r="H421" s="133">
        <f>VLOOKUP(G421,'packing mapping'!A:B,2,0)</f>
        <v>20</v>
      </c>
      <c r="I421" s="137">
        <v>1753000</v>
      </c>
      <c r="J421" s="132">
        <f t="shared" si="13"/>
        <v>87650</v>
      </c>
    </row>
    <row r="422" spans="1:10">
      <c r="A422" s="115" t="s">
        <v>778</v>
      </c>
      <c r="B422" s="115" t="s">
        <v>779</v>
      </c>
      <c r="C422" s="115" t="s">
        <v>1220</v>
      </c>
      <c r="D422" s="115" t="s">
        <v>1221</v>
      </c>
      <c r="E422" s="133" t="str">
        <f t="shared" si="12"/>
        <v>1200000769SST-11100 C10 BLACK</v>
      </c>
      <c r="F422" s="133" t="s">
        <v>3064</v>
      </c>
      <c r="G422" s="133" t="s">
        <v>3883</v>
      </c>
      <c r="H422" s="133">
        <f>VLOOKUP(G422,'packing mapping'!A:B,2,0)</f>
        <v>4</v>
      </c>
      <c r="I422" s="137">
        <v>1912360</v>
      </c>
      <c r="J422" s="132">
        <f t="shared" si="13"/>
        <v>478090</v>
      </c>
    </row>
    <row r="423" spans="1:10">
      <c r="A423" s="115" t="s">
        <v>778</v>
      </c>
      <c r="B423" s="115" t="s">
        <v>779</v>
      </c>
      <c r="C423" s="115" t="s">
        <v>1222</v>
      </c>
      <c r="D423" s="115" t="s">
        <v>1223</v>
      </c>
      <c r="E423" s="133" t="str">
        <f t="shared" si="12"/>
        <v>1200000769SST-11100 C10 BLUE</v>
      </c>
      <c r="F423" s="133" t="s">
        <v>3065</v>
      </c>
      <c r="G423" s="133" t="s">
        <v>3883</v>
      </c>
      <c r="H423" s="133">
        <f>VLOOKUP(G423,'packing mapping'!A:B,2,0)</f>
        <v>4</v>
      </c>
      <c r="I423" s="137">
        <v>1723880</v>
      </c>
      <c r="J423" s="132">
        <f t="shared" si="13"/>
        <v>430970</v>
      </c>
    </row>
    <row r="424" spans="1:10">
      <c r="A424" s="115" t="s">
        <v>778</v>
      </c>
      <c r="B424" s="115" t="s">
        <v>779</v>
      </c>
      <c r="C424" s="115" t="s">
        <v>1226</v>
      </c>
      <c r="D424" s="115" t="s">
        <v>1227</v>
      </c>
      <c r="E424" s="133" t="str">
        <f t="shared" si="12"/>
        <v>1200000769SST-11100 C10 RED</v>
      </c>
      <c r="F424" s="133" t="s">
        <v>3067</v>
      </c>
      <c r="G424" s="133" t="s">
        <v>3883</v>
      </c>
      <c r="H424" s="133">
        <f>VLOOKUP(G424,'packing mapping'!A:B,2,0)</f>
        <v>4</v>
      </c>
      <c r="I424" s="137">
        <v>1491040</v>
      </c>
      <c r="J424" s="132">
        <f t="shared" si="13"/>
        <v>372760</v>
      </c>
    </row>
    <row r="425" spans="1:10">
      <c r="A425" s="115" t="s">
        <v>778</v>
      </c>
      <c r="B425" s="115" t="s">
        <v>779</v>
      </c>
      <c r="C425" s="115" t="s">
        <v>1228</v>
      </c>
      <c r="D425" s="115" t="s">
        <v>1229</v>
      </c>
      <c r="E425" s="133" t="str">
        <f t="shared" si="12"/>
        <v>1200000769SST-11100 C10 YELLOW</v>
      </c>
      <c r="F425" s="133" t="s">
        <v>3068</v>
      </c>
      <c r="G425" s="133" t="s">
        <v>3883</v>
      </c>
      <c r="H425" s="133">
        <f>VLOOKUP(G425,'packing mapping'!A:B,2,0)</f>
        <v>4</v>
      </c>
      <c r="I425" s="137">
        <v>1912360</v>
      </c>
      <c r="J425" s="132">
        <f t="shared" si="13"/>
        <v>478090</v>
      </c>
    </row>
    <row r="426" spans="1:10">
      <c r="A426" s="115" t="s">
        <v>778</v>
      </c>
      <c r="B426" s="115" t="s">
        <v>779</v>
      </c>
      <c r="C426" s="115" t="s">
        <v>1690</v>
      </c>
      <c r="D426" s="115" t="s">
        <v>1691</v>
      </c>
      <c r="E426" s="133" t="str">
        <f t="shared" si="12"/>
        <v>1200000769THGZ-72200 VN</v>
      </c>
      <c r="F426" s="133" t="s">
        <v>3073</v>
      </c>
      <c r="G426" s="133" t="s">
        <v>3884</v>
      </c>
      <c r="H426" s="133">
        <f>VLOOKUP(G426,'packing mapping'!A:B,2,0)</f>
        <v>200</v>
      </c>
      <c r="I426" s="137">
        <v>13298000</v>
      </c>
      <c r="J426" s="132">
        <f t="shared" si="13"/>
        <v>66490</v>
      </c>
    </row>
    <row r="427" spans="1:10">
      <c r="A427" s="115" t="s">
        <v>778</v>
      </c>
      <c r="B427" s="115" t="s">
        <v>779</v>
      </c>
      <c r="C427" s="115" t="s">
        <v>1238</v>
      </c>
      <c r="D427" s="115" t="s">
        <v>1239</v>
      </c>
      <c r="E427" s="133" t="str">
        <f t="shared" si="12"/>
        <v>1200000769THGZ-72200 VN</v>
      </c>
      <c r="F427" s="133" t="s">
        <v>3073</v>
      </c>
      <c r="G427" s="133" t="s">
        <v>3880</v>
      </c>
      <c r="H427" s="133">
        <f>VLOOKUP(G427,'packing mapping'!A:B,2,0)</f>
        <v>20</v>
      </c>
      <c r="I427" s="137">
        <v>1400800</v>
      </c>
      <c r="J427" s="132">
        <f t="shared" si="13"/>
        <v>70040</v>
      </c>
    </row>
    <row r="428" spans="1:10">
      <c r="A428" s="115" t="s">
        <v>778</v>
      </c>
      <c r="B428" s="115" t="s">
        <v>779</v>
      </c>
      <c r="C428" s="115" t="s">
        <v>1240</v>
      </c>
      <c r="D428" s="115" t="s">
        <v>1241</v>
      </c>
      <c r="E428" s="133" t="str">
        <f t="shared" si="12"/>
        <v>1200000769THNC-71100 SD VN</v>
      </c>
      <c r="F428" s="133" t="s">
        <v>3074</v>
      </c>
      <c r="G428" s="133" t="s">
        <v>3884</v>
      </c>
      <c r="H428" s="133">
        <f>VLOOKUP(G428,'packing mapping'!A:B,2,0)</f>
        <v>200</v>
      </c>
      <c r="I428" s="137">
        <v>10328000</v>
      </c>
      <c r="J428" s="132">
        <f t="shared" si="13"/>
        <v>51640</v>
      </c>
    </row>
    <row r="429" spans="1:10">
      <c r="A429" s="115" t="s">
        <v>778</v>
      </c>
      <c r="B429" s="115" t="s">
        <v>779</v>
      </c>
      <c r="C429" s="115" t="s">
        <v>1242</v>
      </c>
      <c r="D429" s="115" t="s">
        <v>1243</v>
      </c>
      <c r="E429" s="133" t="str">
        <f t="shared" si="12"/>
        <v>1200000769THPU-71306 ST VN</v>
      </c>
      <c r="F429" s="133" t="s">
        <v>3039</v>
      </c>
      <c r="G429" s="133" t="s">
        <v>3884</v>
      </c>
      <c r="H429" s="133">
        <f>VLOOKUP(G429,'packing mapping'!A:B,2,0)</f>
        <v>200</v>
      </c>
      <c r="I429" s="137">
        <v>13662000</v>
      </c>
      <c r="J429" s="132">
        <f t="shared" si="13"/>
        <v>68310</v>
      </c>
    </row>
    <row r="430" spans="1:10">
      <c r="A430" s="115" t="s">
        <v>778</v>
      </c>
      <c r="B430" s="115" t="s">
        <v>779</v>
      </c>
      <c r="C430" s="115" t="s">
        <v>1170</v>
      </c>
      <c r="D430" s="115" t="s">
        <v>1171</v>
      </c>
      <c r="E430" s="133" t="str">
        <f t="shared" si="12"/>
        <v>1200000769THPU-71306 ST VN</v>
      </c>
      <c r="F430" s="133" t="s">
        <v>3039</v>
      </c>
      <c r="G430" s="133" t="s">
        <v>3880</v>
      </c>
      <c r="H430" s="133">
        <f>VLOOKUP(G430,'packing mapping'!A:B,2,0)</f>
        <v>20</v>
      </c>
      <c r="I430" s="137">
        <v>1545600</v>
      </c>
      <c r="J430" s="132">
        <f t="shared" si="13"/>
        <v>77280</v>
      </c>
    </row>
    <row r="431" spans="1:10">
      <c r="A431" s="115" t="s">
        <v>778</v>
      </c>
      <c r="B431" s="115" t="s">
        <v>779</v>
      </c>
      <c r="C431" s="115" t="s">
        <v>1248</v>
      </c>
      <c r="D431" s="115" t="s">
        <v>1249</v>
      </c>
      <c r="E431" s="133" t="str">
        <f t="shared" si="12"/>
        <v>1200000769MEPH-12003 PS VN</v>
      </c>
      <c r="F431" s="133" t="s">
        <v>3077</v>
      </c>
      <c r="G431" s="133" t="s">
        <v>3887</v>
      </c>
      <c r="H431" s="133">
        <f>VLOOKUP(G431,'packing mapping'!A:B,2,0)</f>
        <v>2</v>
      </c>
      <c r="I431" s="137">
        <v>444400</v>
      </c>
      <c r="J431" s="132">
        <f t="shared" si="13"/>
        <v>222200</v>
      </c>
    </row>
    <row r="432" spans="1:10">
      <c r="A432" s="115" t="s">
        <v>778</v>
      </c>
      <c r="B432" s="115" t="s">
        <v>779</v>
      </c>
      <c r="C432" s="115" t="s">
        <v>1250</v>
      </c>
      <c r="D432" s="115" t="s">
        <v>1251</v>
      </c>
      <c r="E432" s="133" t="str">
        <f t="shared" si="12"/>
        <v>1200000769MPULH-13700 PS VN</v>
      </c>
      <c r="F432" s="133" t="s">
        <v>3078</v>
      </c>
      <c r="G432" s="133" t="s">
        <v>3883</v>
      </c>
      <c r="H432" s="133">
        <f>VLOOKUP(G432,'packing mapping'!A:B,2,0)</f>
        <v>4</v>
      </c>
      <c r="I432" s="137">
        <v>1589840</v>
      </c>
      <c r="J432" s="132">
        <f t="shared" si="13"/>
        <v>397460</v>
      </c>
    </row>
    <row r="433" spans="1:10">
      <c r="A433" s="115" t="s">
        <v>778</v>
      </c>
      <c r="B433" s="115" t="s">
        <v>779</v>
      </c>
      <c r="C433" s="115" t="s">
        <v>1692</v>
      </c>
      <c r="D433" s="115" t="s">
        <v>1693</v>
      </c>
      <c r="E433" s="133" t="str">
        <f t="shared" si="12"/>
        <v>1200000769WPWB-81201 WHITE VN</v>
      </c>
      <c r="F433" s="133" t="s">
        <v>3282</v>
      </c>
      <c r="G433" s="133" t="s">
        <v>3881</v>
      </c>
      <c r="H433" s="133">
        <f>VLOOKUP(G433,'packing mapping'!A:B,2,0)</f>
        <v>20</v>
      </c>
      <c r="I433" s="137">
        <v>989600</v>
      </c>
      <c r="J433" s="132">
        <f t="shared" si="13"/>
        <v>49480</v>
      </c>
    </row>
    <row r="434" spans="1:10">
      <c r="A434" s="115" t="s">
        <v>778</v>
      </c>
      <c r="B434" s="115" t="s">
        <v>779</v>
      </c>
      <c r="C434" s="115" t="s">
        <v>1694</v>
      </c>
      <c r="D434" s="115" t="s">
        <v>1695</v>
      </c>
      <c r="E434" s="133" t="str">
        <f t="shared" si="12"/>
        <v>1200000769DC-12223 LC WHITE 01 10 VN</v>
      </c>
      <c r="F434" s="133" t="s">
        <v>3283</v>
      </c>
      <c r="G434" s="133" t="s">
        <v>3881</v>
      </c>
      <c r="H434" s="133">
        <f>VLOOKUP(G434,'packing mapping'!A:B,2,0)</f>
        <v>20</v>
      </c>
      <c r="I434" s="137">
        <v>2785200</v>
      </c>
      <c r="J434" s="132">
        <f t="shared" si="13"/>
        <v>139260</v>
      </c>
    </row>
    <row r="435" spans="1:10">
      <c r="A435" s="115" t="s">
        <v>778</v>
      </c>
      <c r="B435" s="115" t="s">
        <v>779</v>
      </c>
      <c r="C435" s="115" t="s">
        <v>1258</v>
      </c>
      <c r="D435" s="115" t="s">
        <v>1259</v>
      </c>
      <c r="E435" s="133" t="str">
        <f t="shared" si="12"/>
        <v>1200000769DP-12123 LC WHITE 01 VN</v>
      </c>
      <c r="F435" s="133" t="s">
        <v>3082</v>
      </c>
      <c r="G435" s="133" t="s">
        <v>3881</v>
      </c>
      <c r="H435" s="133">
        <f>VLOOKUP(G435,'packing mapping'!A:B,2,0)</f>
        <v>20</v>
      </c>
      <c r="I435" s="137">
        <v>2318000</v>
      </c>
      <c r="J435" s="132">
        <f t="shared" si="13"/>
        <v>115900</v>
      </c>
    </row>
    <row r="436" spans="1:10">
      <c r="A436" s="115" t="s">
        <v>778</v>
      </c>
      <c r="B436" s="115" t="s">
        <v>779</v>
      </c>
      <c r="C436" s="115" t="s">
        <v>1260</v>
      </c>
      <c r="D436" s="115" t="s">
        <v>1261</v>
      </c>
      <c r="E436" s="133" t="str">
        <f t="shared" si="12"/>
        <v>1200000769NCL-11329 LC CLEAR 05 VN</v>
      </c>
      <c r="F436" s="133" t="s">
        <v>3083</v>
      </c>
      <c r="G436" s="133" t="s">
        <v>3879</v>
      </c>
      <c r="H436" s="133">
        <f>VLOOKUP(G436,'packing mapping'!A:B,2,0)</f>
        <v>20</v>
      </c>
      <c r="I436" s="137">
        <v>2119000</v>
      </c>
      <c r="J436" s="132">
        <f t="shared" si="13"/>
        <v>105950</v>
      </c>
    </row>
    <row r="437" spans="1:10">
      <c r="A437" s="115" t="s">
        <v>778</v>
      </c>
      <c r="B437" s="115" t="s">
        <v>779</v>
      </c>
      <c r="C437" s="115" t="s">
        <v>1266</v>
      </c>
      <c r="D437" s="115" t="s">
        <v>1267</v>
      </c>
      <c r="E437" s="133" t="str">
        <f t="shared" si="12"/>
        <v>1200000769NCL-11329 LC CLEAR 30 VN</v>
      </c>
      <c r="F437" s="133" t="s">
        <v>3086</v>
      </c>
      <c r="G437" s="133" t="s">
        <v>3879</v>
      </c>
      <c r="H437" s="133">
        <f>VLOOKUP(G437,'packing mapping'!A:B,2,0)</f>
        <v>20</v>
      </c>
      <c r="I437" s="137">
        <v>2484200</v>
      </c>
      <c r="J437" s="132">
        <f t="shared" si="13"/>
        <v>124210</v>
      </c>
    </row>
    <row r="438" spans="1:10">
      <c r="A438" s="115" t="s">
        <v>778</v>
      </c>
      <c r="B438" s="115" t="s">
        <v>779</v>
      </c>
      <c r="C438" s="115" t="s">
        <v>1270</v>
      </c>
      <c r="D438" s="115" t="s">
        <v>1271</v>
      </c>
      <c r="E438" s="133" t="str">
        <f t="shared" si="12"/>
        <v>1200000769NCL-11329 LC CLEAR 50 VN</v>
      </c>
      <c r="F438" s="133" t="s">
        <v>3088</v>
      </c>
      <c r="G438" s="133" t="s">
        <v>3879</v>
      </c>
      <c r="H438" s="133">
        <f>VLOOKUP(G438,'packing mapping'!A:B,2,0)</f>
        <v>20</v>
      </c>
      <c r="I438" s="137">
        <v>1987400</v>
      </c>
      <c r="J438" s="132">
        <f t="shared" si="13"/>
        <v>99370</v>
      </c>
    </row>
    <row r="439" spans="1:10">
      <c r="A439" s="115" t="s">
        <v>778</v>
      </c>
      <c r="B439" s="115" t="s">
        <v>779</v>
      </c>
      <c r="C439" s="115" t="s">
        <v>1556</v>
      </c>
      <c r="D439" s="115" t="s">
        <v>1557</v>
      </c>
      <c r="E439" s="133" t="str">
        <f t="shared" si="12"/>
        <v>1200000769NCSS-11229 LC VN</v>
      </c>
      <c r="F439" s="133" t="s">
        <v>3089</v>
      </c>
      <c r="G439" s="133" t="s">
        <v>3896</v>
      </c>
      <c r="H439" s="133">
        <f>VLOOKUP(G439,'packing mapping'!A:B,2,0)</f>
        <v>200</v>
      </c>
      <c r="I439" s="137">
        <v>25216000</v>
      </c>
      <c r="J439" s="132">
        <f t="shared" si="13"/>
        <v>126080</v>
      </c>
    </row>
    <row r="440" spans="1:10">
      <c r="A440" s="115" t="s">
        <v>778</v>
      </c>
      <c r="B440" s="115" t="s">
        <v>779</v>
      </c>
      <c r="C440" s="115" t="s">
        <v>1272</v>
      </c>
      <c r="D440" s="115" t="s">
        <v>1273</v>
      </c>
      <c r="E440" s="133" t="str">
        <f t="shared" si="12"/>
        <v>1200000769NCSS-11229 LC VN</v>
      </c>
      <c r="F440" s="133" t="s">
        <v>3089</v>
      </c>
      <c r="G440" s="133" t="s">
        <v>3879</v>
      </c>
      <c r="H440" s="133">
        <f>VLOOKUP(G440,'packing mapping'!A:B,2,0)</f>
        <v>20</v>
      </c>
      <c r="I440" s="137">
        <v>2617000</v>
      </c>
      <c r="J440" s="132">
        <f t="shared" si="13"/>
        <v>130850</v>
      </c>
    </row>
    <row r="441" spans="1:10">
      <c r="A441" s="115" t="s">
        <v>778</v>
      </c>
      <c r="B441" s="115" t="s">
        <v>779</v>
      </c>
      <c r="C441" s="115" t="s">
        <v>1172</v>
      </c>
      <c r="D441" s="115" t="s">
        <v>1173</v>
      </c>
      <c r="E441" s="133" t="str">
        <f t="shared" si="12"/>
        <v>1200000769PUH-56135 S VN</v>
      </c>
      <c r="F441" s="133" t="s">
        <v>3040</v>
      </c>
      <c r="G441" s="133" t="s">
        <v>3881</v>
      </c>
      <c r="H441" s="133">
        <f>VLOOKUP(G441,'packing mapping'!A:B,2,0)</f>
        <v>20</v>
      </c>
      <c r="I441" s="137">
        <v>2474800</v>
      </c>
      <c r="J441" s="132">
        <f t="shared" si="13"/>
        <v>123740</v>
      </c>
    </row>
    <row r="442" spans="1:10">
      <c r="A442" s="115" t="s">
        <v>778</v>
      </c>
      <c r="B442" s="115" t="s">
        <v>779</v>
      </c>
      <c r="C442" s="115" t="s">
        <v>1410</v>
      </c>
      <c r="D442" s="115" t="s">
        <v>1411</v>
      </c>
      <c r="E442" s="133" t="str">
        <f t="shared" si="12"/>
        <v>1200000769PUL-51335 CLEAR 90 VN</v>
      </c>
      <c r="F442" s="133" t="s">
        <v>3154</v>
      </c>
      <c r="G442" s="133" t="s">
        <v>3881</v>
      </c>
      <c r="H442" s="133">
        <f>VLOOKUP(G442,'packing mapping'!A:B,2,0)</f>
        <v>20</v>
      </c>
      <c r="I442" s="137">
        <v>1728800</v>
      </c>
      <c r="J442" s="132">
        <f t="shared" si="13"/>
        <v>86440</v>
      </c>
    </row>
    <row r="443" spans="1:10">
      <c r="A443" s="115" t="s">
        <v>778</v>
      </c>
      <c r="B443" s="115" t="s">
        <v>779</v>
      </c>
      <c r="C443" s="115" t="s">
        <v>1296</v>
      </c>
      <c r="D443" s="115" t="s">
        <v>1297</v>
      </c>
      <c r="E443" s="133" t="str">
        <f t="shared" si="12"/>
        <v>1200000769RD-74106 VN</v>
      </c>
      <c r="F443" s="133" t="s">
        <v>3099</v>
      </c>
      <c r="G443" s="133" t="s">
        <v>3880</v>
      </c>
      <c r="H443" s="133">
        <f>VLOOKUP(G443,'packing mapping'!A:B,2,0)</f>
        <v>20</v>
      </c>
      <c r="I443" s="137">
        <v>1631200</v>
      </c>
      <c r="J443" s="132">
        <f t="shared" si="13"/>
        <v>81560</v>
      </c>
    </row>
    <row r="444" spans="1:10">
      <c r="A444" s="115" t="s">
        <v>778</v>
      </c>
      <c r="B444" s="115" t="s">
        <v>779</v>
      </c>
      <c r="C444" s="115" t="s">
        <v>1298</v>
      </c>
      <c r="D444" s="115" t="s">
        <v>1299</v>
      </c>
      <c r="E444" s="133" t="str">
        <f t="shared" si="12"/>
        <v>1200000769PUP-52122 PUTTY VN</v>
      </c>
      <c r="F444" s="133" t="s">
        <v>3100</v>
      </c>
      <c r="G444" s="133" t="s">
        <v>3883</v>
      </c>
      <c r="H444" s="133">
        <f>VLOOKUP(G444,'packing mapping'!A:B,2,0)</f>
        <v>4</v>
      </c>
      <c r="I444" s="137">
        <v>442720</v>
      </c>
      <c r="J444" s="132">
        <f t="shared" si="13"/>
        <v>110680</v>
      </c>
    </row>
    <row r="445" spans="1:10">
      <c r="A445" s="115" t="s">
        <v>778</v>
      </c>
      <c r="B445" s="115" t="s">
        <v>779</v>
      </c>
      <c r="C445" s="115" t="s">
        <v>1304</v>
      </c>
      <c r="D445" s="115" t="s">
        <v>1305</v>
      </c>
      <c r="E445" s="133" t="str">
        <f t="shared" si="12"/>
        <v>1200000769GZ-12700 N BLACK VN</v>
      </c>
      <c r="F445" s="133" t="s">
        <v>3103</v>
      </c>
      <c r="G445" s="133" t="s">
        <v>3883</v>
      </c>
      <c r="H445" s="133">
        <f>VLOOKUP(G445,'packing mapping'!A:B,2,0)</f>
        <v>4</v>
      </c>
      <c r="I445" s="137">
        <v>1285960</v>
      </c>
      <c r="J445" s="132">
        <f t="shared" si="13"/>
        <v>321490</v>
      </c>
    </row>
    <row r="446" spans="1:10">
      <c r="A446" s="115" t="s">
        <v>778</v>
      </c>
      <c r="B446" s="115" t="s">
        <v>779</v>
      </c>
      <c r="C446" s="115" t="s">
        <v>1306</v>
      </c>
      <c r="D446" s="115" t="s">
        <v>1307</v>
      </c>
      <c r="E446" s="133" t="str">
        <f t="shared" si="12"/>
        <v>1200000769GZ-12700 N RED VN</v>
      </c>
      <c r="F446" s="133" t="s">
        <v>3104</v>
      </c>
      <c r="G446" s="133" t="s">
        <v>3883</v>
      </c>
      <c r="H446" s="133">
        <f>VLOOKUP(G446,'packing mapping'!A:B,2,0)</f>
        <v>4</v>
      </c>
      <c r="I446" s="137">
        <v>1730080</v>
      </c>
      <c r="J446" s="132">
        <f t="shared" si="13"/>
        <v>432520</v>
      </c>
    </row>
    <row r="447" spans="1:10">
      <c r="A447" s="115" t="s">
        <v>778</v>
      </c>
      <c r="B447" s="115" t="s">
        <v>779</v>
      </c>
      <c r="C447" s="115" t="s">
        <v>1308</v>
      </c>
      <c r="D447" s="115" t="s">
        <v>1309</v>
      </c>
      <c r="E447" s="133" t="str">
        <f t="shared" si="12"/>
        <v>1200000769GZ-12700 N YELLOW</v>
      </c>
      <c r="F447" s="133" t="s">
        <v>3105</v>
      </c>
      <c r="G447" s="133" t="s">
        <v>3883</v>
      </c>
      <c r="H447" s="133">
        <f>VLOOKUP(G447,'packing mapping'!A:B,2,0)</f>
        <v>4</v>
      </c>
      <c r="I447" s="137">
        <v>1488800</v>
      </c>
      <c r="J447" s="132">
        <f t="shared" si="13"/>
        <v>372200</v>
      </c>
    </row>
    <row r="448" spans="1:10">
      <c r="A448" s="115" t="s">
        <v>778</v>
      </c>
      <c r="B448" s="115" t="s">
        <v>779</v>
      </c>
      <c r="C448" s="115" t="s">
        <v>1696</v>
      </c>
      <c r="D448" s="115" t="s">
        <v>1697</v>
      </c>
      <c r="E448" s="133" t="str">
        <f t="shared" si="12"/>
        <v>1200000769GZ-9127-WS-AK</v>
      </c>
      <c r="F448" s="133" t="s">
        <v>3284</v>
      </c>
      <c r="G448" s="133" t="s">
        <v>3883</v>
      </c>
      <c r="H448" s="133">
        <f>VLOOKUP(G448,'packing mapping'!A:B,2,0)</f>
        <v>4</v>
      </c>
      <c r="I448" s="137">
        <v>956080</v>
      </c>
      <c r="J448" s="132">
        <f t="shared" si="13"/>
        <v>239020</v>
      </c>
    </row>
    <row r="449" spans="1:10">
      <c r="A449" s="115" t="s">
        <v>778</v>
      </c>
      <c r="B449" s="115" t="s">
        <v>779</v>
      </c>
      <c r="C449" s="115" t="s">
        <v>1698</v>
      </c>
      <c r="D449" s="115" t="s">
        <v>1699</v>
      </c>
      <c r="E449" s="133" t="str">
        <f t="shared" si="12"/>
        <v>1200000769WPWB-81201 W MQ VN</v>
      </c>
      <c r="F449" s="133" t="s">
        <v>3285</v>
      </c>
      <c r="G449" s="133" t="s">
        <v>3881</v>
      </c>
      <c r="H449" s="133">
        <f>VLOOKUP(G449,'packing mapping'!A:B,2,0)</f>
        <v>20</v>
      </c>
      <c r="I449" s="137">
        <v>1186800</v>
      </c>
      <c r="J449" s="132">
        <f t="shared" si="13"/>
        <v>59340</v>
      </c>
    </row>
    <row r="450" spans="1:10">
      <c r="A450" s="115" t="s">
        <v>778</v>
      </c>
      <c r="B450" s="115" t="s">
        <v>779</v>
      </c>
      <c r="C450" s="115" t="s">
        <v>1700</v>
      </c>
      <c r="D450" s="115" t="s">
        <v>1701</v>
      </c>
      <c r="E450" s="133" t="str">
        <f t="shared" si="12"/>
        <v>1200000769MPUL-13700 50 VN</v>
      </c>
      <c r="F450" s="133" t="s">
        <v>3286</v>
      </c>
      <c r="G450" s="133" t="s">
        <v>3890</v>
      </c>
      <c r="H450" s="133">
        <f>VLOOKUP(G450,'packing mapping'!A:B,2,0)</f>
        <v>16</v>
      </c>
      <c r="I450" s="137">
        <v>2780000</v>
      </c>
      <c r="J450" s="132">
        <f t="shared" si="13"/>
        <v>173750</v>
      </c>
    </row>
    <row r="451" spans="1:10">
      <c r="A451" s="115" t="s">
        <v>778</v>
      </c>
      <c r="B451" s="115" t="s">
        <v>779</v>
      </c>
      <c r="C451" s="115" t="s">
        <v>1496</v>
      </c>
      <c r="D451" s="115" t="s">
        <v>1497</v>
      </c>
      <c r="E451" s="133" t="str">
        <f t="shared" ref="E451:E514" si="14">A451&amp;F451</f>
        <v>1200000769PUH-56141 VN</v>
      </c>
      <c r="F451" s="133" t="s">
        <v>3189</v>
      </c>
      <c r="G451" s="133" t="s">
        <v>3881</v>
      </c>
      <c r="H451" s="133">
        <f>VLOOKUP(G451,'packing mapping'!A:B,2,0)</f>
        <v>20</v>
      </c>
      <c r="I451" s="137">
        <v>2277000</v>
      </c>
      <c r="J451" s="132">
        <f t="shared" ref="J451:J514" si="15">I451/H451</f>
        <v>113850</v>
      </c>
    </row>
    <row r="452" spans="1:10">
      <c r="A452" s="115" t="s">
        <v>778</v>
      </c>
      <c r="B452" s="115" t="s">
        <v>779</v>
      </c>
      <c r="C452" s="115" t="s">
        <v>1702</v>
      </c>
      <c r="D452" s="115" t="s">
        <v>1703</v>
      </c>
      <c r="E452" s="133" t="str">
        <f t="shared" si="14"/>
        <v>1200000769WBMG-97100-1 VN</v>
      </c>
      <c r="F452" s="133" t="s">
        <v>3287</v>
      </c>
      <c r="G452" s="133" t="s">
        <v>3883</v>
      </c>
      <c r="H452" s="133">
        <f>VLOOKUP(G452,'packing mapping'!A:B,2,0)</f>
        <v>4</v>
      </c>
      <c r="I452" s="137">
        <v>219600</v>
      </c>
      <c r="J452" s="132">
        <f t="shared" si="15"/>
        <v>54900</v>
      </c>
    </row>
    <row r="453" spans="1:10">
      <c r="A453" s="115" t="s">
        <v>778</v>
      </c>
      <c r="B453" s="115" t="s">
        <v>779</v>
      </c>
      <c r="C453" s="115" t="s">
        <v>1328</v>
      </c>
      <c r="D453" s="115" t="s">
        <v>1329</v>
      </c>
      <c r="E453" s="133" t="str">
        <f t="shared" si="14"/>
        <v>1200000769NCL-11329 LC CLEAR 80 VN</v>
      </c>
      <c r="F453" s="133" t="s">
        <v>3115</v>
      </c>
      <c r="G453" s="133" t="s">
        <v>3879</v>
      </c>
      <c r="H453" s="133">
        <f>VLOOKUP(G453,'packing mapping'!A:B,2,0)</f>
        <v>20</v>
      </c>
      <c r="I453" s="137">
        <v>2373600</v>
      </c>
      <c r="J453" s="132">
        <f t="shared" si="15"/>
        <v>118680</v>
      </c>
    </row>
    <row r="454" spans="1:10">
      <c r="A454" s="115" t="s">
        <v>778</v>
      </c>
      <c r="B454" s="115" t="s">
        <v>779</v>
      </c>
      <c r="C454" s="115" t="s">
        <v>1704</v>
      </c>
      <c r="D454" s="115" t="s">
        <v>1705</v>
      </c>
      <c r="E454" s="133" t="str">
        <f t="shared" si="14"/>
        <v>1200000769NCSS-11229 VT VN</v>
      </c>
      <c r="F454" s="133" t="s">
        <v>3288</v>
      </c>
      <c r="G454" s="133" t="s">
        <v>3882</v>
      </c>
      <c r="H454" s="133">
        <f>VLOOKUP(G454,'packing mapping'!A:B,2,0)</f>
        <v>18</v>
      </c>
      <c r="I454" s="137">
        <v>1687140</v>
      </c>
      <c r="J454" s="132">
        <f t="shared" si="15"/>
        <v>93730</v>
      </c>
    </row>
    <row r="455" spans="1:10">
      <c r="A455" s="115" t="s">
        <v>778</v>
      </c>
      <c r="B455" s="115" t="s">
        <v>779</v>
      </c>
      <c r="C455" s="115" t="s">
        <v>1706</v>
      </c>
      <c r="D455" s="115" t="s">
        <v>1707</v>
      </c>
      <c r="E455" s="133" t="str">
        <f t="shared" si="14"/>
        <v>1200000769DC-12229 LC KM02 05 K1 VN</v>
      </c>
      <c r="F455" s="133" t="s">
        <v>3289</v>
      </c>
      <c r="G455" s="133" t="s">
        <v>3881</v>
      </c>
      <c r="H455" s="133">
        <f>VLOOKUP(G455,'packing mapping'!A:B,2,0)</f>
        <v>20</v>
      </c>
      <c r="I455" s="137">
        <v>3292600</v>
      </c>
      <c r="J455" s="132">
        <f t="shared" si="15"/>
        <v>164630</v>
      </c>
    </row>
    <row r="456" spans="1:10">
      <c r="A456" s="115" t="s">
        <v>778</v>
      </c>
      <c r="B456" s="115" t="s">
        <v>779</v>
      </c>
      <c r="C456" s="115" t="s">
        <v>1422</v>
      </c>
      <c r="D456" s="115" t="s">
        <v>1423</v>
      </c>
      <c r="E456" s="133" t="str">
        <f t="shared" si="14"/>
        <v>1200000769THPU-71306 WP LC VN</v>
      </c>
      <c r="F456" s="133" t="s">
        <v>3159</v>
      </c>
      <c r="G456" s="133" t="s">
        <v>3880</v>
      </c>
      <c r="H456" s="133">
        <f>VLOOKUP(G456,'packing mapping'!A:B,2,0)</f>
        <v>20</v>
      </c>
      <c r="I456" s="137">
        <v>1333000</v>
      </c>
      <c r="J456" s="132">
        <f t="shared" si="15"/>
        <v>66650</v>
      </c>
    </row>
    <row r="457" spans="1:10">
      <c r="A457" s="115" t="s">
        <v>778</v>
      </c>
      <c r="B457" s="115" t="s">
        <v>779</v>
      </c>
      <c r="C457" s="115" t="s">
        <v>1332</v>
      </c>
      <c r="D457" s="115" t="s">
        <v>1333</v>
      </c>
      <c r="E457" s="133" t="str">
        <f t="shared" si="14"/>
        <v>1200000769WFPU-51000 VN</v>
      </c>
      <c r="F457" s="133" t="s">
        <v>3117</v>
      </c>
      <c r="G457" s="133" t="s">
        <v>3881</v>
      </c>
      <c r="H457" s="133">
        <f>VLOOKUP(G457,'packing mapping'!A:B,2,0)</f>
        <v>20</v>
      </c>
      <c r="I457" s="137">
        <v>1973600</v>
      </c>
      <c r="J457" s="132">
        <f t="shared" si="15"/>
        <v>98680</v>
      </c>
    </row>
    <row r="458" spans="1:10">
      <c r="A458" s="115" t="s">
        <v>778</v>
      </c>
      <c r="B458" s="115" t="s">
        <v>779</v>
      </c>
      <c r="C458" s="115" t="s">
        <v>1708</v>
      </c>
      <c r="D458" s="115" t="s">
        <v>1709</v>
      </c>
      <c r="E458" s="133" t="str">
        <f t="shared" si="14"/>
        <v>1200000769GZ-12700 N SOI A2 K1 VN</v>
      </c>
      <c r="F458" s="133" t="s">
        <v>3290</v>
      </c>
      <c r="G458" s="133" t="s">
        <v>3890</v>
      </c>
      <c r="H458" s="133">
        <f>VLOOKUP(G458,'packing mapping'!A:B,2,0)</f>
        <v>16</v>
      </c>
      <c r="I458" s="137">
        <v>3926720</v>
      </c>
      <c r="J458" s="132">
        <f t="shared" si="15"/>
        <v>245420</v>
      </c>
    </row>
    <row r="459" spans="1:10">
      <c r="A459" s="115" t="s">
        <v>778</v>
      </c>
      <c r="B459" s="115" t="s">
        <v>779</v>
      </c>
      <c r="C459" s="115" t="s">
        <v>1710</v>
      </c>
      <c r="D459" s="115" t="s">
        <v>1711</v>
      </c>
      <c r="E459" s="133" t="str">
        <f t="shared" si="14"/>
        <v>1200000769DC-12207 WHITE DOVE 30 K1 VN</v>
      </c>
      <c r="F459" s="133" t="s">
        <v>3291</v>
      </c>
      <c r="G459" s="133" t="s">
        <v>3882</v>
      </c>
      <c r="H459" s="133">
        <f>VLOOKUP(G459,'packing mapping'!A:B,2,0)</f>
        <v>18</v>
      </c>
      <c r="I459" s="137">
        <v>2793600</v>
      </c>
      <c r="J459" s="132">
        <f t="shared" si="15"/>
        <v>155200</v>
      </c>
    </row>
    <row r="460" spans="1:10">
      <c r="A460" s="115" t="s">
        <v>778</v>
      </c>
      <c r="B460" s="115" t="s">
        <v>779</v>
      </c>
      <c r="C460" s="115" t="s">
        <v>1712</v>
      </c>
      <c r="D460" s="115" t="s">
        <v>1713</v>
      </c>
      <c r="E460" s="133" t="str">
        <f t="shared" si="14"/>
        <v>1200000769DC-12207 GREY TRF 10 K1 VN</v>
      </c>
      <c r="F460" s="133" t="s">
        <v>3292</v>
      </c>
      <c r="G460" s="133" t="s">
        <v>3882</v>
      </c>
      <c r="H460" s="133">
        <f>VLOOKUP(G460,'packing mapping'!A:B,2,0)</f>
        <v>18</v>
      </c>
      <c r="I460" s="137">
        <v>3393540</v>
      </c>
      <c r="J460" s="132">
        <f t="shared" si="15"/>
        <v>188530</v>
      </c>
    </row>
    <row r="461" spans="1:10">
      <c r="A461" s="115" t="s">
        <v>846</v>
      </c>
      <c r="B461" s="115" t="s">
        <v>847</v>
      </c>
      <c r="C461" s="115" t="s">
        <v>1192</v>
      </c>
      <c r="D461" s="115" t="s">
        <v>1193</v>
      </c>
      <c r="E461" s="133" t="str">
        <f t="shared" si="14"/>
        <v>1200000891PCL-31300 BLACK PASTE</v>
      </c>
      <c r="F461" s="133" t="s">
        <v>3050</v>
      </c>
      <c r="G461" s="133" t="s">
        <v>3883</v>
      </c>
      <c r="H461" s="133">
        <f>VLOOKUP(G461,'packing mapping'!A:B,2,0)</f>
        <v>4</v>
      </c>
      <c r="I461" s="137">
        <v>2082000</v>
      </c>
      <c r="J461" s="132">
        <f t="shared" si="15"/>
        <v>520500</v>
      </c>
    </row>
    <row r="462" spans="1:10">
      <c r="A462" s="115" t="s">
        <v>846</v>
      </c>
      <c r="B462" s="115" t="s">
        <v>847</v>
      </c>
      <c r="C462" s="115" t="s">
        <v>1200</v>
      </c>
      <c r="D462" s="115" t="s">
        <v>1201</v>
      </c>
      <c r="E462" s="133" t="str">
        <f t="shared" si="14"/>
        <v>1200000891PCL-31300 RED OB 35 PASTE</v>
      </c>
      <c r="F462" s="133" t="s">
        <v>3054</v>
      </c>
      <c r="G462" s="133" t="s">
        <v>3883</v>
      </c>
      <c r="H462" s="133">
        <f>VLOOKUP(G462,'packing mapping'!A:B,2,0)</f>
        <v>4</v>
      </c>
      <c r="I462" s="137">
        <v>1640120</v>
      </c>
      <c r="J462" s="132">
        <f t="shared" si="15"/>
        <v>410030</v>
      </c>
    </row>
    <row r="463" spans="1:10">
      <c r="A463" s="115" t="s">
        <v>846</v>
      </c>
      <c r="B463" s="115" t="s">
        <v>847</v>
      </c>
      <c r="C463" s="115" t="s">
        <v>1202</v>
      </c>
      <c r="D463" s="115" t="s">
        <v>1203</v>
      </c>
      <c r="E463" s="133" t="str">
        <f t="shared" si="14"/>
        <v>1200000891PCL-31300 WHITE PASTE</v>
      </c>
      <c r="F463" s="133" t="s">
        <v>3055</v>
      </c>
      <c r="G463" s="133" t="s">
        <v>3883</v>
      </c>
      <c r="H463" s="133">
        <f>VLOOKUP(G463,'packing mapping'!A:B,2,0)</f>
        <v>4</v>
      </c>
      <c r="I463" s="137">
        <v>1027520</v>
      </c>
      <c r="J463" s="132">
        <f t="shared" si="15"/>
        <v>256880</v>
      </c>
    </row>
    <row r="464" spans="1:10">
      <c r="A464" s="115" t="s">
        <v>846</v>
      </c>
      <c r="B464" s="115" t="s">
        <v>847</v>
      </c>
      <c r="C464" s="115" t="s">
        <v>1204</v>
      </c>
      <c r="D464" s="115" t="s">
        <v>1205</v>
      </c>
      <c r="E464" s="133" t="str">
        <f t="shared" si="14"/>
        <v>1200000891PCL-31300 YELLOW OG 16 PASTE</v>
      </c>
      <c r="F464" s="133" t="s">
        <v>3056</v>
      </c>
      <c r="G464" s="133" t="s">
        <v>3883</v>
      </c>
      <c r="H464" s="133">
        <f>VLOOKUP(G464,'packing mapping'!A:B,2,0)</f>
        <v>4</v>
      </c>
      <c r="I464" s="137">
        <v>3592400</v>
      </c>
      <c r="J464" s="132">
        <f t="shared" si="15"/>
        <v>898100</v>
      </c>
    </row>
    <row r="465" spans="1:10">
      <c r="A465" s="115" t="s">
        <v>846</v>
      </c>
      <c r="B465" s="115" t="s">
        <v>847</v>
      </c>
      <c r="C465" s="115" t="s">
        <v>1714</v>
      </c>
      <c r="D465" s="115" t="s">
        <v>1715</v>
      </c>
      <c r="E465" s="133" t="str">
        <f t="shared" si="14"/>
        <v>1200000891PUC-54205 AC WHITE 08 AA VN</v>
      </c>
      <c r="F465" s="133" t="s">
        <v>3293</v>
      </c>
      <c r="G465" s="133" t="s">
        <v>3881</v>
      </c>
      <c r="H465" s="133">
        <f>VLOOKUP(G465,'packing mapping'!A:B,2,0)</f>
        <v>20</v>
      </c>
      <c r="I465" s="137">
        <v>4024200</v>
      </c>
      <c r="J465" s="132">
        <f t="shared" si="15"/>
        <v>201210</v>
      </c>
    </row>
    <row r="466" spans="1:10">
      <c r="A466" s="115" t="s">
        <v>846</v>
      </c>
      <c r="B466" s="115" t="s">
        <v>847</v>
      </c>
      <c r="C466" s="115" t="s">
        <v>1388</v>
      </c>
      <c r="D466" s="115" t="s">
        <v>1389</v>
      </c>
      <c r="E466" s="133" t="str">
        <f t="shared" si="14"/>
        <v>1200000891PUC-54205 AC WHITE 10 VN</v>
      </c>
      <c r="F466" s="133" t="s">
        <v>3144</v>
      </c>
      <c r="G466" s="133" t="s">
        <v>3881</v>
      </c>
      <c r="H466" s="133">
        <f>VLOOKUP(G466,'packing mapping'!A:B,2,0)</f>
        <v>20</v>
      </c>
      <c r="I466" s="137">
        <v>3962400</v>
      </c>
      <c r="J466" s="132">
        <f t="shared" si="15"/>
        <v>198120</v>
      </c>
    </row>
    <row r="467" spans="1:10">
      <c r="A467" s="115" t="s">
        <v>846</v>
      </c>
      <c r="B467" s="115" t="s">
        <v>847</v>
      </c>
      <c r="C467" s="115" t="s">
        <v>1716</v>
      </c>
      <c r="D467" s="115" t="s">
        <v>1717</v>
      </c>
      <c r="E467" s="133" t="str">
        <f t="shared" si="14"/>
        <v>1200000891PUH-56306 LY VN</v>
      </c>
      <c r="F467" s="133" t="s">
        <v>3059</v>
      </c>
      <c r="G467" s="133" t="s">
        <v>3888</v>
      </c>
      <c r="H467" s="133">
        <f>VLOOKUP(G467,'packing mapping'!A:B,2,0)</f>
        <v>4</v>
      </c>
      <c r="I467" s="137">
        <v>1136000</v>
      </c>
      <c r="J467" s="132">
        <f t="shared" si="15"/>
        <v>284000</v>
      </c>
    </row>
    <row r="468" spans="1:10">
      <c r="A468" s="115" t="s">
        <v>846</v>
      </c>
      <c r="B468" s="115" t="s">
        <v>847</v>
      </c>
      <c r="C468" s="115" t="s">
        <v>1210</v>
      </c>
      <c r="D468" s="115" t="s">
        <v>1211</v>
      </c>
      <c r="E468" s="133" t="str">
        <f t="shared" si="14"/>
        <v>1200000891PUH-56306 LY VN</v>
      </c>
      <c r="F468" s="133" t="s">
        <v>3059</v>
      </c>
      <c r="G468" s="133" t="s">
        <v>3879</v>
      </c>
      <c r="H468" s="133">
        <f>VLOOKUP(G468,'packing mapping'!A:B,2,0)</f>
        <v>20</v>
      </c>
      <c r="I468" s="137">
        <v>5279400</v>
      </c>
      <c r="J468" s="132">
        <f t="shared" si="15"/>
        <v>263970</v>
      </c>
    </row>
    <row r="469" spans="1:10">
      <c r="A469" s="115" t="s">
        <v>846</v>
      </c>
      <c r="B469" s="115" t="s">
        <v>847</v>
      </c>
      <c r="C469" s="115" t="s">
        <v>1718</v>
      </c>
      <c r="D469" s="115" t="s">
        <v>1719</v>
      </c>
      <c r="E469" s="133" t="str">
        <f t="shared" si="14"/>
        <v>1200000891PUL-51341 CLEAR 10 VN</v>
      </c>
      <c r="F469" s="133" t="s">
        <v>3294</v>
      </c>
      <c r="G469" s="133" t="s">
        <v>3882</v>
      </c>
      <c r="H469" s="133">
        <f>VLOOKUP(G469,'packing mapping'!A:B,2,0)</f>
        <v>18</v>
      </c>
      <c r="I469" s="137">
        <v>2719260</v>
      </c>
      <c r="J469" s="132">
        <f t="shared" si="15"/>
        <v>151070</v>
      </c>
    </row>
    <row r="470" spans="1:10">
      <c r="A470" s="115" t="s">
        <v>846</v>
      </c>
      <c r="B470" s="115" t="s">
        <v>847</v>
      </c>
      <c r="C470" s="115" t="s">
        <v>1542</v>
      </c>
      <c r="D470" s="115" t="s">
        <v>1543</v>
      </c>
      <c r="E470" s="133" t="str">
        <f t="shared" si="14"/>
        <v>1200000891PUL-53306 AC EX CLEAR 05 VN</v>
      </c>
      <c r="F470" s="133" t="s">
        <v>3211</v>
      </c>
      <c r="G470" s="133" t="s">
        <v>3879</v>
      </c>
      <c r="H470" s="133">
        <f>VLOOKUP(G470,'packing mapping'!A:B,2,0)</f>
        <v>20</v>
      </c>
      <c r="I470" s="137">
        <v>4308600</v>
      </c>
      <c r="J470" s="132">
        <f t="shared" si="15"/>
        <v>215430</v>
      </c>
    </row>
    <row r="471" spans="1:10">
      <c r="A471" s="115" t="s">
        <v>846</v>
      </c>
      <c r="B471" s="115" t="s">
        <v>847</v>
      </c>
      <c r="C471" s="115" t="s">
        <v>1216</v>
      </c>
      <c r="D471" s="115" t="s">
        <v>1217</v>
      </c>
      <c r="E471" s="133" t="str">
        <f t="shared" si="14"/>
        <v>1200000891PUL-53306 AC EX CLEAR 90 VN</v>
      </c>
      <c r="F471" s="133" t="s">
        <v>3062</v>
      </c>
      <c r="G471" s="133" t="s">
        <v>3879</v>
      </c>
      <c r="H471" s="133">
        <f>VLOOKUP(G471,'packing mapping'!A:B,2,0)</f>
        <v>20</v>
      </c>
      <c r="I471" s="137">
        <v>3876400</v>
      </c>
      <c r="J471" s="132">
        <f t="shared" si="15"/>
        <v>193820</v>
      </c>
    </row>
    <row r="472" spans="1:10">
      <c r="A472" s="115" t="s">
        <v>846</v>
      </c>
      <c r="B472" s="115" t="s">
        <v>847</v>
      </c>
      <c r="C472" s="115" t="s">
        <v>1720</v>
      </c>
      <c r="D472" s="115" t="s">
        <v>1721</v>
      </c>
      <c r="E472" s="133" t="str">
        <f t="shared" si="14"/>
        <v>1200000891PUP-52141 BLACK 01 VN</v>
      </c>
      <c r="F472" s="133" t="s">
        <v>3295</v>
      </c>
      <c r="G472" s="133" t="s">
        <v>3881</v>
      </c>
      <c r="H472" s="133">
        <f>VLOOKUP(G472,'packing mapping'!A:B,2,0)</f>
        <v>20</v>
      </c>
      <c r="I472" s="137">
        <v>2269000</v>
      </c>
      <c r="J472" s="132">
        <f t="shared" si="15"/>
        <v>113450</v>
      </c>
    </row>
    <row r="473" spans="1:10">
      <c r="A473" s="115" t="s">
        <v>846</v>
      </c>
      <c r="B473" s="115" t="s">
        <v>847</v>
      </c>
      <c r="C473" s="115" t="s">
        <v>1476</v>
      </c>
      <c r="D473" s="115" t="s">
        <v>1477</v>
      </c>
      <c r="E473" s="133" t="str">
        <f t="shared" si="14"/>
        <v>1200000891PUP-52141 WHITE 01 VN</v>
      </c>
      <c r="F473" s="133" t="s">
        <v>3184</v>
      </c>
      <c r="G473" s="133" t="s">
        <v>3881</v>
      </c>
      <c r="H473" s="133">
        <f>VLOOKUP(G473,'packing mapping'!A:B,2,0)</f>
        <v>20</v>
      </c>
      <c r="I473" s="137">
        <v>2341800</v>
      </c>
      <c r="J473" s="132">
        <f t="shared" si="15"/>
        <v>117090</v>
      </c>
    </row>
    <row r="474" spans="1:10">
      <c r="A474" s="115" t="s">
        <v>846</v>
      </c>
      <c r="B474" s="115" t="s">
        <v>847</v>
      </c>
      <c r="C474" s="115" t="s">
        <v>1478</v>
      </c>
      <c r="D474" s="115" t="s">
        <v>1479</v>
      </c>
      <c r="E474" s="133" t="str">
        <f t="shared" si="14"/>
        <v>1200000891PUSS-51241 VN</v>
      </c>
      <c r="F474" s="133" t="s">
        <v>3185</v>
      </c>
      <c r="G474" s="133" t="s">
        <v>3881</v>
      </c>
      <c r="H474" s="133">
        <f>VLOOKUP(G474,'packing mapping'!A:B,2,0)</f>
        <v>20</v>
      </c>
      <c r="I474" s="137">
        <v>1856600</v>
      </c>
      <c r="J474" s="132">
        <f t="shared" si="15"/>
        <v>92830</v>
      </c>
    </row>
    <row r="475" spans="1:10">
      <c r="A475" s="115" t="s">
        <v>846</v>
      </c>
      <c r="B475" s="115" t="s">
        <v>847</v>
      </c>
      <c r="C475" s="115" t="s">
        <v>1242</v>
      </c>
      <c r="D475" s="115" t="s">
        <v>1243</v>
      </c>
      <c r="E475" s="133" t="str">
        <f t="shared" si="14"/>
        <v>1200000891THPU-71306 ST VN</v>
      </c>
      <c r="F475" s="133" t="s">
        <v>3039</v>
      </c>
      <c r="G475" s="133" t="s">
        <v>3884</v>
      </c>
      <c r="H475" s="133">
        <f>VLOOKUP(G475,'packing mapping'!A:B,2,0)</f>
        <v>200</v>
      </c>
      <c r="I475" s="137">
        <v>13468000</v>
      </c>
      <c r="J475" s="132">
        <f t="shared" si="15"/>
        <v>67340</v>
      </c>
    </row>
    <row r="476" spans="1:10">
      <c r="A476" s="115" t="s">
        <v>846</v>
      </c>
      <c r="B476" s="115" t="s">
        <v>847</v>
      </c>
      <c r="C476" s="115" t="s">
        <v>1170</v>
      </c>
      <c r="D476" s="115" t="s">
        <v>1171</v>
      </c>
      <c r="E476" s="133" t="str">
        <f t="shared" si="14"/>
        <v>1200000891THPU-71306 ST VN</v>
      </c>
      <c r="F476" s="133" t="s">
        <v>3039</v>
      </c>
      <c r="G476" s="133" t="s">
        <v>3880</v>
      </c>
      <c r="H476" s="133">
        <f>VLOOKUP(G476,'packing mapping'!A:B,2,0)</f>
        <v>20</v>
      </c>
      <c r="I476" s="137">
        <v>1482200</v>
      </c>
      <c r="J476" s="132">
        <f t="shared" si="15"/>
        <v>74110</v>
      </c>
    </row>
    <row r="477" spans="1:10">
      <c r="A477" s="115" t="s">
        <v>846</v>
      </c>
      <c r="B477" s="115" t="s">
        <v>847</v>
      </c>
      <c r="C477" s="115" t="s">
        <v>1496</v>
      </c>
      <c r="D477" s="115" t="s">
        <v>1497</v>
      </c>
      <c r="E477" s="133" t="str">
        <f t="shared" si="14"/>
        <v>1200000891PUH-56141 VN</v>
      </c>
      <c r="F477" s="133" t="s">
        <v>3189</v>
      </c>
      <c r="G477" s="133" t="s">
        <v>3881</v>
      </c>
      <c r="H477" s="133">
        <f>VLOOKUP(G477,'packing mapping'!A:B,2,0)</f>
        <v>20</v>
      </c>
      <c r="I477" s="137">
        <v>3184800</v>
      </c>
      <c r="J477" s="132">
        <f t="shared" si="15"/>
        <v>159240</v>
      </c>
    </row>
    <row r="478" spans="1:10">
      <c r="A478" s="115" t="s">
        <v>171</v>
      </c>
      <c r="B478" s="115" t="s">
        <v>172</v>
      </c>
      <c r="C478" s="115" t="s">
        <v>1722</v>
      </c>
      <c r="D478" s="115" t="s">
        <v>1723</v>
      </c>
      <c r="E478" s="133" t="str">
        <f t="shared" si="14"/>
        <v>120000004111-260 AF PU THINNER</v>
      </c>
      <c r="F478" s="133" t="s">
        <v>3296</v>
      </c>
      <c r="G478" s="133" t="s">
        <v>3884</v>
      </c>
      <c r="H478" s="133">
        <f>VLOOKUP(G478,'packing mapping'!A:B,2,0)</f>
        <v>200</v>
      </c>
      <c r="I478" s="137">
        <v>10653600</v>
      </c>
      <c r="J478" s="132">
        <f t="shared" si="15"/>
        <v>53268</v>
      </c>
    </row>
    <row r="479" spans="1:10">
      <c r="A479" s="115" t="s">
        <v>171</v>
      </c>
      <c r="B479" s="115" t="s">
        <v>172</v>
      </c>
      <c r="C479" s="115" t="s">
        <v>1724</v>
      </c>
      <c r="D479" s="115" t="s">
        <v>1725</v>
      </c>
      <c r="E479" s="133" t="str">
        <f t="shared" si="14"/>
        <v>120000004116-1015 URT FLAT A ST 01</v>
      </c>
      <c r="F479" s="133" t="s">
        <v>3297</v>
      </c>
      <c r="G479" s="133" t="s">
        <v>3890</v>
      </c>
      <c r="H479" s="133">
        <f>VLOOKUP(G479,'packing mapping'!A:B,2,0)</f>
        <v>16</v>
      </c>
      <c r="I479" s="137">
        <v>1139440</v>
      </c>
      <c r="J479" s="132">
        <f t="shared" si="15"/>
        <v>71215</v>
      </c>
    </row>
    <row r="480" spans="1:10">
      <c r="A480" s="115" t="s">
        <v>171</v>
      </c>
      <c r="B480" s="115" t="s">
        <v>172</v>
      </c>
      <c r="C480" s="115" t="s">
        <v>1462</v>
      </c>
      <c r="D480" s="115" t="s">
        <v>1463</v>
      </c>
      <c r="E480" s="133" t="str">
        <f t="shared" si="14"/>
        <v>120000004164-56 MICRO FILLER VN</v>
      </c>
      <c r="F480" s="133" t="s">
        <v>3178</v>
      </c>
      <c r="G480" s="133" t="s">
        <v>3881</v>
      </c>
      <c r="H480" s="133">
        <f>VLOOKUP(G480,'packing mapping'!A:B,2,0)</f>
        <v>20</v>
      </c>
      <c r="I480" s="137">
        <v>1330560</v>
      </c>
      <c r="J480" s="132">
        <f t="shared" si="15"/>
        <v>66528</v>
      </c>
    </row>
    <row r="481" spans="1:10">
      <c r="A481" s="115" t="s">
        <v>171</v>
      </c>
      <c r="B481" s="115" t="s">
        <v>172</v>
      </c>
      <c r="C481" s="115" t="s">
        <v>1188</v>
      </c>
      <c r="D481" s="115" t="s">
        <v>1189</v>
      </c>
      <c r="E481" s="133" t="str">
        <f t="shared" si="14"/>
        <v>1200000041PCA-31100 BLACK PASTE VN</v>
      </c>
      <c r="F481" s="133" t="s">
        <v>3048</v>
      </c>
      <c r="G481" s="133" t="s">
        <v>3883</v>
      </c>
      <c r="H481" s="133">
        <f>VLOOKUP(G481,'packing mapping'!A:B,2,0)</f>
        <v>4</v>
      </c>
      <c r="I481" s="137">
        <v>1470572</v>
      </c>
      <c r="J481" s="132">
        <f t="shared" si="15"/>
        <v>367643</v>
      </c>
    </row>
    <row r="482" spans="1:10">
      <c r="A482" s="115" t="s">
        <v>171</v>
      </c>
      <c r="B482" s="115" t="s">
        <v>172</v>
      </c>
      <c r="C482" s="115" t="s">
        <v>1370</v>
      </c>
      <c r="D482" s="115" t="s">
        <v>1371</v>
      </c>
      <c r="E482" s="133" t="str">
        <f t="shared" si="14"/>
        <v>1200000041PCA-31100 BLUE OG PASTE VN</v>
      </c>
      <c r="F482" s="133" t="s">
        <v>3135</v>
      </c>
      <c r="G482" s="133" t="s">
        <v>3883</v>
      </c>
      <c r="H482" s="133">
        <f>VLOOKUP(G482,'packing mapping'!A:B,2,0)</f>
        <v>4</v>
      </c>
      <c r="I482" s="137">
        <v>1145792</v>
      </c>
      <c r="J482" s="132">
        <f t="shared" si="15"/>
        <v>286448</v>
      </c>
    </row>
    <row r="483" spans="1:10">
      <c r="A483" s="115" t="s">
        <v>171</v>
      </c>
      <c r="B483" s="115" t="s">
        <v>172</v>
      </c>
      <c r="C483" s="115" t="s">
        <v>1726</v>
      </c>
      <c r="D483" s="115" t="s">
        <v>1727</v>
      </c>
      <c r="E483" s="133" t="str">
        <f t="shared" si="14"/>
        <v>1200000041PCA-31100 BROWN 645 PASTE VN</v>
      </c>
      <c r="F483" s="133" t="s">
        <v>3298</v>
      </c>
      <c r="G483" s="133" t="s">
        <v>3883</v>
      </c>
      <c r="H483" s="133">
        <f>VLOOKUP(G483,'packing mapping'!A:B,2,0)</f>
        <v>4</v>
      </c>
      <c r="I483" s="137">
        <v>751616</v>
      </c>
      <c r="J483" s="132">
        <f t="shared" si="15"/>
        <v>187904</v>
      </c>
    </row>
    <row r="484" spans="1:10">
      <c r="A484" s="115" t="s">
        <v>171</v>
      </c>
      <c r="B484" s="115" t="s">
        <v>172</v>
      </c>
      <c r="C484" s="115" t="s">
        <v>1372</v>
      </c>
      <c r="D484" s="115" t="s">
        <v>1373</v>
      </c>
      <c r="E484" s="133" t="str">
        <f t="shared" si="14"/>
        <v>1200000041PCA-31100 OXIDE RED PASTE VN</v>
      </c>
      <c r="F484" s="133" t="s">
        <v>3136</v>
      </c>
      <c r="G484" s="133" t="s">
        <v>3883</v>
      </c>
      <c r="H484" s="133">
        <f>VLOOKUP(G484,'packing mapping'!A:B,2,0)</f>
        <v>4</v>
      </c>
      <c r="I484" s="137">
        <v>954376</v>
      </c>
      <c r="J484" s="132">
        <f t="shared" si="15"/>
        <v>238594</v>
      </c>
    </row>
    <row r="485" spans="1:10">
      <c r="A485" s="115" t="s">
        <v>171</v>
      </c>
      <c r="B485" s="115" t="s">
        <v>172</v>
      </c>
      <c r="C485" s="115" t="s">
        <v>1374</v>
      </c>
      <c r="D485" s="115" t="s">
        <v>1375</v>
      </c>
      <c r="E485" s="133" t="str">
        <f t="shared" si="14"/>
        <v>1200000041PCA-31100 RED OB 35 PASTE VN</v>
      </c>
      <c r="F485" s="133" t="s">
        <v>3137</v>
      </c>
      <c r="G485" s="133" t="s">
        <v>3883</v>
      </c>
      <c r="H485" s="133">
        <f>VLOOKUP(G485,'packing mapping'!A:B,2,0)</f>
        <v>4</v>
      </c>
      <c r="I485" s="137">
        <v>2858132</v>
      </c>
      <c r="J485" s="132">
        <f t="shared" si="15"/>
        <v>714533</v>
      </c>
    </row>
    <row r="486" spans="1:10">
      <c r="A486" s="115" t="s">
        <v>171</v>
      </c>
      <c r="B486" s="115" t="s">
        <v>172</v>
      </c>
      <c r="C486" s="115" t="s">
        <v>1190</v>
      </c>
      <c r="D486" s="115" t="s">
        <v>1191</v>
      </c>
      <c r="E486" s="133" t="str">
        <f t="shared" si="14"/>
        <v>1200000041PCA-31100 WHITE PASTE VN</v>
      </c>
      <c r="F486" s="133" t="s">
        <v>3049</v>
      </c>
      <c r="G486" s="133" t="s">
        <v>3883</v>
      </c>
      <c r="H486" s="133">
        <f>VLOOKUP(G486,'packing mapping'!A:B,2,0)</f>
        <v>4</v>
      </c>
      <c r="I486" s="137">
        <v>772480</v>
      </c>
      <c r="J486" s="132">
        <f t="shared" si="15"/>
        <v>193120</v>
      </c>
    </row>
    <row r="487" spans="1:10">
      <c r="A487" s="115" t="s">
        <v>171</v>
      </c>
      <c r="B487" s="115" t="s">
        <v>172</v>
      </c>
      <c r="C487" s="115" t="s">
        <v>1376</v>
      </c>
      <c r="D487" s="115" t="s">
        <v>1377</v>
      </c>
      <c r="E487" s="133" t="str">
        <f t="shared" si="14"/>
        <v>1200000041PCA-31100 YELLOW HR PASTE VN</v>
      </c>
      <c r="F487" s="133" t="s">
        <v>3138</v>
      </c>
      <c r="G487" s="133" t="s">
        <v>3883</v>
      </c>
      <c r="H487" s="133">
        <f>VLOOKUP(G487,'packing mapping'!A:B,2,0)</f>
        <v>4</v>
      </c>
      <c r="I487" s="137">
        <v>1767680</v>
      </c>
      <c r="J487" s="132">
        <f t="shared" si="15"/>
        <v>441920</v>
      </c>
    </row>
    <row r="488" spans="1:10">
      <c r="A488" s="115" t="s">
        <v>171</v>
      </c>
      <c r="B488" s="115" t="s">
        <v>172</v>
      </c>
      <c r="C488" s="115" t="s">
        <v>1468</v>
      </c>
      <c r="D488" s="115" t="s">
        <v>1469</v>
      </c>
      <c r="E488" s="133" t="str">
        <f t="shared" si="14"/>
        <v>1200000041PCA-31100 YELLOW OG 16 PASTE VN</v>
      </c>
      <c r="F488" s="133" t="s">
        <v>3180</v>
      </c>
      <c r="G488" s="133" t="s">
        <v>3883</v>
      </c>
      <c r="H488" s="133">
        <f>VLOOKUP(G488,'packing mapping'!A:B,2,0)</f>
        <v>4</v>
      </c>
      <c r="I488" s="137">
        <v>2747908</v>
      </c>
      <c r="J488" s="132">
        <f t="shared" si="15"/>
        <v>686977</v>
      </c>
    </row>
    <row r="489" spans="1:10">
      <c r="A489" s="115" t="s">
        <v>171</v>
      </c>
      <c r="B489" s="115" t="s">
        <v>172</v>
      </c>
      <c r="C489" s="115" t="s">
        <v>1378</v>
      </c>
      <c r="D489" s="115" t="s">
        <v>1379</v>
      </c>
      <c r="E489" s="133" t="str">
        <f t="shared" si="14"/>
        <v>1200000041PCA-31100 YELLOW OKER PASTE VN</v>
      </c>
      <c r="F489" s="133" t="s">
        <v>3139</v>
      </c>
      <c r="G489" s="133" t="s">
        <v>3883</v>
      </c>
      <c r="H489" s="133">
        <f>VLOOKUP(G489,'packing mapping'!A:B,2,0)</f>
        <v>4</v>
      </c>
      <c r="I489" s="137">
        <v>729388</v>
      </c>
      <c r="J489" s="132">
        <f t="shared" si="15"/>
        <v>182347</v>
      </c>
    </row>
    <row r="490" spans="1:10">
      <c r="A490" s="115" t="s">
        <v>171</v>
      </c>
      <c r="B490" s="115" t="s">
        <v>172</v>
      </c>
      <c r="C490" s="115" t="s">
        <v>1728</v>
      </c>
      <c r="D490" s="115" t="s">
        <v>1729</v>
      </c>
      <c r="E490" s="133" t="str">
        <f t="shared" si="14"/>
        <v>1200000041PCL-31300 BLACK PASTE VN</v>
      </c>
      <c r="F490" s="133" t="s">
        <v>3299</v>
      </c>
      <c r="G490" s="133" t="s">
        <v>3883</v>
      </c>
      <c r="H490" s="133">
        <f>VLOOKUP(G490,'packing mapping'!A:B,2,0)</f>
        <v>4</v>
      </c>
      <c r="I490" s="137">
        <v>1356716</v>
      </c>
      <c r="J490" s="132">
        <f t="shared" si="15"/>
        <v>339179</v>
      </c>
    </row>
    <row r="491" spans="1:10">
      <c r="A491" s="115" t="s">
        <v>171</v>
      </c>
      <c r="B491" s="115" t="s">
        <v>172</v>
      </c>
      <c r="C491" s="115" t="s">
        <v>1200</v>
      </c>
      <c r="D491" s="115" t="s">
        <v>1201</v>
      </c>
      <c r="E491" s="133" t="str">
        <f t="shared" si="14"/>
        <v>1200000041PCL-31300 RED OB 35 PASTE</v>
      </c>
      <c r="F491" s="133" t="s">
        <v>3054</v>
      </c>
      <c r="G491" s="133" t="s">
        <v>3883</v>
      </c>
      <c r="H491" s="133">
        <f>VLOOKUP(G491,'packing mapping'!A:B,2,0)</f>
        <v>4</v>
      </c>
      <c r="I491" s="137">
        <v>1770856</v>
      </c>
      <c r="J491" s="132">
        <f t="shared" si="15"/>
        <v>442714</v>
      </c>
    </row>
    <row r="492" spans="1:10">
      <c r="A492" s="115" t="s">
        <v>171</v>
      </c>
      <c r="B492" s="115" t="s">
        <v>172</v>
      </c>
      <c r="C492" s="115" t="s">
        <v>1204</v>
      </c>
      <c r="D492" s="115" t="s">
        <v>1205</v>
      </c>
      <c r="E492" s="133" t="str">
        <f t="shared" si="14"/>
        <v>1200000041PCL-31300 YELLOW OG 16 PASTE</v>
      </c>
      <c r="F492" s="133" t="s">
        <v>3056</v>
      </c>
      <c r="G492" s="133" t="s">
        <v>3883</v>
      </c>
      <c r="H492" s="133">
        <f>VLOOKUP(G492,'packing mapping'!A:B,2,0)</f>
        <v>4</v>
      </c>
      <c r="I492" s="137">
        <v>3191528</v>
      </c>
      <c r="J492" s="132">
        <f t="shared" si="15"/>
        <v>797882</v>
      </c>
    </row>
    <row r="493" spans="1:10">
      <c r="A493" s="115" t="s">
        <v>171</v>
      </c>
      <c r="B493" s="115" t="s">
        <v>172</v>
      </c>
      <c r="C493" s="115" t="s">
        <v>1730</v>
      </c>
      <c r="D493" s="115" t="s">
        <v>1731</v>
      </c>
      <c r="E493" s="133" t="str">
        <f t="shared" si="14"/>
        <v>1200000041THC-73100 202 VN</v>
      </c>
      <c r="F493" s="133" t="s">
        <v>3300</v>
      </c>
      <c r="G493" s="133" t="s">
        <v>3880</v>
      </c>
      <c r="H493" s="133">
        <f>VLOOKUP(G493,'packing mapping'!A:B,2,0)</f>
        <v>20</v>
      </c>
      <c r="I493" s="137">
        <v>890920</v>
      </c>
      <c r="J493" s="132">
        <f t="shared" si="15"/>
        <v>44546</v>
      </c>
    </row>
    <row r="494" spans="1:10">
      <c r="A494" s="115" t="s">
        <v>171</v>
      </c>
      <c r="B494" s="115" t="s">
        <v>172</v>
      </c>
      <c r="C494" s="115" t="s">
        <v>1732</v>
      </c>
      <c r="D494" s="115" t="s">
        <v>1733</v>
      </c>
      <c r="E494" s="133" t="str">
        <f t="shared" si="14"/>
        <v>1200000041THC-73100-252 VN</v>
      </c>
      <c r="F494" s="133" t="s">
        <v>3301</v>
      </c>
      <c r="G494" s="133" t="s">
        <v>3884</v>
      </c>
      <c r="H494" s="133">
        <f>VLOOKUP(G494,'packing mapping'!A:B,2,0)</f>
        <v>200</v>
      </c>
      <c r="I494" s="137">
        <v>19328200</v>
      </c>
      <c r="J494" s="132">
        <f t="shared" si="15"/>
        <v>96641</v>
      </c>
    </row>
    <row r="495" spans="1:10">
      <c r="A495" s="115" t="s">
        <v>171</v>
      </c>
      <c r="B495" s="115" t="s">
        <v>172</v>
      </c>
      <c r="C495" s="115" t="s">
        <v>1734</v>
      </c>
      <c r="D495" s="115" t="s">
        <v>1735</v>
      </c>
      <c r="E495" s="133" t="str">
        <f t="shared" si="14"/>
        <v>1200000041THC-73100-252 VN</v>
      </c>
      <c r="F495" s="133" t="s">
        <v>3301</v>
      </c>
      <c r="G495" s="133" t="s">
        <v>3880</v>
      </c>
      <c r="H495" s="133">
        <f>VLOOKUP(G495,'packing mapping'!A:B,2,0)</f>
        <v>20</v>
      </c>
      <c r="I495" s="137">
        <v>1991900</v>
      </c>
      <c r="J495" s="132">
        <f t="shared" si="15"/>
        <v>99595</v>
      </c>
    </row>
    <row r="496" spans="1:10">
      <c r="A496" s="115" t="s">
        <v>171</v>
      </c>
      <c r="B496" s="115" t="s">
        <v>172</v>
      </c>
      <c r="C496" s="115" t="s">
        <v>1736</v>
      </c>
      <c r="D496" s="115" t="s">
        <v>1737</v>
      </c>
      <c r="E496" s="133" t="str">
        <f t="shared" si="14"/>
        <v>1200000041THC-73100-452 VN</v>
      </c>
      <c r="F496" s="133" t="s">
        <v>3302</v>
      </c>
      <c r="G496" s="133" t="s">
        <v>3884</v>
      </c>
      <c r="H496" s="133">
        <f>VLOOKUP(G496,'packing mapping'!A:B,2,0)</f>
        <v>200</v>
      </c>
      <c r="I496" s="137">
        <v>19328200</v>
      </c>
      <c r="J496" s="132">
        <f t="shared" si="15"/>
        <v>96641</v>
      </c>
    </row>
    <row r="497" spans="1:10">
      <c r="A497" s="115" t="s">
        <v>171</v>
      </c>
      <c r="B497" s="115" t="s">
        <v>172</v>
      </c>
      <c r="C497" s="115" t="s">
        <v>1738</v>
      </c>
      <c r="D497" s="115" t="s">
        <v>1739</v>
      </c>
      <c r="E497" s="133" t="str">
        <f t="shared" si="14"/>
        <v>1200000041THC-73100-452 VN</v>
      </c>
      <c r="F497" s="133" t="s">
        <v>3302</v>
      </c>
      <c r="G497" s="133" t="s">
        <v>3880</v>
      </c>
      <c r="H497" s="133">
        <f>VLOOKUP(G497,'packing mapping'!A:B,2,0)</f>
        <v>20</v>
      </c>
      <c r="I497" s="137">
        <v>1991900</v>
      </c>
      <c r="J497" s="132">
        <f t="shared" si="15"/>
        <v>99595</v>
      </c>
    </row>
    <row r="498" spans="1:10">
      <c r="A498" s="115" t="s">
        <v>171</v>
      </c>
      <c r="B498" s="115" t="s">
        <v>172</v>
      </c>
      <c r="C498" s="115" t="s">
        <v>1234</v>
      </c>
      <c r="D498" s="115" t="s">
        <v>1235</v>
      </c>
      <c r="E498" s="133" t="str">
        <f t="shared" si="14"/>
        <v>1200000041THC-73100-552 VN</v>
      </c>
      <c r="F498" s="133" t="s">
        <v>3071</v>
      </c>
      <c r="G498" s="133" t="s">
        <v>3885</v>
      </c>
      <c r="H498" s="133">
        <f>VLOOKUP(G498,'packing mapping'!A:B,2,0)</f>
        <v>18</v>
      </c>
      <c r="I498" s="137">
        <v>1296144</v>
      </c>
      <c r="J498" s="132">
        <f t="shared" si="15"/>
        <v>72008</v>
      </c>
    </row>
    <row r="499" spans="1:10">
      <c r="A499" s="115" t="s">
        <v>171</v>
      </c>
      <c r="B499" s="115" t="s">
        <v>172</v>
      </c>
      <c r="C499" s="115" t="s">
        <v>1740</v>
      </c>
      <c r="D499" s="115" t="s">
        <v>1741</v>
      </c>
      <c r="E499" s="133" t="str">
        <f t="shared" si="14"/>
        <v>1200000041THPU-71300 SB VN</v>
      </c>
      <c r="F499" s="133" t="s">
        <v>3303</v>
      </c>
      <c r="G499" s="133" t="s">
        <v>3884</v>
      </c>
      <c r="H499" s="133">
        <f>VLOOKUP(G499,'packing mapping'!A:B,2,0)</f>
        <v>200</v>
      </c>
      <c r="I499" s="137">
        <v>11627800</v>
      </c>
      <c r="J499" s="132">
        <f t="shared" si="15"/>
        <v>58139</v>
      </c>
    </row>
    <row r="500" spans="1:10">
      <c r="A500" s="115" t="s">
        <v>171</v>
      </c>
      <c r="B500" s="115" t="s">
        <v>172</v>
      </c>
      <c r="C500" s="115" t="s">
        <v>1742</v>
      </c>
      <c r="D500" s="115" t="s">
        <v>1743</v>
      </c>
      <c r="E500" s="133" t="str">
        <f t="shared" si="14"/>
        <v>120000004182-4025 UE AF URT WHITE A VN</v>
      </c>
      <c r="F500" s="133" t="s">
        <v>3304</v>
      </c>
      <c r="G500" s="133" t="s">
        <v>3890</v>
      </c>
      <c r="H500" s="133">
        <f>VLOOKUP(G500,'packing mapping'!A:B,2,0)</f>
        <v>16</v>
      </c>
      <c r="I500" s="137">
        <v>2286144</v>
      </c>
      <c r="J500" s="132">
        <f t="shared" si="15"/>
        <v>142884</v>
      </c>
    </row>
    <row r="501" spans="1:10">
      <c r="A501" s="115" t="s">
        <v>171</v>
      </c>
      <c r="B501" s="115" t="s">
        <v>172</v>
      </c>
      <c r="C501" s="115" t="s">
        <v>1744</v>
      </c>
      <c r="D501" s="115" t="s">
        <v>1745</v>
      </c>
      <c r="E501" s="133" t="str">
        <f t="shared" si="14"/>
        <v>120000004126-4020 URT WHITE A</v>
      </c>
      <c r="F501" s="133" t="s">
        <v>3305</v>
      </c>
      <c r="G501" s="133" t="s">
        <v>3890</v>
      </c>
      <c r="H501" s="133">
        <f>VLOOKUP(G501,'packing mapping'!A:B,2,0)</f>
        <v>16</v>
      </c>
      <c r="I501" s="137">
        <v>2199056</v>
      </c>
      <c r="J501" s="132">
        <f t="shared" si="15"/>
        <v>137441</v>
      </c>
    </row>
    <row r="502" spans="1:10">
      <c r="A502" s="115" t="s">
        <v>171</v>
      </c>
      <c r="B502" s="115" t="s">
        <v>172</v>
      </c>
      <c r="C502" s="115" t="s">
        <v>1248</v>
      </c>
      <c r="D502" s="115" t="s">
        <v>1249</v>
      </c>
      <c r="E502" s="133" t="str">
        <f t="shared" si="14"/>
        <v>1200000041MEPH-12003 PS VN</v>
      </c>
      <c r="F502" s="133" t="s">
        <v>3077</v>
      </c>
      <c r="G502" s="133" t="s">
        <v>3887</v>
      </c>
      <c r="H502" s="133">
        <f>VLOOKUP(G502,'packing mapping'!A:B,2,0)</f>
        <v>2</v>
      </c>
      <c r="I502" s="137">
        <v>440672</v>
      </c>
      <c r="J502" s="132">
        <f t="shared" si="15"/>
        <v>220336</v>
      </c>
    </row>
    <row r="503" spans="1:10">
      <c r="A503" s="115" t="s">
        <v>171</v>
      </c>
      <c r="B503" s="115" t="s">
        <v>172</v>
      </c>
      <c r="C503" s="115" t="s">
        <v>1746</v>
      </c>
      <c r="D503" s="115" t="s">
        <v>1747</v>
      </c>
      <c r="E503" s="133" t="str">
        <f t="shared" si="14"/>
        <v>120000004116-2005 URT SANDING A VN</v>
      </c>
      <c r="F503" s="133" t="s">
        <v>3306</v>
      </c>
      <c r="G503" s="133" t="s">
        <v>3889</v>
      </c>
      <c r="H503" s="133">
        <f>VLOOKUP(G503,'packing mapping'!A:B,2,0)</f>
        <v>200</v>
      </c>
      <c r="I503" s="137">
        <v>13358600</v>
      </c>
      <c r="J503" s="132">
        <f t="shared" si="15"/>
        <v>66793</v>
      </c>
    </row>
    <row r="504" spans="1:10">
      <c r="A504" s="115" t="s">
        <v>171</v>
      </c>
      <c r="B504" s="115" t="s">
        <v>172</v>
      </c>
      <c r="C504" s="115" t="s">
        <v>1748</v>
      </c>
      <c r="D504" s="115" t="s">
        <v>1749</v>
      </c>
      <c r="E504" s="133" t="str">
        <f t="shared" si="14"/>
        <v>120000004126-1005 URT FLAT A VN</v>
      </c>
      <c r="F504" s="133" t="s">
        <v>3307</v>
      </c>
      <c r="G504" s="133" t="s">
        <v>3890</v>
      </c>
      <c r="H504" s="133">
        <f>VLOOKUP(G504,'packing mapping'!A:B,2,0)</f>
        <v>16</v>
      </c>
      <c r="I504" s="137">
        <v>2171840</v>
      </c>
      <c r="J504" s="132">
        <f t="shared" si="15"/>
        <v>135740</v>
      </c>
    </row>
    <row r="505" spans="1:10">
      <c r="A505" s="115" t="s">
        <v>171</v>
      </c>
      <c r="B505" s="115" t="s">
        <v>172</v>
      </c>
      <c r="C505" s="115" t="s">
        <v>1750</v>
      </c>
      <c r="D505" s="115" t="s">
        <v>1751</v>
      </c>
      <c r="E505" s="133" t="str">
        <f t="shared" si="14"/>
        <v>120000004126-4029 URT WHITE A VN</v>
      </c>
      <c r="F505" s="133" t="s">
        <v>3308</v>
      </c>
      <c r="G505" s="133" t="s">
        <v>3890</v>
      </c>
      <c r="H505" s="133">
        <f>VLOOKUP(G505,'packing mapping'!A:B,2,0)</f>
        <v>16</v>
      </c>
      <c r="I505" s="137">
        <v>2217200</v>
      </c>
      <c r="J505" s="132">
        <f t="shared" si="15"/>
        <v>138575</v>
      </c>
    </row>
    <row r="506" spans="1:10">
      <c r="A506" s="115" t="s">
        <v>171</v>
      </c>
      <c r="B506" s="115" t="s">
        <v>172</v>
      </c>
      <c r="C506" s="115" t="s">
        <v>1752</v>
      </c>
      <c r="D506" s="115" t="s">
        <v>1753</v>
      </c>
      <c r="E506" s="133" t="str">
        <f t="shared" si="14"/>
        <v>120000004182-1189 UE AF URT FLAT A 5% VN</v>
      </c>
      <c r="F506" s="133" t="s">
        <v>3309</v>
      </c>
      <c r="G506" s="133" t="s">
        <v>3890</v>
      </c>
      <c r="H506" s="133">
        <f>VLOOKUP(G506,'packing mapping'!A:B,2,0)</f>
        <v>16</v>
      </c>
      <c r="I506" s="137">
        <v>2311552</v>
      </c>
      <c r="J506" s="132">
        <f t="shared" si="15"/>
        <v>144472</v>
      </c>
    </row>
    <row r="507" spans="1:10">
      <c r="A507" s="115" t="s">
        <v>171</v>
      </c>
      <c r="B507" s="115" t="s">
        <v>172</v>
      </c>
      <c r="C507" s="115" t="s">
        <v>1754</v>
      </c>
      <c r="D507" s="115" t="s">
        <v>1755</v>
      </c>
      <c r="E507" s="133" t="str">
        <f t="shared" si="14"/>
        <v>1200000041AL-088 VN</v>
      </c>
      <c r="F507" s="133" t="s">
        <v>3310</v>
      </c>
      <c r="G507" s="133" t="s">
        <v>3888</v>
      </c>
      <c r="H507" s="133">
        <f>VLOOKUP(G507,'packing mapping'!A:B,2,0)</f>
        <v>4</v>
      </c>
      <c r="I507" s="137">
        <v>752068</v>
      </c>
      <c r="J507" s="132">
        <f t="shared" si="15"/>
        <v>188017</v>
      </c>
    </row>
    <row r="508" spans="1:10">
      <c r="A508" s="115" t="s">
        <v>171</v>
      </c>
      <c r="B508" s="115" t="s">
        <v>172</v>
      </c>
      <c r="C508" s="115" t="s">
        <v>1756</v>
      </c>
      <c r="D508" s="115" t="s">
        <v>1757</v>
      </c>
      <c r="E508" s="133" t="str">
        <f t="shared" si="14"/>
        <v>1200000041AL-089 VN</v>
      </c>
      <c r="F508" s="133" t="s">
        <v>3311</v>
      </c>
      <c r="G508" s="133" t="s">
        <v>3881</v>
      </c>
      <c r="H508" s="133">
        <f>VLOOKUP(G508,'packing mapping'!A:B,2,0)</f>
        <v>20</v>
      </c>
      <c r="I508" s="137">
        <v>2079760</v>
      </c>
      <c r="J508" s="132">
        <f t="shared" si="15"/>
        <v>103988</v>
      </c>
    </row>
    <row r="509" spans="1:10">
      <c r="A509" s="115" t="s">
        <v>171</v>
      </c>
      <c r="B509" s="115" t="s">
        <v>172</v>
      </c>
      <c r="C509" s="115" t="s">
        <v>1758</v>
      </c>
      <c r="D509" s="115" t="s">
        <v>1759</v>
      </c>
      <c r="E509" s="133" t="str">
        <f t="shared" si="14"/>
        <v>1200000041AL-089 VN</v>
      </c>
      <c r="F509" s="133" t="s">
        <v>3311</v>
      </c>
      <c r="G509" s="133" t="s">
        <v>3883</v>
      </c>
      <c r="H509" s="133">
        <f>VLOOKUP(G509,'packing mapping'!A:B,2,0)</f>
        <v>4</v>
      </c>
      <c r="I509" s="137">
        <v>445436</v>
      </c>
      <c r="J509" s="132">
        <f t="shared" si="15"/>
        <v>111359</v>
      </c>
    </row>
    <row r="510" spans="1:10">
      <c r="A510" s="115" t="s">
        <v>171</v>
      </c>
      <c r="B510" s="115" t="s">
        <v>172</v>
      </c>
      <c r="C510" s="115" t="s">
        <v>1760</v>
      </c>
      <c r="D510" s="115" t="s">
        <v>1761</v>
      </c>
      <c r="E510" s="133" t="str">
        <f t="shared" si="14"/>
        <v>1200000041PUH-56312 NY VN</v>
      </c>
      <c r="F510" s="133" t="s">
        <v>3312</v>
      </c>
      <c r="G510" s="133" t="s">
        <v>3883</v>
      </c>
      <c r="H510" s="133">
        <f>VLOOKUP(G510,'packing mapping'!A:B,2,0)</f>
        <v>4</v>
      </c>
      <c r="I510" s="137">
        <v>941220</v>
      </c>
      <c r="J510" s="132">
        <f t="shared" si="15"/>
        <v>235305</v>
      </c>
    </row>
    <row r="511" spans="1:10">
      <c r="A511" s="115" t="s">
        <v>171</v>
      </c>
      <c r="B511" s="115" t="s">
        <v>172</v>
      </c>
      <c r="C511" s="115" t="s">
        <v>1298</v>
      </c>
      <c r="D511" s="115" t="s">
        <v>1299</v>
      </c>
      <c r="E511" s="133" t="str">
        <f t="shared" si="14"/>
        <v>1200000041PUP-52122 PUTTY VN</v>
      </c>
      <c r="F511" s="133" t="s">
        <v>3100</v>
      </c>
      <c r="G511" s="133" t="s">
        <v>3883</v>
      </c>
      <c r="H511" s="133">
        <f>VLOOKUP(G511,'packing mapping'!A:B,2,0)</f>
        <v>4</v>
      </c>
      <c r="I511" s="137">
        <v>237232</v>
      </c>
      <c r="J511" s="132">
        <f t="shared" si="15"/>
        <v>59308</v>
      </c>
    </row>
    <row r="512" spans="1:10">
      <c r="A512" s="115" t="s">
        <v>171</v>
      </c>
      <c r="B512" s="115" t="s">
        <v>172</v>
      </c>
      <c r="C512" s="115" t="s">
        <v>1762</v>
      </c>
      <c r="D512" s="115" t="s">
        <v>1763</v>
      </c>
      <c r="E512" s="133" t="str">
        <f t="shared" si="14"/>
        <v>1200000041PUH-56312 NY VN</v>
      </c>
      <c r="F512" s="133" t="s">
        <v>3312</v>
      </c>
      <c r="G512" s="133" t="s">
        <v>3890</v>
      </c>
      <c r="H512" s="133">
        <f>VLOOKUP(G512,'packing mapping'!A:B,2,0)</f>
        <v>16</v>
      </c>
      <c r="I512" s="137">
        <v>3764880</v>
      </c>
      <c r="J512" s="132">
        <f t="shared" si="15"/>
        <v>235305</v>
      </c>
    </row>
    <row r="513" spans="1:10">
      <c r="A513" s="115" t="s">
        <v>171</v>
      </c>
      <c r="B513" s="115" t="s">
        <v>172</v>
      </c>
      <c r="C513" s="115" t="s">
        <v>1764</v>
      </c>
      <c r="D513" s="115" t="s">
        <v>1765</v>
      </c>
      <c r="E513" s="133" t="str">
        <f t="shared" si="14"/>
        <v>120000004182-1099 UE AF URT FLAT A</v>
      </c>
      <c r="F513" s="133" t="s">
        <v>3313</v>
      </c>
      <c r="G513" s="133" t="s">
        <v>3890</v>
      </c>
      <c r="H513" s="133">
        <f>VLOOKUP(G513,'packing mapping'!A:B,2,0)</f>
        <v>16</v>
      </c>
      <c r="I513" s="137">
        <v>1460592</v>
      </c>
      <c r="J513" s="132">
        <f t="shared" si="15"/>
        <v>91287</v>
      </c>
    </row>
    <row r="514" spans="1:10">
      <c r="A514" s="115" t="s">
        <v>171</v>
      </c>
      <c r="B514" s="115" t="s">
        <v>172</v>
      </c>
      <c r="C514" s="115" t="s">
        <v>1766</v>
      </c>
      <c r="D514" s="115" t="s">
        <v>1767</v>
      </c>
      <c r="E514" s="133" t="str">
        <f t="shared" si="14"/>
        <v>120000004182-1047 UE AF URT FLAT A</v>
      </c>
      <c r="F514" s="133" t="s">
        <v>3314</v>
      </c>
      <c r="G514" s="133" t="s">
        <v>3890</v>
      </c>
      <c r="H514" s="133">
        <f>VLOOKUP(G514,'packing mapping'!A:B,2,0)</f>
        <v>16</v>
      </c>
      <c r="I514" s="137">
        <v>1181168</v>
      </c>
      <c r="J514" s="132">
        <f t="shared" si="15"/>
        <v>73823</v>
      </c>
    </row>
    <row r="515" spans="1:10">
      <c r="A515" s="115" t="s">
        <v>171</v>
      </c>
      <c r="B515" s="115" t="s">
        <v>172</v>
      </c>
      <c r="C515" s="115" t="s">
        <v>1768</v>
      </c>
      <c r="D515" s="115" t="s">
        <v>1769</v>
      </c>
      <c r="E515" s="133" t="str">
        <f t="shared" ref="E515:E578" si="16">A515&amp;F515</f>
        <v>1200000041PUC-54206 AC GLASS BLK 10 VN</v>
      </c>
      <c r="F515" s="133" t="s">
        <v>3315</v>
      </c>
      <c r="G515" s="133" t="s">
        <v>3890</v>
      </c>
      <c r="H515" s="133">
        <f>VLOOKUP(G515,'packing mapping'!A:B,2,0)</f>
        <v>16</v>
      </c>
      <c r="I515" s="137">
        <v>2799616</v>
      </c>
      <c r="J515" s="132">
        <f t="shared" ref="J515:J578" si="17">I515/H515</f>
        <v>174976</v>
      </c>
    </row>
    <row r="516" spans="1:10">
      <c r="A516" s="115" t="s">
        <v>171</v>
      </c>
      <c r="B516" s="115" t="s">
        <v>172</v>
      </c>
      <c r="C516" s="115" t="s">
        <v>1770</v>
      </c>
      <c r="D516" s="115" t="s">
        <v>1771</v>
      </c>
      <c r="E516" s="133" t="str">
        <f t="shared" si="16"/>
        <v>1200000041THPU-71300 SB VN</v>
      </c>
      <c r="F516" s="133" t="s">
        <v>3303</v>
      </c>
      <c r="G516" s="133" t="s">
        <v>3880</v>
      </c>
      <c r="H516" s="133">
        <f>VLOOKUP(G516,'packing mapping'!A:B,2,0)</f>
        <v>20</v>
      </c>
      <c r="I516" s="137">
        <v>1198940</v>
      </c>
      <c r="J516" s="132">
        <f t="shared" si="17"/>
        <v>59947</v>
      </c>
    </row>
    <row r="517" spans="1:10">
      <c r="A517" s="115" t="s">
        <v>171</v>
      </c>
      <c r="B517" s="115" t="s">
        <v>172</v>
      </c>
      <c r="C517" s="115" t="s">
        <v>1772</v>
      </c>
      <c r="D517" s="115" t="s">
        <v>1773</v>
      </c>
      <c r="E517" s="133" t="str">
        <f t="shared" si="16"/>
        <v>120000004111-260 AF PU THINNER</v>
      </c>
      <c r="F517" s="133" t="s">
        <v>3296</v>
      </c>
      <c r="G517" s="133" t="s">
        <v>3898</v>
      </c>
      <c r="H517" s="133">
        <f>VLOOKUP(G517,'packing mapping'!A:B,2,0)</f>
        <v>30</v>
      </c>
      <c r="I517" s="137">
        <v>1648140</v>
      </c>
      <c r="J517" s="132">
        <f t="shared" si="17"/>
        <v>54938</v>
      </c>
    </row>
    <row r="518" spans="1:10">
      <c r="A518" s="115" t="s">
        <v>171</v>
      </c>
      <c r="B518" s="115" t="s">
        <v>172</v>
      </c>
      <c r="C518" s="115" t="s">
        <v>1774</v>
      </c>
      <c r="D518" s="115" t="s">
        <v>1775</v>
      </c>
      <c r="E518" s="133" t="str">
        <f t="shared" si="16"/>
        <v>120000004111-256 AF PU THINNER</v>
      </c>
      <c r="F518" s="133" t="s">
        <v>3316</v>
      </c>
      <c r="G518" s="133" t="s">
        <v>3898</v>
      </c>
      <c r="H518" s="133">
        <f>VLOOKUP(G518,'packing mapping'!A:B,2,0)</f>
        <v>30</v>
      </c>
      <c r="I518" s="137">
        <v>1817460</v>
      </c>
      <c r="J518" s="132">
        <f t="shared" si="17"/>
        <v>60582</v>
      </c>
    </row>
    <row r="519" spans="1:10">
      <c r="A519" s="115" t="s">
        <v>171</v>
      </c>
      <c r="B519" s="115" t="s">
        <v>172</v>
      </c>
      <c r="C519" s="115" t="s">
        <v>1776</v>
      </c>
      <c r="D519" s="115" t="s">
        <v>1777</v>
      </c>
      <c r="E519" s="133" t="str">
        <f t="shared" si="16"/>
        <v>120000004111-256 AF PU THINNER</v>
      </c>
      <c r="F519" s="133" t="s">
        <v>3316</v>
      </c>
      <c r="G519" s="133" t="s">
        <v>3884</v>
      </c>
      <c r="H519" s="133">
        <f>VLOOKUP(G519,'packing mapping'!A:B,2,0)</f>
        <v>200</v>
      </c>
      <c r="I519" s="137">
        <v>12640800</v>
      </c>
      <c r="J519" s="132">
        <f t="shared" si="17"/>
        <v>63204</v>
      </c>
    </row>
    <row r="520" spans="1:10">
      <c r="A520" s="115" t="s">
        <v>171</v>
      </c>
      <c r="B520" s="115" t="s">
        <v>172</v>
      </c>
      <c r="C520" s="115" t="s">
        <v>1778</v>
      </c>
      <c r="D520" s="115" t="s">
        <v>1779</v>
      </c>
      <c r="E520" s="133" t="str">
        <f t="shared" si="16"/>
        <v>1200000041PUL-53306 AC GLASS CLEAR 10 VN</v>
      </c>
      <c r="F520" s="133" t="s">
        <v>3317</v>
      </c>
      <c r="G520" s="133" t="s">
        <v>3890</v>
      </c>
      <c r="H520" s="133">
        <f>VLOOKUP(G520,'packing mapping'!A:B,2,0)</f>
        <v>16</v>
      </c>
      <c r="I520" s="137">
        <v>2465776</v>
      </c>
      <c r="J520" s="132">
        <f t="shared" si="17"/>
        <v>154111</v>
      </c>
    </row>
    <row r="521" spans="1:10">
      <c r="A521" s="115" t="s">
        <v>171</v>
      </c>
      <c r="B521" s="115" t="s">
        <v>172</v>
      </c>
      <c r="C521" s="115" t="s">
        <v>1780</v>
      </c>
      <c r="D521" s="115" t="s">
        <v>1781</v>
      </c>
      <c r="E521" s="133" t="str">
        <f t="shared" si="16"/>
        <v>1200000041MEP-12003 GLASS VN</v>
      </c>
      <c r="F521" s="133" t="s">
        <v>3318</v>
      </c>
      <c r="G521" s="133" t="s">
        <v>3882</v>
      </c>
      <c r="H521" s="133">
        <f>VLOOKUP(G521,'packing mapping'!A:B,2,0)</f>
        <v>18</v>
      </c>
      <c r="I521" s="137">
        <v>2165706</v>
      </c>
      <c r="J521" s="132">
        <f t="shared" si="17"/>
        <v>120317</v>
      </c>
    </row>
    <row r="522" spans="1:10">
      <c r="A522" s="115" t="s">
        <v>171</v>
      </c>
      <c r="B522" s="115" t="s">
        <v>172</v>
      </c>
      <c r="C522" s="115" t="s">
        <v>1782</v>
      </c>
      <c r="D522" s="115" t="s">
        <v>1783</v>
      </c>
      <c r="E522" s="133" t="str">
        <f t="shared" si="16"/>
        <v>1200000041THC-73100 202 VN</v>
      </c>
      <c r="F522" s="133" t="s">
        <v>3300</v>
      </c>
      <c r="G522" s="133" t="s">
        <v>3884</v>
      </c>
      <c r="H522" s="133">
        <f>VLOOKUP(G522,'packing mapping'!A:B,2,0)</f>
        <v>200</v>
      </c>
      <c r="I522" s="137">
        <v>8652600</v>
      </c>
      <c r="J522" s="132">
        <f t="shared" si="17"/>
        <v>43263</v>
      </c>
    </row>
    <row r="523" spans="1:10">
      <c r="A523" s="115" t="s">
        <v>171</v>
      </c>
      <c r="B523" s="115" t="s">
        <v>172</v>
      </c>
      <c r="C523" s="115" t="s">
        <v>1784</v>
      </c>
      <c r="D523" s="115" t="s">
        <v>1785</v>
      </c>
      <c r="E523" s="133" t="str">
        <f t="shared" si="16"/>
        <v>1200000041THC-73100 552 VN</v>
      </c>
      <c r="F523" s="133" t="s">
        <v>3319</v>
      </c>
      <c r="G523" s="133" t="s">
        <v>3893</v>
      </c>
      <c r="H523" s="133">
        <f>VLOOKUP(G523,'packing mapping'!A:B,2,0)</f>
        <v>180</v>
      </c>
      <c r="I523" s="137">
        <v>12569040</v>
      </c>
      <c r="J523" s="132">
        <f t="shared" si="17"/>
        <v>69828</v>
      </c>
    </row>
    <row r="524" spans="1:10">
      <c r="A524" s="115" t="s">
        <v>171</v>
      </c>
      <c r="B524" s="115" t="s">
        <v>172</v>
      </c>
      <c r="C524" s="115" t="s">
        <v>1786</v>
      </c>
      <c r="D524" s="115" t="s">
        <v>1787</v>
      </c>
      <c r="E524" s="133" t="str">
        <f t="shared" si="16"/>
        <v>1200000041AL-088 VN</v>
      </c>
      <c r="F524" s="133" t="s">
        <v>3310</v>
      </c>
      <c r="G524" s="133" t="s">
        <v>3890</v>
      </c>
      <c r="H524" s="133">
        <f>VLOOKUP(G524,'packing mapping'!A:B,2,0)</f>
        <v>16</v>
      </c>
      <c r="I524" s="137">
        <v>2810512</v>
      </c>
      <c r="J524" s="132">
        <f t="shared" si="17"/>
        <v>175657</v>
      </c>
    </row>
    <row r="525" spans="1:10">
      <c r="A525" s="115" t="s">
        <v>171</v>
      </c>
      <c r="B525" s="115" t="s">
        <v>172</v>
      </c>
      <c r="C525" s="115" t="s">
        <v>1788</v>
      </c>
      <c r="D525" s="115" t="s">
        <v>1789</v>
      </c>
      <c r="E525" s="133" t="str">
        <f t="shared" si="16"/>
        <v>1200000041AL-089 VN</v>
      </c>
      <c r="F525" s="133" t="s">
        <v>3311</v>
      </c>
      <c r="G525" s="133" t="s">
        <v>3890</v>
      </c>
      <c r="H525" s="133">
        <f>VLOOKUP(G525,'packing mapping'!A:B,2,0)</f>
        <v>16</v>
      </c>
      <c r="I525" s="137">
        <v>1663808</v>
      </c>
      <c r="J525" s="132">
        <f t="shared" si="17"/>
        <v>103988</v>
      </c>
    </row>
    <row r="526" spans="1:10">
      <c r="A526" s="115" t="s">
        <v>1109</v>
      </c>
      <c r="B526" s="115" t="s">
        <v>1110</v>
      </c>
      <c r="C526" s="115" t="s">
        <v>1180</v>
      </c>
      <c r="D526" s="115" t="s">
        <v>1181</v>
      </c>
      <c r="E526" s="133" t="str">
        <f t="shared" si="16"/>
        <v>1200001154GZPU-21500 RU BASE VN</v>
      </c>
      <c r="F526" s="133" t="s">
        <v>3044</v>
      </c>
      <c r="G526" s="133" t="s">
        <v>3882</v>
      </c>
      <c r="H526" s="133">
        <f>VLOOKUP(G526,'packing mapping'!A:B,2,0)</f>
        <v>18</v>
      </c>
      <c r="I526" s="137">
        <v>2623500</v>
      </c>
      <c r="J526" s="132">
        <f t="shared" si="17"/>
        <v>145750</v>
      </c>
    </row>
    <row r="527" spans="1:10">
      <c r="A527" s="115" t="s">
        <v>1109</v>
      </c>
      <c r="B527" s="115" t="s">
        <v>1110</v>
      </c>
      <c r="C527" s="115" t="s">
        <v>1790</v>
      </c>
      <c r="D527" s="115" t="s">
        <v>1791</v>
      </c>
      <c r="E527" s="133" t="str">
        <f t="shared" si="16"/>
        <v>1200001154NCL-40800 LC MOD CLEAR 20 VN</v>
      </c>
      <c r="F527" s="133" t="s">
        <v>3320</v>
      </c>
      <c r="G527" s="133" t="s">
        <v>3882</v>
      </c>
      <c r="H527" s="133">
        <f>VLOOKUP(G527,'packing mapping'!A:B,2,0)</f>
        <v>18</v>
      </c>
      <c r="I527" s="137">
        <v>2237760</v>
      </c>
      <c r="J527" s="132">
        <f t="shared" si="17"/>
        <v>124320</v>
      </c>
    </row>
    <row r="528" spans="1:10">
      <c r="A528" s="115" t="s">
        <v>1109</v>
      </c>
      <c r="B528" s="115" t="s">
        <v>1110</v>
      </c>
      <c r="C528" s="115" t="s">
        <v>1792</v>
      </c>
      <c r="D528" s="115" t="s">
        <v>1793</v>
      </c>
      <c r="E528" s="133" t="str">
        <f t="shared" si="16"/>
        <v>1200001154NCL-40800 LC MOD CLEAR 30 VN</v>
      </c>
      <c r="F528" s="133" t="s">
        <v>3321</v>
      </c>
      <c r="G528" s="133" t="s">
        <v>3882</v>
      </c>
      <c r="H528" s="133">
        <f>VLOOKUP(G528,'packing mapping'!A:B,2,0)</f>
        <v>18</v>
      </c>
      <c r="I528" s="137">
        <v>2298240</v>
      </c>
      <c r="J528" s="132">
        <f t="shared" si="17"/>
        <v>127680</v>
      </c>
    </row>
    <row r="529" spans="1:10">
      <c r="A529" s="115" t="s">
        <v>1109</v>
      </c>
      <c r="B529" s="115" t="s">
        <v>1110</v>
      </c>
      <c r="C529" s="115" t="s">
        <v>1794</v>
      </c>
      <c r="D529" s="115" t="s">
        <v>1795</v>
      </c>
      <c r="E529" s="133" t="str">
        <f t="shared" si="16"/>
        <v>1200001154NCSS-30800 LC MOD VN</v>
      </c>
      <c r="F529" s="133" t="s">
        <v>3322</v>
      </c>
      <c r="G529" s="133" t="s">
        <v>3879</v>
      </c>
      <c r="H529" s="133">
        <f>VLOOKUP(G529,'packing mapping'!A:B,2,0)</f>
        <v>20</v>
      </c>
      <c r="I529" s="137">
        <v>2240000</v>
      </c>
      <c r="J529" s="132">
        <f t="shared" si="17"/>
        <v>112000</v>
      </c>
    </row>
    <row r="530" spans="1:10">
      <c r="A530" s="115" t="s">
        <v>1109</v>
      </c>
      <c r="B530" s="115" t="s">
        <v>1110</v>
      </c>
      <c r="C530" s="115" t="s">
        <v>1188</v>
      </c>
      <c r="D530" s="115" t="s">
        <v>1189</v>
      </c>
      <c r="E530" s="133" t="str">
        <f t="shared" si="16"/>
        <v>1200001154PCA-31100 BLACK PASTE VN</v>
      </c>
      <c r="F530" s="133" t="s">
        <v>3048</v>
      </c>
      <c r="G530" s="133" t="s">
        <v>3883</v>
      </c>
      <c r="H530" s="133">
        <f>VLOOKUP(G530,'packing mapping'!A:B,2,0)</f>
        <v>4</v>
      </c>
      <c r="I530" s="137">
        <v>1340640</v>
      </c>
      <c r="J530" s="132">
        <f t="shared" si="17"/>
        <v>335160</v>
      </c>
    </row>
    <row r="531" spans="1:10">
      <c r="A531" s="115" t="s">
        <v>1109</v>
      </c>
      <c r="B531" s="115" t="s">
        <v>1110</v>
      </c>
      <c r="C531" s="115" t="s">
        <v>1370</v>
      </c>
      <c r="D531" s="115" t="s">
        <v>1371</v>
      </c>
      <c r="E531" s="133" t="str">
        <f t="shared" si="16"/>
        <v>1200001154PCA-31100 BLUE OG PASTE VN</v>
      </c>
      <c r="F531" s="133" t="s">
        <v>3135</v>
      </c>
      <c r="G531" s="133" t="s">
        <v>3883</v>
      </c>
      <c r="H531" s="133">
        <f>VLOOKUP(G531,'packing mapping'!A:B,2,0)</f>
        <v>4</v>
      </c>
      <c r="I531" s="137">
        <v>1149240</v>
      </c>
      <c r="J531" s="132">
        <f t="shared" si="17"/>
        <v>287310</v>
      </c>
    </row>
    <row r="532" spans="1:10">
      <c r="A532" s="115" t="s">
        <v>1109</v>
      </c>
      <c r="B532" s="115" t="s">
        <v>1110</v>
      </c>
      <c r="C532" s="115" t="s">
        <v>1372</v>
      </c>
      <c r="D532" s="115" t="s">
        <v>1373</v>
      </c>
      <c r="E532" s="133" t="str">
        <f t="shared" si="16"/>
        <v>1200001154PCA-31100 OXIDE RED PASTE VN</v>
      </c>
      <c r="F532" s="133" t="s">
        <v>3136</v>
      </c>
      <c r="G532" s="133" t="s">
        <v>3883</v>
      </c>
      <c r="H532" s="133">
        <f>VLOOKUP(G532,'packing mapping'!A:B,2,0)</f>
        <v>4</v>
      </c>
      <c r="I532" s="137">
        <v>1001080</v>
      </c>
      <c r="J532" s="132">
        <f t="shared" si="17"/>
        <v>250270</v>
      </c>
    </row>
    <row r="533" spans="1:10">
      <c r="A533" s="115" t="s">
        <v>1109</v>
      </c>
      <c r="B533" s="115" t="s">
        <v>1110</v>
      </c>
      <c r="C533" s="115" t="s">
        <v>1190</v>
      </c>
      <c r="D533" s="115" t="s">
        <v>1191</v>
      </c>
      <c r="E533" s="133" t="str">
        <f t="shared" si="16"/>
        <v>1200001154PCA-31100 WHITE PASTE VN</v>
      </c>
      <c r="F533" s="133" t="s">
        <v>3049</v>
      </c>
      <c r="G533" s="133" t="s">
        <v>3883</v>
      </c>
      <c r="H533" s="133">
        <f>VLOOKUP(G533,'packing mapping'!A:B,2,0)</f>
        <v>4</v>
      </c>
      <c r="I533" s="137">
        <v>906720</v>
      </c>
      <c r="J533" s="132">
        <f t="shared" si="17"/>
        <v>226680</v>
      </c>
    </row>
    <row r="534" spans="1:10">
      <c r="A534" s="115" t="s">
        <v>1109</v>
      </c>
      <c r="B534" s="115" t="s">
        <v>1110</v>
      </c>
      <c r="C534" s="115" t="s">
        <v>1376</v>
      </c>
      <c r="D534" s="115" t="s">
        <v>1377</v>
      </c>
      <c r="E534" s="133" t="str">
        <f t="shared" si="16"/>
        <v>1200001154PCA-31100 YELLOW HR PASTE VN</v>
      </c>
      <c r="F534" s="133" t="s">
        <v>3138</v>
      </c>
      <c r="G534" s="133" t="s">
        <v>3883</v>
      </c>
      <c r="H534" s="133">
        <f>VLOOKUP(G534,'packing mapping'!A:B,2,0)</f>
        <v>4</v>
      </c>
      <c r="I534" s="137">
        <v>1208800</v>
      </c>
      <c r="J534" s="132">
        <f t="shared" si="17"/>
        <v>302200</v>
      </c>
    </row>
    <row r="535" spans="1:10">
      <c r="A535" s="115" t="s">
        <v>1109</v>
      </c>
      <c r="B535" s="115" t="s">
        <v>1110</v>
      </c>
      <c r="C535" s="115" t="s">
        <v>1378</v>
      </c>
      <c r="D535" s="115" t="s">
        <v>1379</v>
      </c>
      <c r="E535" s="133" t="str">
        <f t="shared" si="16"/>
        <v>1200001154PCA-31100 YELLOW OKER PASTE VN</v>
      </c>
      <c r="F535" s="133" t="s">
        <v>3139</v>
      </c>
      <c r="G535" s="133" t="s">
        <v>3883</v>
      </c>
      <c r="H535" s="133">
        <f>VLOOKUP(G535,'packing mapping'!A:B,2,0)</f>
        <v>4</v>
      </c>
      <c r="I535" s="137">
        <v>808800</v>
      </c>
      <c r="J535" s="132">
        <f t="shared" si="17"/>
        <v>202200</v>
      </c>
    </row>
    <row r="536" spans="1:10">
      <c r="A536" s="115" t="s">
        <v>1109</v>
      </c>
      <c r="B536" s="115" t="s">
        <v>1110</v>
      </c>
      <c r="C536" s="115" t="s">
        <v>1192</v>
      </c>
      <c r="D536" s="115" t="s">
        <v>1193</v>
      </c>
      <c r="E536" s="133" t="str">
        <f t="shared" si="16"/>
        <v>1200001154PCL-31300 BLACK PASTE</v>
      </c>
      <c r="F536" s="133" t="s">
        <v>3050</v>
      </c>
      <c r="G536" s="133" t="s">
        <v>3883</v>
      </c>
      <c r="H536" s="133">
        <f>VLOOKUP(G536,'packing mapping'!A:B,2,0)</f>
        <v>4</v>
      </c>
      <c r="I536" s="137">
        <v>2582080</v>
      </c>
      <c r="J536" s="132">
        <f t="shared" si="17"/>
        <v>645520</v>
      </c>
    </row>
    <row r="537" spans="1:10">
      <c r="A537" s="115" t="s">
        <v>1109</v>
      </c>
      <c r="B537" s="115" t="s">
        <v>1110</v>
      </c>
      <c r="C537" s="115" t="s">
        <v>1194</v>
      </c>
      <c r="D537" s="115" t="s">
        <v>1195</v>
      </c>
      <c r="E537" s="133" t="str">
        <f t="shared" si="16"/>
        <v>1200001154PCL-31300 BLUE OG PASTE</v>
      </c>
      <c r="F537" s="133" t="s">
        <v>3051</v>
      </c>
      <c r="G537" s="133" t="s">
        <v>3883</v>
      </c>
      <c r="H537" s="133">
        <f>VLOOKUP(G537,'packing mapping'!A:B,2,0)</f>
        <v>4</v>
      </c>
      <c r="I537" s="137">
        <v>1805040</v>
      </c>
      <c r="J537" s="132">
        <f t="shared" si="17"/>
        <v>451260</v>
      </c>
    </row>
    <row r="538" spans="1:10">
      <c r="A538" s="115" t="s">
        <v>1109</v>
      </c>
      <c r="B538" s="115" t="s">
        <v>1110</v>
      </c>
      <c r="C538" s="115" t="s">
        <v>1198</v>
      </c>
      <c r="D538" s="115" t="s">
        <v>1199</v>
      </c>
      <c r="E538" s="133" t="str">
        <f t="shared" si="16"/>
        <v>1200001154PCL-31300 BROWN PASTE VN</v>
      </c>
      <c r="F538" s="133" t="s">
        <v>3053</v>
      </c>
      <c r="G538" s="133" t="s">
        <v>3883</v>
      </c>
      <c r="H538" s="133">
        <f>VLOOKUP(G538,'packing mapping'!A:B,2,0)</f>
        <v>4</v>
      </c>
      <c r="I538" s="137">
        <v>1229960</v>
      </c>
      <c r="J538" s="132">
        <f t="shared" si="17"/>
        <v>307490</v>
      </c>
    </row>
    <row r="539" spans="1:10">
      <c r="A539" s="115" t="s">
        <v>1109</v>
      </c>
      <c r="B539" s="115" t="s">
        <v>1110</v>
      </c>
      <c r="C539" s="115" t="s">
        <v>1380</v>
      </c>
      <c r="D539" s="115" t="s">
        <v>1381</v>
      </c>
      <c r="E539" s="133" t="str">
        <f t="shared" si="16"/>
        <v>1200001154PCL-31300 OXIDE RED PASTE</v>
      </c>
      <c r="F539" s="133" t="s">
        <v>3140</v>
      </c>
      <c r="G539" s="133" t="s">
        <v>3883</v>
      </c>
      <c r="H539" s="133">
        <f>VLOOKUP(G539,'packing mapping'!A:B,2,0)</f>
        <v>4</v>
      </c>
      <c r="I539" s="137">
        <v>1507320</v>
      </c>
      <c r="J539" s="132">
        <f t="shared" si="17"/>
        <v>376830</v>
      </c>
    </row>
    <row r="540" spans="1:10">
      <c r="A540" s="115" t="s">
        <v>1109</v>
      </c>
      <c r="B540" s="115" t="s">
        <v>1110</v>
      </c>
      <c r="C540" s="115" t="s">
        <v>1200</v>
      </c>
      <c r="D540" s="115" t="s">
        <v>1201</v>
      </c>
      <c r="E540" s="133" t="str">
        <f t="shared" si="16"/>
        <v>1200001154PCL-31300 RED OB 35 PASTE</v>
      </c>
      <c r="F540" s="133" t="s">
        <v>3054</v>
      </c>
      <c r="G540" s="133" t="s">
        <v>3883</v>
      </c>
      <c r="H540" s="133">
        <f>VLOOKUP(G540,'packing mapping'!A:B,2,0)</f>
        <v>4</v>
      </c>
      <c r="I540" s="137">
        <v>1426640</v>
      </c>
      <c r="J540" s="132">
        <f t="shared" si="17"/>
        <v>356660</v>
      </c>
    </row>
    <row r="541" spans="1:10">
      <c r="A541" s="115" t="s">
        <v>1109</v>
      </c>
      <c r="B541" s="115" t="s">
        <v>1110</v>
      </c>
      <c r="C541" s="115" t="s">
        <v>1202</v>
      </c>
      <c r="D541" s="115" t="s">
        <v>1203</v>
      </c>
      <c r="E541" s="133" t="str">
        <f t="shared" si="16"/>
        <v>1200001154PCL-31300 WHITE PASTE</v>
      </c>
      <c r="F541" s="133" t="s">
        <v>3055</v>
      </c>
      <c r="G541" s="133" t="s">
        <v>3883</v>
      </c>
      <c r="H541" s="133">
        <f>VLOOKUP(G541,'packing mapping'!A:B,2,0)</f>
        <v>4</v>
      </c>
      <c r="I541" s="137">
        <v>953040</v>
      </c>
      <c r="J541" s="132">
        <f t="shared" si="17"/>
        <v>238260</v>
      </c>
    </row>
    <row r="542" spans="1:10">
      <c r="A542" s="115" t="s">
        <v>1109</v>
      </c>
      <c r="B542" s="115" t="s">
        <v>1110</v>
      </c>
      <c r="C542" s="115" t="s">
        <v>1204</v>
      </c>
      <c r="D542" s="115" t="s">
        <v>1205</v>
      </c>
      <c r="E542" s="133" t="str">
        <f t="shared" si="16"/>
        <v>1200001154PCL-31300 YELLOW OG 16 PASTE</v>
      </c>
      <c r="F542" s="133" t="s">
        <v>3056</v>
      </c>
      <c r="G542" s="133" t="s">
        <v>3883</v>
      </c>
      <c r="H542" s="133">
        <f>VLOOKUP(G542,'packing mapping'!A:B,2,0)</f>
        <v>4</v>
      </c>
      <c r="I542" s="137">
        <v>3776720</v>
      </c>
      <c r="J542" s="132">
        <f t="shared" si="17"/>
        <v>944180</v>
      </c>
    </row>
    <row r="543" spans="1:10">
      <c r="A543" s="115" t="s">
        <v>1109</v>
      </c>
      <c r="B543" s="115" t="s">
        <v>1110</v>
      </c>
      <c r="C543" s="115" t="s">
        <v>1206</v>
      </c>
      <c r="D543" s="115" t="s">
        <v>1207</v>
      </c>
      <c r="E543" s="133" t="str">
        <f t="shared" si="16"/>
        <v>1200001154PCL-31300 YELLOW OKER PASTE</v>
      </c>
      <c r="F543" s="133" t="s">
        <v>3057</v>
      </c>
      <c r="G543" s="133" t="s">
        <v>3883</v>
      </c>
      <c r="H543" s="133">
        <f>VLOOKUP(G543,'packing mapping'!A:B,2,0)</f>
        <v>4</v>
      </c>
      <c r="I543" s="137">
        <v>1431960</v>
      </c>
      <c r="J543" s="132">
        <f t="shared" si="17"/>
        <v>357990</v>
      </c>
    </row>
    <row r="544" spans="1:10">
      <c r="A544" s="115" t="s">
        <v>1109</v>
      </c>
      <c r="B544" s="115" t="s">
        <v>1110</v>
      </c>
      <c r="C544" s="115" t="s">
        <v>1208</v>
      </c>
      <c r="D544" s="115" t="s">
        <v>1209</v>
      </c>
      <c r="E544" s="133" t="str">
        <f t="shared" si="16"/>
        <v>1200001154PG-13900 WHITE 01 VN</v>
      </c>
      <c r="F544" s="133" t="s">
        <v>3058</v>
      </c>
      <c r="G544" s="133" t="s">
        <v>3881</v>
      </c>
      <c r="H544" s="133">
        <f>VLOOKUP(G544,'packing mapping'!A:B,2,0)</f>
        <v>20</v>
      </c>
      <c r="I544" s="137">
        <v>1634000</v>
      </c>
      <c r="J544" s="132">
        <f t="shared" si="17"/>
        <v>81700</v>
      </c>
    </row>
    <row r="545" spans="1:10">
      <c r="A545" s="115" t="s">
        <v>1109</v>
      </c>
      <c r="B545" s="115" t="s">
        <v>1110</v>
      </c>
      <c r="C545" s="115" t="s">
        <v>1390</v>
      </c>
      <c r="D545" s="115" t="s">
        <v>1391</v>
      </c>
      <c r="E545" s="133" t="str">
        <f t="shared" si="16"/>
        <v>1200001154PUC-54205 AC WHITE 20 VN</v>
      </c>
      <c r="F545" s="133" t="s">
        <v>3145</v>
      </c>
      <c r="G545" s="133" t="s">
        <v>3881</v>
      </c>
      <c r="H545" s="133">
        <f>VLOOKUP(G545,'packing mapping'!A:B,2,0)</f>
        <v>20</v>
      </c>
      <c r="I545" s="137">
        <v>3111400</v>
      </c>
      <c r="J545" s="132">
        <f t="shared" si="17"/>
        <v>155570</v>
      </c>
    </row>
    <row r="546" spans="1:10">
      <c r="A546" s="115" t="s">
        <v>1109</v>
      </c>
      <c r="B546" s="115" t="s">
        <v>1110</v>
      </c>
      <c r="C546" s="115" t="s">
        <v>1470</v>
      </c>
      <c r="D546" s="115" t="s">
        <v>1471</v>
      </c>
      <c r="E546" s="133" t="str">
        <f t="shared" si="16"/>
        <v>1200001154PUC-54205 AC WHITE 50 VN</v>
      </c>
      <c r="F546" s="133" t="s">
        <v>3181</v>
      </c>
      <c r="G546" s="133" t="s">
        <v>3881</v>
      </c>
      <c r="H546" s="133">
        <f>VLOOKUP(G546,'packing mapping'!A:B,2,0)</f>
        <v>20</v>
      </c>
      <c r="I546" s="137">
        <v>2860000</v>
      </c>
      <c r="J546" s="132">
        <f t="shared" si="17"/>
        <v>143000</v>
      </c>
    </row>
    <row r="547" spans="1:10">
      <c r="A547" s="115" t="s">
        <v>1109</v>
      </c>
      <c r="B547" s="115" t="s">
        <v>1110</v>
      </c>
      <c r="C547" s="115" t="s">
        <v>1210</v>
      </c>
      <c r="D547" s="115" t="s">
        <v>1211</v>
      </c>
      <c r="E547" s="133" t="str">
        <f t="shared" si="16"/>
        <v>1200001154PUH-56306 LY VN</v>
      </c>
      <c r="F547" s="133" t="s">
        <v>3059</v>
      </c>
      <c r="G547" s="133" t="s">
        <v>3879</v>
      </c>
      <c r="H547" s="133">
        <f>VLOOKUP(G547,'packing mapping'!A:B,2,0)</f>
        <v>20</v>
      </c>
      <c r="I547" s="137">
        <v>3433400</v>
      </c>
      <c r="J547" s="132">
        <f t="shared" si="17"/>
        <v>171670</v>
      </c>
    </row>
    <row r="548" spans="1:10">
      <c r="A548" s="115" t="s">
        <v>1109</v>
      </c>
      <c r="B548" s="115" t="s">
        <v>1110</v>
      </c>
      <c r="C548" s="115" t="s">
        <v>1542</v>
      </c>
      <c r="D548" s="115" t="s">
        <v>1543</v>
      </c>
      <c r="E548" s="133" t="str">
        <f t="shared" si="16"/>
        <v>1200001154PUL-53306 AC EX CLEAR 05 VN</v>
      </c>
      <c r="F548" s="133" t="s">
        <v>3211</v>
      </c>
      <c r="G548" s="133" t="s">
        <v>3879</v>
      </c>
      <c r="H548" s="133">
        <f>VLOOKUP(G548,'packing mapping'!A:B,2,0)</f>
        <v>20</v>
      </c>
      <c r="I548" s="137">
        <v>3151000</v>
      </c>
      <c r="J548" s="132">
        <f t="shared" si="17"/>
        <v>157550</v>
      </c>
    </row>
    <row r="549" spans="1:10">
      <c r="A549" s="115" t="s">
        <v>1109</v>
      </c>
      <c r="B549" s="115" t="s">
        <v>1110</v>
      </c>
      <c r="C549" s="115" t="s">
        <v>1396</v>
      </c>
      <c r="D549" s="115" t="s">
        <v>1397</v>
      </c>
      <c r="E549" s="133" t="str">
        <f t="shared" si="16"/>
        <v>1200001154PUL-53306 AC EX CLEAR 10 VN</v>
      </c>
      <c r="F549" s="133" t="s">
        <v>3148</v>
      </c>
      <c r="G549" s="133" t="s">
        <v>3879</v>
      </c>
      <c r="H549" s="133">
        <f>VLOOKUP(G549,'packing mapping'!A:B,2,0)</f>
        <v>20</v>
      </c>
      <c r="I549" s="137">
        <v>3122200</v>
      </c>
      <c r="J549" s="132">
        <f t="shared" si="17"/>
        <v>156110</v>
      </c>
    </row>
    <row r="550" spans="1:10">
      <c r="A550" s="115" t="s">
        <v>1109</v>
      </c>
      <c r="B550" s="115" t="s">
        <v>1110</v>
      </c>
      <c r="C550" s="115" t="s">
        <v>1212</v>
      </c>
      <c r="D550" s="115" t="s">
        <v>1213</v>
      </c>
      <c r="E550" s="133" t="str">
        <f t="shared" si="16"/>
        <v>1200001154PUL-53306 AC EX CLEAR 20 VN</v>
      </c>
      <c r="F550" s="133" t="s">
        <v>3060</v>
      </c>
      <c r="G550" s="133" t="s">
        <v>3879</v>
      </c>
      <c r="H550" s="133">
        <f>VLOOKUP(G550,'packing mapping'!A:B,2,0)</f>
        <v>20</v>
      </c>
      <c r="I550" s="137">
        <v>3122200</v>
      </c>
      <c r="J550" s="132">
        <f t="shared" si="17"/>
        <v>156110</v>
      </c>
    </row>
    <row r="551" spans="1:10">
      <c r="A551" s="115" t="s">
        <v>1109</v>
      </c>
      <c r="B551" s="115" t="s">
        <v>1110</v>
      </c>
      <c r="C551" s="115" t="s">
        <v>1474</v>
      </c>
      <c r="D551" s="115" t="s">
        <v>1475</v>
      </c>
      <c r="E551" s="133" t="str">
        <f t="shared" si="16"/>
        <v>1200001154PUL-53306 AC EX CLEAR 30 VN</v>
      </c>
      <c r="F551" s="133" t="s">
        <v>3183</v>
      </c>
      <c r="G551" s="133" t="s">
        <v>3879</v>
      </c>
      <c r="H551" s="133">
        <f>VLOOKUP(G551,'packing mapping'!A:B,2,0)</f>
        <v>20</v>
      </c>
      <c r="I551" s="137">
        <v>3091400</v>
      </c>
      <c r="J551" s="132">
        <f t="shared" si="17"/>
        <v>154570</v>
      </c>
    </row>
    <row r="552" spans="1:10">
      <c r="A552" s="115" t="s">
        <v>1109</v>
      </c>
      <c r="B552" s="115" t="s">
        <v>1110</v>
      </c>
      <c r="C552" s="115" t="s">
        <v>1214</v>
      </c>
      <c r="D552" s="115" t="s">
        <v>1215</v>
      </c>
      <c r="E552" s="133" t="str">
        <f t="shared" si="16"/>
        <v>1200001154PUL-53306 AC EX CLEAR 50 VN</v>
      </c>
      <c r="F552" s="133" t="s">
        <v>3061</v>
      </c>
      <c r="G552" s="133" t="s">
        <v>3879</v>
      </c>
      <c r="H552" s="133">
        <f>VLOOKUP(G552,'packing mapping'!A:B,2,0)</f>
        <v>20</v>
      </c>
      <c r="I552" s="137">
        <v>2855600</v>
      </c>
      <c r="J552" s="132">
        <f t="shared" si="17"/>
        <v>142780</v>
      </c>
    </row>
    <row r="553" spans="1:10">
      <c r="A553" s="115" t="s">
        <v>1109</v>
      </c>
      <c r="B553" s="115" t="s">
        <v>1110</v>
      </c>
      <c r="C553" s="115" t="s">
        <v>1216</v>
      </c>
      <c r="D553" s="115" t="s">
        <v>1217</v>
      </c>
      <c r="E553" s="133" t="str">
        <f t="shared" si="16"/>
        <v>1200001154PUL-53306 AC EX CLEAR 90 VN</v>
      </c>
      <c r="F553" s="133" t="s">
        <v>3062</v>
      </c>
      <c r="G553" s="133" t="s">
        <v>3879</v>
      </c>
      <c r="H553" s="133">
        <f>VLOOKUP(G553,'packing mapping'!A:B,2,0)</f>
        <v>20</v>
      </c>
      <c r="I553" s="137">
        <v>2235800</v>
      </c>
      <c r="J553" s="132">
        <f t="shared" si="17"/>
        <v>111790</v>
      </c>
    </row>
    <row r="554" spans="1:10">
      <c r="A554" s="115" t="s">
        <v>1109</v>
      </c>
      <c r="B554" s="115" t="s">
        <v>1110</v>
      </c>
      <c r="C554" s="115" t="s">
        <v>1218</v>
      </c>
      <c r="D554" s="115" t="s">
        <v>1219</v>
      </c>
      <c r="E554" s="133" t="str">
        <f t="shared" si="16"/>
        <v>1200001154PUSS-53206 AC EX VN</v>
      </c>
      <c r="F554" s="133" t="s">
        <v>3063</v>
      </c>
      <c r="G554" s="133" t="s">
        <v>3881</v>
      </c>
      <c r="H554" s="133">
        <f>VLOOKUP(G554,'packing mapping'!A:B,2,0)</f>
        <v>20</v>
      </c>
      <c r="I554" s="137">
        <v>2242600</v>
      </c>
      <c r="J554" s="132">
        <f t="shared" si="17"/>
        <v>112130</v>
      </c>
    </row>
    <row r="555" spans="1:10">
      <c r="A555" s="115" t="s">
        <v>1109</v>
      </c>
      <c r="B555" s="115" t="s">
        <v>1110</v>
      </c>
      <c r="C555" s="115" t="s">
        <v>1220</v>
      </c>
      <c r="D555" s="115" t="s">
        <v>1221</v>
      </c>
      <c r="E555" s="133" t="str">
        <f t="shared" si="16"/>
        <v>1200001154SST-11100 C10 BLACK</v>
      </c>
      <c r="F555" s="133" t="s">
        <v>3064</v>
      </c>
      <c r="G555" s="133" t="s">
        <v>3883</v>
      </c>
      <c r="H555" s="133">
        <f>VLOOKUP(G555,'packing mapping'!A:B,2,0)</f>
        <v>4</v>
      </c>
      <c r="I555" s="137">
        <v>787640</v>
      </c>
      <c r="J555" s="132">
        <f t="shared" si="17"/>
        <v>196910</v>
      </c>
    </row>
    <row r="556" spans="1:10">
      <c r="A556" s="115" t="s">
        <v>1109</v>
      </c>
      <c r="B556" s="115" t="s">
        <v>1110</v>
      </c>
      <c r="C556" s="115" t="s">
        <v>1222</v>
      </c>
      <c r="D556" s="115" t="s">
        <v>1223</v>
      </c>
      <c r="E556" s="133" t="str">
        <f t="shared" si="16"/>
        <v>1200001154SST-11100 C10 BLUE</v>
      </c>
      <c r="F556" s="133" t="s">
        <v>3065</v>
      </c>
      <c r="G556" s="133" t="s">
        <v>3883</v>
      </c>
      <c r="H556" s="133">
        <f>VLOOKUP(G556,'packing mapping'!A:B,2,0)</f>
        <v>4</v>
      </c>
      <c r="I556" s="137">
        <v>1793120</v>
      </c>
      <c r="J556" s="132">
        <f t="shared" si="17"/>
        <v>448280</v>
      </c>
    </row>
    <row r="557" spans="1:10">
      <c r="A557" s="115" t="s">
        <v>1109</v>
      </c>
      <c r="B557" s="115" t="s">
        <v>1110</v>
      </c>
      <c r="C557" s="115" t="s">
        <v>1226</v>
      </c>
      <c r="D557" s="115" t="s">
        <v>1227</v>
      </c>
      <c r="E557" s="133" t="str">
        <f t="shared" si="16"/>
        <v>1200001154SST-11100 C10 RED</v>
      </c>
      <c r="F557" s="133" t="s">
        <v>3067</v>
      </c>
      <c r="G557" s="133" t="s">
        <v>3883</v>
      </c>
      <c r="H557" s="133">
        <f>VLOOKUP(G557,'packing mapping'!A:B,2,0)</f>
        <v>4</v>
      </c>
      <c r="I557" s="137">
        <v>890840</v>
      </c>
      <c r="J557" s="132">
        <f t="shared" si="17"/>
        <v>222710</v>
      </c>
    </row>
    <row r="558" spans="1:10">
      <c r="A558" s="115" t="s">
        <v>1109</v>
      </c>
      <c r="B558" s="115" t="s">
        <v>1110</v>
      </c>
      <c r="C558" s="115" t="s">
        <v>1228</v>
      </c>
      <c r="D558" s="115" t="s">
        <v>1229</v>
      </c>
      <c r="E558" s="133" t="str">
        <f t="shared" si="16"/>
        <v>1200001154SST-11100 C10 YELLOW</v>
      </c>
      <c r="F558" s="133" t="s">
        <v>3068</v>
      </c>
      <c r="G558" s="133" t="s">
        <v>3883</v>
      </c>
      <c r="H558" s="133">
        <f>VLOOKUP(G558,'packing mapping'!A:B,2,0)</f>
        <v>4</v>
      </c>
      <c r="I558" s="137">
        <v>704280</v>
      </c>
      <c r="J558" s="132">
        <f t="shared" si="17"/>
        <v>176070</v>
      </c>
    </row>
    <row r="559" spans="1:10">
      <c r="A559" s="115" t="s">
        <v>1109</v>
      </c>
      <c r="B559" s="115" t="s">
        <v>1110</v>
      </c>
      <c r="C559" s="115" t="s">
        <v>1398</v>
      </c>
      <c r="D559" s="115" t="s">
        <v>1399</v>
      </c>
      <c r="E559" s="133" t="str">
        <f t="shared" si="16"/>
        <v>1200001154THC-73100 402 VN</v>
      </c>
      <c r="F559" s="133" t="s">
        <v>3149</v>
      </c>
      <c r="G559" s="133" t="s">
        <v>3884</v>
      </c>
      <c r="H559" s="133">
        <f>VLOOKUP(G559,'packing mapping'!A:B,2,0)</f>
        <v>200</v>
      </c>
      <c r="I559" s="137">
        <v>10652000</v>
      </c>
      <c r="J559" s="132">
        <f t="shared" si="17"/>
        <v>53260</v>
      </c>
    </row>
    <row r="560" spans="1:10">
      <c r="A560" s="115" t="s">
        <v>1109</v>
      </c>
      <c r="B560" s="115" t="s">
        <v>1110</v>
      </c>
      <c r="C560" s="115" t="s">
        <v>1682</v>
      </c>
      <c r="D560" s="115" t="s">
        <v>1683</v>
      </c>
      <c r="E560" s="133" t="str">
        <f t="shared" si="16"/>
        <v>1200001154THC-73100 402 VN</v>
      </c>
      <c r="F560" s="133" t="s">
        <v>3149</v>
      </c>
      <c r="G560" s="133" t="s">
        <v>3880</v>
      </c>
      <c r="H560" s="133">
        <f>VLOOKUP(G560,'packing mapping'!A:B,2,0)</f>
        <v>20</v>
      </c>
      <c r="I560" s="137">
        <v>1106800</v>
      </c>
      <c r="J560" s="132">
        <f t="shared" si="17"/>
        <v>55340</v>
      </c>
    </row>
    <row r="561" spans="1:10">
      <c r="A561" s="115" t="s">
        <v>1109</v>
      </c>
      <c r="B561" s="115" t="s">
        <v>1110</v>
      </c>
      <c r="C561" s="115" t="s">
        <v>1402</v>
      </c>
      <c r="D561" s="115" t="s">
        <v>1403</v>
      </c>
      <c r="E561" s="133" t="str">
        <f t="shared" si="16"/>
        <v>1200001154THC-73100-007 VN</v>
      </c>
      <c r="F561" s="133" t="s">
        <v>3150</v>
      </c>
      <c r="G561" s="133" t="s">
        <v>3880</v>
      </c>
      <c r="H561" s="133">
        <f>VLOOKUP(G561,'packing mapping'!A:B,2,0)</f>
        <v>20</v>
      </c>
      <c r="I561" s="137">
        <v>1516600</v>
      </c>
      <c r="J561" s="132">
        <f t="shared" si="17"/>
        <v>75830</v>
      </c>
    </row>
    <row r="562" spans="1:10">
      <c r="A562" s="115" t="s">
        <v>1109</v>
      </c>
      <c r="B562" s="115" t="s">
        <v>1110</v>
      </c>
      <c r="C562" s="115" t="s">
        <v>1238</v>
      </c>
      <c r="D562" s="115" t="s">
        <v>1239</v>
      </c>
      <c r="E562" s="133" t="str">
        <f t="shared" si="16"/>
        <v>1200001154THGZ-72200 VN</v>
      </c>
      <c r="F562" s="133" t="s">
        <v>3073</v>
      </c>
      <c r="G562" s="133" t="s">
        <v>3880</v>
      </c>
      <c r="H562" s="133">
        <f>VLOOKUP(G562,'packing mapping'!A:B,2,0)</f>
        <v>20</v>
      </c>
      <c r="I562" s="137">
        <v>1106800</v>
      </c>
      <c r="J562" s="132">
        <f t="shared" si="17"/>
        <v>55340</v>
      </c>
    </row>
    <row r="563" spans="1:10">
      <c r="A563" s="115" t="s">
        <v>1109</v>
      </c>
      <c r="B563" s="115" t="s">
        <v>1110</v>
      </c>
      <c r="C563" s="115" t="s">
        <v>1240</v>
      </c>
      <c r="D563" s="115" t="s">
        <v>1241</v>
      </c>
      <c r="E563" s="133" t="str">
        <f t="shared" si="16"/>
        <v>1200001154THNC-71100 SD VN</v>
      </c>
      <c r="F563" s="133" t="s">
        <v>3074</v>
      </c>
      <c r="G563" s="133" t="s">
        <v>3884</v>
      </c>
      <c r="H563" s="133">
        <f>VLOOKUP(G563,'packing mapping'!A:B,2,0)</f>
        <v>200</v>
      </c>
      <c r="I563" s="137">
        <v>10760000</v>
      </c>
      <c r="J563" s="132">
        <f t="shared" si="17"/>
        <v>53800</v>
      </c>
    </row>
    <row r="564" spans="1:10">
      <c r="A564" s="115" t="s">
        <v>1109</v>
      </c>
      <c r="B564" s="115" t="s">
        <v>1110</v>
      </c>
      <c r="C564" s="115" t="s">
        <v>1482</v>
      </c>
      <c r="D564" s="115" t="s">
        <v>1483</v>
      </c>
      <c r="E564" s="133" t="str">
        <f t="shared" si="16"/>
        <v>1200001154THNC-71100 SD VN</v>
      </c>
      <c r="F564" s="133" t="s">
        <v>3074</v>
      </c>
      <c r="G564" s="133" t="s">
        <v>3880</v>
      </c>
      <c r="H564" s="133">
        <f>VLOOKUP(G564,'packing mapping'!A:B,2,0)</f>
        <v>20</v>
      </c>
      <c r="I564" s="137">
        <v>1117800</v>
      </c>
      <c r="J564" s="132">
        <f t="shared" si="17"/>
        <v>55890</v>
      </c>
    </row>
    <row r="565" spans="1:10">
      <c r="A565" s="115" t="s">
        <v>1109</v>
      </c>
      <c r="B565" s="115" t="s">
        <v>1110</v>
      </c>
      <c r="C565" s="115" t="s">
        <v>1242</v>
      </c>
      <c r="D565" s="115" t="s">
        <v>1243</v>
      </c>
      <c r="E565" s="133" t="str">
        <f t="shared" si="16"/>
        <v>1200001154THPU-71306 ST VN</v>
      </c>
      <c r="F565" s="133" t="s">
        <v>3039</v>
      </c>
      <c r="G565" s="133" t="s">
        <v>3884</v>
      </c>
      <c r="H565" s="133">
        <f>VLOOKUP(G565,'packing mapping'!A:B,2,0)</f>
        <v>200</v>
      </c>
      <c r="I565" s="137">
        <v>10544000</v>
      </c>
      <c r="J565" s="132">
        <f t="shared" si="17"/>
        <v>52720</v>
      </c>
    </row>
    <row r="566" spans="1:10">
      <c r="A566" s="115" t="s">
        <v>1109</v>
      </c>
      <c r="B566" s="115" t="s">
        <v>1110</v>
      </c>
      <c r="C566" s="115" t="s">
        <v>1170</v>
      </c>
      <c r="D566" s="115" t="s">
        <v>1171</v>
      </c>
      <c r="E566" s="133" t="str">
        <f t="shared" si="16"/>
        <v>1200001154THPU-71306 ST VN</v>
      </c>
      <c r="F566" s="133" t="s">
        <v>3039</v>
      </c>
      <c r="G566" s="133" t="s">
        <v>3880</v>
      </c>
      <c r="H566" s="133">
        <f>VLOOKUP(G566,'packing mapping'!A:B,2,0)</f>
        <v>20</v>
      </c>
      <c r="I566" s="137">
        <v>1192400</v>
      </c>
      <c r="J566" s="132">
        <f t="shared" si="17"/>
        <v>59620</v>
      </c>
    </row>
    <row r="567" spans="1:10">
      <c r="A567" s="115" t="s">
        <v>1109</v>
      </c>
      <c r="B567" s="115" t="s">
        <v>1110</v>
      </c>
      <c r="C567" s="115" t="s">
        <v>1248</v>
      </c>
      <c r="D567" s="115" t="s">
        <v>1249</v>
      </c>
      <c r="E567" s="133" t="str">
        <f t="shared" si="16"/>
        <v>1200001154MEPH-12003 PS VN</v>
      </c>
      <c r="F567" s="133" t="s">
        <v>3077</v>
      </c>
      <c r="G567" s="133" t="s">
        <v>3887</v>
      </c>
      <c r="H567" s="133">
        <f>VLOOKUP(G567,'packing mapping'!A:B,2,0)</f>
        <v>2</v>
      </c>
      <c r="I567" s="137">
        <v>372000</v>
      </c>
      <c r="J567" s="132">
        <f t="shared" si="17"/>
        <v>186000</v>
      </c>
    </row>
    <row r="568" spans="1:10">
      <c r="A568" s="115" t="s">
        <v>1109</v>
      </c>
      <c r="B568" s="115" t="s">
        <v>1110</v>
      </c>
      <c r="C568" s="115" t="s">
        <v>1254</v>
      </c>
      <c r="D568" s="115" t="s">
        <v>1255</v>
      </c>
      <c r="E568" s="133" t="str">
        <f t="shared" si="16"/>
        <v>1200001154MEP-12003 BLACK VN</v>
      </c>
      <c r="F568" s="133" t="s">
        <v>3080</v>
      </c>
      <c r="G568" s="133" t="s">
        <v>3882</v>
      </c>
      <c r="H568" s="133">
        <f>VLOOKUP(G568,'packing mapping'!A:B,2,0)</f>
        <v>18</v>
      </c>
      <c r="I568" s="137">
        <v>1766160</v>
      </c>
      <c r="J568" s="132">
        <f t="shared" si="17"/>
        <v>98120</v>
      </c>
    </row>
    <row r="569" spans="1:10">
      <c r="A569" s="115" t="s">
        <v>1109</v>
      </c>
      <c r="B569" s="115" t="s">
        <v>1110</v>
      </c>
      <c r="C569" s="115" t="s">
        <v>1264</v>
      </c>
      <c r="D569" s="115" t="s">
        <v>1265</v>
      </c>
      <c r="E569" s="133" t="str">
        <f t="shared" si="16"/>
        <v>1200001154NCL-11329 LC CLEAR 20 VN</v>
      </c>
      <c r="F569" s="133" t="s">
        <v>3085</v>
      </c>
      <c r="G569" s="133" t="s">
        <v>3879</v>
      </c>
      <c r="H569" s="133">
        <f>VLOOKUP(G569,'packing mapping'!A:B,2,0)</f>
        <v>20</v>
      </c>
      <c r="I569" s="137">
        <v>1645000</v>
      </c>
      <c r="J569" s="132">
        <f t="shared" si="17"/>
        <v>82250</v>
      </c>
    </row>
    <row r="570" spans="1:10">
      <c r="A570" s="115" t="s">
        <v>1109</v>
      </c>
      <c r="B570" s="115" t="s">
        <v>1110</v>
      </c>
      <c r="C570" s="115" t="s">
        <v>1266</v>
      </c>
      <c r="D570" s="115" t="s">
        <v>1267</v>
      </c>
      <c r="E570" s="133" t="str">
        <f t="shared" si="16"/>
        <v>1200001154NCL-11329 LC CLEAR 30 VN</v>
      </c>
      <c r="F570" s="133" t="s">
        <v>3086</v>
      </c>
      <c r="G570" s="133" t="s">
        <v>3879</v>
      </c>
      <c r="H570" s="133">
        <f>VLOOKUP(G570,'packing mapping'!A:B,2,0)</f>
        <v>20</v>
      </c>
      <c r="I570" s="137">
        <v>1605200</v>
      </c>
      <c r="J570" s="132">
        <f t="shared" si="17"/>
        <v>80260</v>
      </c>
    </row>
    <row r="571" spans="1:10">
      <c r="A571" s="115" t="s">
        <v>1109</v>
      </c>
      <c r="B571" s="115" t="s">
        <v>1110</v>
      </c>
      <c r="C571" s="115" t="s">
        <v>1272</v>
      </c>
      <c r="D571" s="115" t="s">
        <v>1273</v>
      </c>
      <c r="E571" s="133" t="str">
        <f t="shared" si="16"/>
        <v>1200001154NCSS-11229 LC VN</v>
      </c>
      <c r="F571" s="133" t="s">
        <v>3089</v>
      </c>
      <c r="G571" s="133" t="s">
        <v>3879</v>
      </c>
      <c r="H571" s="133">
        <f>VLOOKUP(G571,'packing mapping'!A:B,2,0)</f>
        <v>20</v>
      </c>
      <c r="I571" s="137">
        <v>1634000</v>
      </c>
      <c r="J571" s="132">
        <f t="shared" si="17"/>
        <v>81700</v>
      </c>
    </row>
    <row r="572" spans="1:10">
      <c r="A572" s="115" t="s">
        <v>1109</v>
      </c>
      <c r="B572" s="115" t="s">
        <v>1110</v>
      </c>
      <c r="C572" s="115" t="s">
        <v>1274</v>
      </c>
      <c r="D572" s="115" t="s">
        <v>1275</v>
      </c>
      <c r="E572" s="133" t="str">
        <f t="shared" si="16"/>
        <v>1200001154PSV-76000 SB HC MY VN</v>
      </c>
      <c r="F572" s="133" t="s">
        <v>3090</v>
      </c>
      <c r="G572" s="133" t="s">
        <v>3880</v>
      </c>
      <c r="H572" s="133">
        <f>VLOOKUP(G572,'packing mapping'!A:B,2,0)</f>
        <v>20</v>
      </c>
      <c r="I572" s="137">
        <v>10196000</v>
      </c>
      <c r="J572" s="132">
        <f t="shared" si="17"/>
        <v>509800</v>
      </c>
    </row>
    <row r="573" spans="1:10">
      <c r="A573" s="115" t="s">
        <v>1109</v>
      </c>
      <c r="B573" s="115" t="s">
        <v>1110</v>
      </c>
      <c r="C573" s="115" t="s">
        <v>1796</v>
      </c>
      <c r="D573" s="115" t="s">
        <v>1797</v>
      </c>
      <c r="E573" s="133" t="str">
        <f t="shared" si="16"/>
        <v>1200001154PUC-52239 WHITE 20 VN</v>
      </c>
      <c r="F573" s="133" t="s">
        <v>3323</v>
      </c>
      <c r="G573" s="133" t="s">
        <v>3881</v>
      </c>
      <c r="H573" s="133">
        <f>VLOOKUP(G573,'packing mapping'!A:B,2,0)</f>
        <v>20</v>
      </c>
      <c r="I573" s="137">
        <v>2482800</v>
      </c>
      <c r="J573" s="132">
        <f t="shared" si="17"/>
        <v>124140</v>
      </c>
    </row>
    <row r="574" spans="1:10">
      <c r="A574" s="115" t="s">
        <v>1109</v>
      </c>
      <c r="B574" s="115" t="s">
        <v>1110</v>
      </c>
      <c r="C574" s="115" t="s">
        <v>1172</v>
      </c>
      <c r="D574" s="115" t="s">
        <v>1173</v>
      </c>
      <c r="E574" s="133" t="str">
        <f t="shared" si="16"/>
        <v>1200001154PUH-56135 S VN</v>
      </c>
      <c r="F574" s="133" t="s">
        <v>3040</v>
      </c>
      <c r="G574" s="133" t="s">
        <v>3881</v>
      </c>
      <c r="H574" s="133">
        <f>VLOOKUP(G574,'packing mapping'!A:B,2,0)</f>
        <v>20</v>
      </c>
      <c r="I574" s="137">
        <v>2285200</v>
      </c>
      <c r="J574" s="132">
        <f t="shared" si="17"/>
        <v>114260</v>
      </c>
    </row>
    <row r="575" spans="1:10">
      <c r="A575" s="115" t="s">
        <v>1109</v>
      </c>
      <c r="B575" s="115" t="s">
        <v>1110</v>
      </c>
      <c r="C575" s="115" t="s">
        <v>1276</v>
      </c>
      <c r="D575" s="115" t="s">
        <v>1277</v>
      </c>
      <c r="E575" s="133" t="str">
        <f t="shared" si="16"/>
        <v>1200001154PUL-51335 CLEAR 10 VN</v>
      </c>
      <c r="F575" s="133" t="s">
        <v>3091</v>
      </c>
      <c r="G575" s="133" t="s">
        <v>3881</v>
      </c>
      <c r="H575" s="133">
        <f>VLOOKUP(G575,'packing mapping'!A:B,2,0)</f>
        <v>20</v>
      </c>
      <c r="I575" s="137">
        <v>1934400</v>
      </c>
      <c r="J575" s="132">
        <f t="shared" si="17"/>
        <v>96720</v>
      </c>
    </row>
    <row r="576" spans="1:10">
      <c r="A576" s="115" t="s">
        <v>1109</v>
      </c>
      <c r="B576" s="115" t="s">
        <v>1110</v>
      </c>
      <c r="C576" s="115" t="s">
        <v>1278</v>
      </c>
      <c r="D576" s="115" t="s">
        <v>1279</v>
      </c>
      <c r="E576" s="133" t="str">
        <f t="shared" si="16"/>
        <v>1200001154PUL-51335 CLEAR 20 VN</v>
      </c>
      <c r="F576" s="133" t="s">
        <v>3092</v>
      </c>
      <c r="G576" s="133" t="s">
        <v>3881</v>
      </c>
      <c r="H576" s="133">
        <f>VLOOKUP(G576,'packing mapping'!A:B,2,0)</f>
        <v>20</v>
      </c>
      <c r="I576" s="137">
        <v>1931600</v>
      </c>
      <c r="J576" s="132">
        <f t="shared" si="17"/>
        <v>96580</v>
      </c>
    </row>
    <row r="577" spans="1:10">
      <c r="A577" s="115" t="s">
        <v>1109</v>
      </c>
      <c r="B577" s="115" t="s">
        <v>1110</v>
      </c>
      <c r="C577" s="115" t="s">
        <v>1280</v>
      </c>
      <c r="D577" s="115" t="s">
        <v>1281</v>
      </c>
      <c r="E577" s="133" t="str">
        <f t="shared" si="16"/>
        <v>1200001154PUL-51335 CLEAR 30 VN</v>
      </c>
      <c r="F577" s="133" t="s">
        <v>3093</v>
      </c>
      <c r="G577" s="133" t="s">
        <v>3881</v>
      </c>
      <c r="H577" s="133">
        <f>VLOOKUP(G577,'packing mapping'!A:B,2,0)</f>
        <v>20</v>
      </c>
      <c r="I577" s="137">
        <v>1779600</v>
      </c>
      <c r="J577" s="132">
        <f t="shared" si="17"/>
        <v>88980</v>
      </c>
    </row>
    <row r="578" spans="1:10">
      <c r="A578" s="115" t="s">
        <v>1109</v>
      </c>
      <c r="B578" s="115" t="s">
        <v>1110</v>
      </c>
      <c r="C578" s="115" t="s">
        <v>1410</v>
      </c>
      <c r="D578" s="115" t="s">
        <v>1411</v>
      </c>
      <c r="E578" s="133" t="str">
        <f t="shared" si="16"/>
        <v>1200001154PUL-51335 CLEAR 90 VN</v>
      </c>
      <c r="F578" s="133" t="s">
        <v>3154</v>
      </c>
      <c r="G578" s="133" t="s">
        <v>3881</v>
      </c>
      <c r="H578" s="133">
        <f>VLOOKUP(G578,'packing mapping'!A:B,2,0)</f>
        <v>20</v>
      </c>
      <c r="I578" s="137">
        <v>1604000</v>
      </c>
      <c r="J578" s="132">
        <f t="shared" si="17"/>
        <v>80200</v>
      </c>
    </row>
    <row r="579" spans="1:10">
      <c r="A579" s="115" t="s">
        <v>1109</v>
      </c>
      <c r="B579" s="115" t="s">
        <v>1110</v>
      </c>
      <c r="C579" s="115" t="s">
        <v>1292</v>
      </c>
      <c r="D579" s="115" t="s">
        <v>1293</v>
      </c>
      <c r="E579" s="133" t="str">
        <f t="shared" ref="E579:E642" si="18">A579&amp;F579</f>
        <v>1200001154PUP-52135 WHITE VN</v>
      </c>
      <c r="F579" s="133" t="s">
        <v>3098</v>
      </c>
      <c r="G579" s="133" t="s">
        <v>3881</v>
      </c>
      <c r="H579" s="133">
        <f>VLOOKUP(G579,'packing mapping'!A:B,2,0)</f>
        <v>20</v>
      </c>
      <c r="I579" s="137">
        <v>2056200</v>
      </c>
      <c r="J579" s="132">
        <f t="shared" ref="J579:J642" si="19">I579/H579</f>
        <v>102810</v>
      </c>
    </row>
    <row r="580" spans="1:10">
      <c r="A580" s="115" t="s">
        <v>1109</v>
      </c>
      <c r="B580" s="115" t="s">
        <v>1110</v>
      </c>
      <c r="C580" s="115" t="s">
        <v>1176</v>
      </c>
      <c r="D580" s="115" t="s">
        <v>1177</v>
      </c>
      <c r="E580" s="133" t="str">
        <f t="shared" si="18"/>
        <v>1200001154PUSS-51235 VN</v>
      </c>
      <c r="F580" s="133" t="s">
        <v>3042</v>
      </c>
      <c r="G580" s="133" t="s">
        <v>3881</v>
      </c>
      <c r="H580" s="133">
        <f>VLOOKUP(G580,'packing mapping'!A:B,2,0)</f>
        <v>20</v>
      </c>
      <c r="I580" s="137">
        <v>1668400</v>
      </c>
      <c r="J580" s="132">
        <f t="shared" si="19"/>
        <v>83420</v>
      </c>
    </row>
    <row r="581" spans="1:10">
      <c r="A581" s="115" t="s">
        <v>1109</v>
      </c>
      <c r="B581" s="115" t="s">
        <v>1110</v>
      </c>
      <c r="C581" s="115" t="s">
        <v>1296</v>
      </c>
      <c r="D581" s="115" t="s">
        <v>1297</v>
      </c>
      <c r="E581" s="133" t="str">
        <f t="shared" si="18"/>
        <v>1200001154RD-74106 VN</v>
      </c>
      <c r="F581" s="133" t="s">
        <v>3099</v>
      </c>
      <c r="G581" s="133" t="s">
        <v>3880</v>
      </c>
      <c r="H581" s="133">
        <f>VLOOKUP(G581,'packing mapping'!A:B,2,0)</f>
        <v>20</v>
      </c>
      <c r="I581" s="137">
        <v>1366200</v>
      </c>
      <c r="J581" s="132">
        <f t="shared" si="19"/>
        <v>68310</v>
      </c>
    </row>
    <row r="582" spans="1:10">
      <c r="A582" s="115" t="s">
        <v>1109</v>
      </c>
      <c r="B582" s="115" t="s">
        <v>1110</v>
      </c>
      <c r="C582" s="115" t="s">
        <v>1300</v>
      </c>
      <c r="D582" s="115" t="s">
        <v>1301</v>
      </c>
      <c r="E582" s="133" t="str">
        <f t="shared" si="18"/>
        <v>1200001154GZPU-21500 BLACK VN</v>
      </c>
      <c r="F582" s="133" t="s">
        <v>3101</v>
      </c>
      <c r="G582" s="133" t="s">
        <v>3883</v>
      </c>
      <c r="H582" s="133">
        <f>VLOOKUP(G582,'packing mapping'!A:B,2,0)</f>
        <v>4</v>
      </c>
      <c r="I582" s="137">
        <v>1228200</v>
      </c>
      <c r="J582" s="132">
        <f t="shared" si="19"/>
        <v>307050</v>
      </c>
    </row>
    <row r="583" spans="1:10">
      <c r="A583" s="115" t="s">
        <v>1109</v>
      </c>
      <c r="B583" s="115" t="s">
        <v>1110</v>
      </c>
      <c r="C583" s="115" t="s">
        <v>1302</v>
      </c>
      <c r="D583" s="115" t="s">
        <v>1303</v>
      </c>
      <c r="E583" s="133" t="str">
        <f t="shared" si="18"/>
        <v>1200001154GZPU-21500 BROWN VN</v>
      </c>
      <c r="F583" s="133" t="s">
        <v>3102</v>
      </c>
      <c r="G583" s="133" t="s">
        <v>3883</v>
      </c>
      <c r="H583" s="133">
        <f>VLOOKUP(G583,'packing mapping'!A:B,2,0)</f>
        <v>4</v>
      </c>
      <c r="I583" s="137">
        <v>1094560</v>
      </c>
      <c r="J583" s="132">
        <f t="shared" si="19"/>
        <v>273640</v>
      </c>
    </row>
    <row r="584" spans="1:10">
      <c r="A584" s="115" t="s">
        <v>1109</v>
      </c>
      <c r="B584" s="115" t="s">
        <v>1110</v>
      </c>
      <c r="C584" s="115" t="s">
        <v>1304</v>
      </c>
      <c r="D584" s="115" t="s">
        <v>1305</v>
      </c>
      <c r="E584" s="133" t="str">
        <f t="shared" si="18"/>
        <v>1200001154GZ-12700 N BLACK VN</v>
      </c>
      <c r="F584" s="133" t="s">
        <v>3103</v>
      </c>
      <c r="G584" s="133" t="s">
        <v>3883</v>
      </c>
      <c r="H584" s="133">
        <f>VLOOKUP(G584,'packing mapping'!A:B,2,0)</f>
        <v>4</v>
      </c>
      <c r="I584" s="137">
        <v>1134720</v>
      </c>
      <c r="J584" s="132">
        <f t="shared" si="19"/>
        <v>283680</v>
      </c>
    </row>
    <row r="585" spans="1:10">
      <c r="A585" s="115" t="s">
        <v>1109</v>
      </c>
      <c r="B585" s="115" t="s">
        <v>1110</v>
      </c>
      <c r="C585" s="115" t="s">
        <v>1306</v>
      </c>
      <c r="D585" s="115" t="s">
        <v>1307</v>
      </c>
      <c r="E585" s="133" t="str">
        <f t="shared" si="18"/>
        <v>1200001154GZ-12700 N RED VN</v>
      </c>
      <c r="F585" s="133" t="s">
        <v>3104</v>
      </c>
      <c r="G585" s="133" t="s">
        <v>3883</v>
      </c>
      <c r="H585" s="133">
        <f>VLOOKUP(G585,'packing mapping'!A:B,2,0)</f>
        <v>4</v>
      </c>
      <c r="I585" s="137">
        <v>1187640</v>
      </c>
      <c r="J585" s="132">
        <f t="shared" si="19"/>
        <v>296910</v>
      </c>
    </row>
    <row r="586" spans="1:10">
      <c r="A586" s="115" t="s">
        <v>1109</v>
      </c>
      <c r="B586" s="115" t="s">
        <v>1110</v>
      </c>
      <c r="C586" s="115" t="s">
        <v>1308</v>
      </c>
      <c r="D586" s="115" t="s">
        <v>1309</v>
      </c>
      <c r="E586" s="133" t="str">
        <f t="shared" si="18"/>
        <v>1200001154GZ-12700 N YELLOW</v>
      </c>
      <c r="F586" s="133" t="s">
        <v>3105</v>
      </c>
      <c r="G586" s="133" t="s">
        <v>3883</v>
      </c>
      <c r="H586" s="133">
        <f>VLOOKUP(G586,'packing mapping'!A:B,2,0)</f>
        <v>4</v>
      </c>
      <c r="I586" s="137">
        <v>1155440</v>
      </c>
      <c r="J586" s="132">
        <f t="shared" si="19"/>
        <v>288860</v>
      </c>
    </row>
    <row r="587" spans="1:10">
      <c r="A587" s="115" t="s">
        <v>1109</v>
      </c>
      <c r="B587" s="115" t="s">
        <v>1110</v>
      </c>
      <c r="C587" s="115" t="s">
        <v>1696</v>
      </c>
      <c r="D587" s="115" t="s">
        <v>1697</v>
      </c>
      <c r="E587" s="133" t="str">
        <f t="shared" si="18"/>
        <v>1200001154GZ-9127-WS-AK</v>
      </c>
      <c r="F587" s="133" t="s">
        <v>3284</v>
      </c>
      <c r="G587" s="133" t="s">
        <v>3883</v>
      </c>
      <c r="H587" s="133">
        <f>VLOOKUP(G587,'packing mapping'!A:B,2,0)</f>
        <v>4</v>
      </c>
      <c r="I587" s="137">
        <v>869240</v>
      </c>
      <c r="J587" s="132">
        <f t="shared" si="19"/>
        <v>217310</v>
      </c>
    </row>
    <row r="588" spans="1:10">
      <c r="A588" s="115" t="s">
        <v>1109</v>
      </c>
      <c r="B588" s="115" t="s">
        <v>1110</v>
      </c>
      <c r="C588" s="115" t="s">
        <v>1310</v>
      </c>
      <c r="D588" s="115" t="s">
        <v>1311</v>
      </c>
      <c r="E588" s="133" t="str">
        <f t="shared" si="18"/>
        <v>1200001154GZPU-21500 RED VN</v>
      </c>
      <c r="F588" s="133" t="s">
        <v>3106</v>
      </c>
      <c r="G588" s="133" t="s">
        <v>3883</v>
      </c>
      <c r="H588" s="133">
        <f>VLOOKUP(G588,'packing mapping'!A:B,2,0)</f>
        <v>4</v>
      </c>
      <c r="I588" s="137">
        <v>1458840</v>
      </c>
      <c r="J588" s="132">
        <f t="shared" si="19"/>
        <v>364710</v>
      </c>
    </row>
    <row r="589" spans="1:10">
      <c r="A589" s="115" t="s">
        <v>1109</v>
      </c>
      <c r="B589" s="115" t="s">
        <v>1110</v>
      </c>
      <c r="C589" s="115" t="s">
        <v>1312</v>
      </c>
      <c r="D589" s="115" t="s">
        <v>1313</v>
      </c>
      <c r="E589" s="133" t="str">
        <f t="shared" si="18"/>
        <v>1200001154GZPU-21500 YELLOW VN</v>
      </c>
      <c r="F589" s="133" t="s">
        <v>3107</v>
      </c>
      <c r="G589" s="133" t="s">
        <v>3883</v>
      </c>
      <c r="H589" s="133">
        <f>VLOOKUP(G589,'packing mapping'!A:B,2,0)</f>
        <v>4</v>
      </c>
      <c r="I589" s="137">
        <v>1356080</v>
      </c>
      <c r="J589" s="132">
        <f t="shared" si="19"/>
        <v>339020</v>
      </c>
    </row>
    <row r="590" spans="1:10">
      <c r="A590" s="115" t="s">
        <v>1109</v>
      </c>
      <c r="B590" s="115" t="s">
        <v>1110</v>
      </c>
      <c r="C590" s="115" t="s">
        <v>1798</v>
      </c>
      <c r="D590" s="115" t="s">
        <v>1799</v>
      </c>
      <c r="E590" s="133" t="str">
        <f t="shared" si="18"/>
        <v>1200001154GZ-12700 N VAN DYKE BROWN VN</v>
      </c>
      <c r="F590" s="133" t="s">
        <v>3324</v>
      </c>
      <c r="G590" s="133" t="s">
        <v>3883</v>
      </c>
      <c r="H590" s="133">
        <f>VLOOKUP(G590,'packing mapping'!A:B,2,0)</f>
        <v>4</v>
      </c>
      <c r="I590" s="137">
        <v>880240</v>
      </c>
      <c r="J590" s="132">
        <f t="shared" si="19"/>
        <v>220060</v>
      </c>
    </row>
    <row r="591" spans="1:10">
      <c r="A591" s="115" t="s">
        <v>1109</v>
      </c>
      <c r="B591" s="115" t="s">
        <v>1110</v>
      </c>
      <c r="C591" s="115" t="s">
        <v>1314</v>
      </c>
      <c r="D591" s="115" t="s">
        <v>1315</v>
      </c>
      <c r="E591" s="133" t="str">
        <f t="shared" si="18"/>
        <v>1200001154PCL-31300 RED 31701 PASTE</v>
      </c>
      <c r="F591" s="133" t="s">
        <v>3108</v>
      </c>
      <c r="G591" s="133" t="s">
        <v>3883</v>
      </c>
      <c r="H591" s="133">
        <f>VLOOKUP(G591,'packing mapping'!A:B,2,0)</f>
        <v>4</v>
      </c>
      <c r="I591" s="137">
        <v>2572800</v>
      </c>
      <c r="J591" s="132">
        <f t="shared" si="19"/>
        <v>643200</v>
      </c>
    </row>
    <row r="592" spans="1:10">
      <c r="A592" s="115" t="s">
        <v>1109</v>
      </c>
      <c r="B592" s="115" t="s">
        <v>1110</v>
      </c>
      <c r="C592" s="115" t="s">
        <v>1316</v>
      </c>
      <c r="D592" s="115" t="s">
        <v>1317</v>
      </c>
      <c r="E592" s="133" t="str">
        <f t="shared" si="18"/>
        <v>1200001154PCL-31300 YELLOW 170 HR PASTE</v>
      </c>
      <c r="F592" s="133" t="s">
        <v>3109</v>
      </c>
      <c r="G592" s="133" t="s">
        <v>3883</v>
      </c>
      <c r="H592" s="133">
        <f>VLOOKUP(G592,'packing mapping'!A:B,2,0)</f>
        <v>4</v>
      </c>
      <c r="I592" s="137">
        <v>1676000</v>
      </c>
      <c r="J592" s="132">
        <f t="shared" si="19"/>
        <v>419000</v>
      </c>
    </row>
    <row r="593" spans="1:10">
      <c r="A593" s="115" t="s">
        <v>1109</v>
      </c>
      <c r="B593" s="115" t="s">
        <v>1110</v>
      </c>
      <c r="C593" s="115" t="s">
        <v>1318</v>
      </c>
      <c r="D593" s="115" t="s">
        <v>1319</v>
      </c>
      <c r="E593" s="133" t="str">
        <f t="shared" si="18"/>
        <v>1200001154GZPU-21500 WHITE VN</v>
      </c>
      <c r="F593" s="133" t="s">
        <v>3110</v>
      </c>
      <c r="G593" s="133" t="s">
        <v>3883</v>
      </c>
      <c r="H593" s="133">
        <f>VLOOKUP(G593,'packing mapping'!A:B,2,0)</f>
        <v>4</v>
      </c>
      <c r="I593" s="137">
        <v>1118840</v>
      </c>
      <c r="J593" s="132">
        <f t="shared" si="19"/>
        <v>279710</v>
      </c>
    </row>
    <row r="594" spans="1:10">
      <c r="A594" s="115" t="s">
        <v>1109</v>
      </c>
      <c r="B594" s="115" t="s">
        <v>1110</v>
      </c>
      <c r="C594" s="115" t="s">
        <v>1320</v>
      </c>
      <c r="D594" s="115" t="s">
        <v>1321</v>
      </c>
      <c r="E594" s="133" t="str">
        <f t="shared" si="18"/>
        <v>1200001154THC-73100 102 VN</v>
      </c>
      <c r="F594" s="133" t="s">
        <v>3111</v>
      </c>
      <c r="G594" s="133" t="s">
        <v>3880</v>
      </c>
      <c r="H594" s="133">
        <f>VLOOKUP(G594,'packing mapping'!A:B,2,0)</f>
        <v>20</v>
      </c>
      <c r="I594" s="137">
        <v>880000</v>
      </c>
      <c r="J594" s="132">
        <f t="shared" si="19"/>
        <v>44000</v>
      </c>
    </row>
    <row r="595" spans="1:10">
      <c r="A595" s="115" t="s">
        <v>1109</v>
      </c>
      <c r="B595" s="115" t="s">
        <v>1110</v>
      </c>
      <c r="C595" s="115" t="s">
        <v>1800</v>
      </c>
      <c r="D595" s="115" t="s">
        <v>1801</v>
      </c>
      <c r="E595" s="133" t="str">
        <f t="shared" si="18"/>
        <v>1200001154LOL-1762-AK</v>
      </c>
      <c r="F595" s="133" t="s">
        <v>3325</v>
      </c>
      <c r="G595" s="133" t="s">
        <v>3885</v>
      </c>
      <c r="H595" s="133">
        <f>VLOOKUP(G595,'packing mapping'!A:B,2,0)</f>
        <v>18</v>
      </c>
      <c r="I595" s="137">
        <v>2016180</v>
      </c>
      <c r="J595" s="132">
        <f t="shared" si="19"/>
        <v>112010</v>
      </c>
    </row>
    <row r="596" spans="1:10">
      <c r="A596" s="115" t="s">
        <v>1109</v>
      </c>
      <c r="B596" s="115" t="s">
        <v>1110</v>
      </c>
      <c r="C596" s="115" t="s">
        <v>1802</v>
      </c>
      <c r="D596" s="115" t="s">
        <v>1803</v>
      </c>
      <c r="E596" s="133" t="str">
        <f t="shared" si="18"/>
        <v>1200001154DC-12207 WHITE 20 VN</v>
      </c>
      <c r="F596" s="133" t="s">
        <v>3326</v>
      </c>
      <c r="G596" s="133" t="s">
        <v>3881</v>
      </c>
      <c r="H596" s="133">
        <f>VLOOKUP(G596,'packing mapping'!A:B,2,0)</f>
        <v>20</v>
      </c>
      <c r="I596" s="137">
        <v>2425600</v>
      </c>
      <c r="J596" s="132">
        <f t="shared" si="19"/>
        <v>121280</v>
      </c>
    </row>
    <row r="597" spans="1:10">
      <c r="A597" s="115" t="s">
        <v>1109</v>
      </c>
      <c r="B597" s="115" t="s">
        <v>1110</v>
      </c>
      <c r="C597" s="115" t="s">
        <v>1324</v>
      </c>
      <c r="D597" s="115" t="s">
        <v>1325</v>
      </c>
      <c r="E597" s="133" t="str">
        <f t="shared" si="18"/>
        <v>1200001154DP-12129 LC BLACK VN</v>
      </c>
      <c r="F597" s="133" t="s">
        <v>3113</v>
      </c>
      <c r="G597" s="133" t="s">
        <v>3881</v>
      </c>
      <c r="H597" s="133">
        <f>VLOOKUP(G597,'packing mapping'!A:B,2,0)</f>
        <v>20</v>
      </c>
      <c r="I597" s="137">
        <v>2008800</v>
      </c>
      <c r="J597" s="132">
        <f t="shared" si="19"/>
        <v>100440</v>
      </c>
    </row>
    <row r="598" spans="1:10">
      <c r="A598" s="115" t="s">
        <v>1109</v>
      </c>
      <c r="B598" s="115" t="s">
        <v>1110</v>
      </c>
      <c r="C598" s="115" t="s">
        <v>1804</v>
      </c>
      <c r="D598" s="115" t="s">
        <v>1805</v>
      </c>
      <c r="E598" s="133" t="str">
        <f t="shared" si="18"/>
        <v>1200001154THC-73100 102 VN</v>
      </c>
      <c r="F598" s="133" t="s">
        <v>3111</v>
      </c>
      <c r="G598" s="133" t="s">
        <v>3899</v>
      </c>
      <c r="H598" s="133">
        <f>VLOOKUP(G598,'packing mapping'!A:B,2,0)</f>
        <v>160</v>
      </c>
      <c r="I598" s="137">
        <v>6976000</v>
      </c>
      <c r="J598" s="132">
        <f t="shared" si="19"/>
        <v>43600</v>
      </c>
    </row>
    <row r="599" spans="1:10">
      <c r="A599" s="115" t="s">
        <v>1109</v>
      </c>
      <c r="B599" s="115" t="s">
        <v>1110</v>
      </c>
      <c r="C599" s="115" t="s">
        <v>1806</v>
      </c>
      <c r="D599" s="115" t="s">
        <v>1807</v>
      </c>
      <c r="E599" s="133" t="str">
        <f t="shared" si="18"/>
        <v>1200001154UVSS-40104 VN</v>
      </c>
      <c r="F599" s="133" t="s">
        <v>3327</v>
      </c>
      <c r="G599" s="133" t="s">
        <v>3881</v>
      </c>
      <c r="H599" s="133">
        <f>VLOOKUP(G599,'packing mapping'!A:B,2,0)</f>
        <v>20</v>
      </c>
      <c r="I599" s="137">
        <v>2350000</v>
      </c>
      <c r="J599" s="132">
        <f t="shared" si="19"/>
        <v>117500</v>
      </c>
    </row>
    <row r="600" spans="1:10">
      <c r="A600" s="115" t="s">
        <v>1109</v>
      </c>
      <c r="B600" s="115" t="s">
        <v>1110</v>
      </c>
      <c r="C600" s="115" t="s">
        <v>1422</v>
      </c>
      <c r="D600" s="115" t="s">
        <v>1423</v>
      </c>
      <c r="E600" s="133" t="str">
        <f t="shared" si="18"/>
        <v>1200001154THPU-71306 WP LC VN</v>
      </c>
      <c r="F600" s="133" t="s">
        <v>3159</v>
      </c>
      <c r="G600" s="133" t="s">
        <v>3880</v>
      </c>
      <c r="H600" s="133">
        <f>VLOOKUP(G600,'packing mapping'!A:B,2,0)</f>
        <v>20</v>
      </c>
      <c r="I600" s="137">
        <v>1205000</v>
      </c>
      <c r="J600" s="132">
        <f t="shared" si="19"/>
        <v>60250</v>
      </c>
    </row>
    <row r="601" spans="1:10">
      <c r="A601" s="115" t="s">
        <v>1109</v>
      </c>
      <c r="B601" s="115" t="s">
        <v>1110</v>
      </c>
      <c r="C601" s="115" t="s">
        <v>1332</v>
      </c>
      <c r="D601" s="115" t="s">
        <v>1333</v>
      </c>
      <c r="E601" s="133" t="str">
        <f t="shared" si="18"/>
        <v>1200001154WFPU-51000 VN</v>
      </c>
      <c r="F601" s="133" t="s">
        <v>3117</v>
      </c>
      <c r="G601" s="133" t="s">
        <v>3881</v>
      </c>
      <c r="H601" s="133">
        <f>VLOOKUP(G601,'packing mapping'!A:B,2,0)</f>
        <v>20</v>
      </c>
      <c r="I601" s="137">
        <v>1794800</v>
      </c>
      <c r="J601" s="132">
        <f t="shared" si="19"/>
        <v>89740</v>
      </c>
    </row>
    <row r="602" spans="1:10">
      <c r="A602" s="115" t="s">
        <v>1109</v>
      </c>
      <c r="B602" s="115" t="s">
        <v>1110</v>
      </c>
      <c r="C602" s="115" t="s">
        <v>1508</v>
      </c>
      <c r="D602" s="115" t="s">
        <v>1509</v>
      </c>
      <c r="E602" s="133" t="str">
        <f t="shared" si="18"/>
        <v>1200001154PUL-53306 AC EX CLEAR 20 DN VN</v>
      </c>
      <c r="F602" s="133" t="s">
        <v>3194</v>
      </c>
      <c r="G602" s="133" t="s">
        <v>3879</v>
      </c>
      <c r="H602" s="133">
        <f>VLOOKUP(G602,'packing mapping'!A:B,2,0)</f>
        <v>20</v>
      </c>
      <c r="I602" s="137">
        <v>3122200</v>
      </c>
      <c r="J602" s="132">
        <f t="shared" si="19"/>
        <v>156110</v>
      </c>
    </row>
    <row r="603" spans="1:10">
      <c r="A603" s="115" t="s">
        <v>1109</v>
      </c>
      <c r="B603" s="115" t="s">
        <v>1110</v>
      </c>
      <c r="C603" s="115" t="s">
        <v>1808</v>
      </c>
      <c r="D603" s="115" t="s">
        <v>1809</v>
      </c>
      <c r="E603" s="133" t="str">
        <f t="shared" si="18"/>
        <v>1200001154THNC-51</v>
      </c>
      <c r="F603" s="133" t="s">
        <v>3328</v>
      </c>
      <c r="G603" s="133" t="s">
        <v>3884</v>
      </c>
      <c r="H603" s="133">
        <f>VLOOKUP(G603,'packing mapping'!A:B,2,0)</f>
        <v>200</v>
      </c>
      <c r="I603" s="137">
        <v>9384000</v>
      </c>
      <c r="J603" s="132">
        <f t="shared" si="19"/>
        <v>46920</v>
      </c>
    </row>
    <row r="604" spans="1:10">
      <c r="A604" s="115" t="s">
        <v>1109</v>
      </c>
      <c r="B604" s="115" t="s">
        <v>1110</v>
      </c>
      <c r="C604" s="115" t="s">
        <v>1510</v>
      </c>
      <c r="D604" s="115" t="s">
        <v>1511</v>
      </c>
      <c r="E604" s="133" t="str">
        <f t="shared" si="18"/>
        <v>1200001154DP-12130 WHITE VN</v>
      </c>
      <c r="F604" s="133" t="s">
        <v>3195</v>
      </c>
      <c r="G604" s="133" t="s">
        <v>3882</v>
      </c>
      <c r="H604" s="133">
        <f>VLOOKUP(G604,'packing mapping'!A:B,2,0)</f>
        <v>18</v>
      </c>
      <c r="I604" s="137">
        <v>1407060</v>
      </c>
      <c r="J604" s="132">
        <f t="shared" si="19"/>
        <v>78170</v>
      </c>
    </row>
    <row r="605" spans="1:10">
      <c r="A605" s="115" t="s">
        <v>1109</v>
      </c>
      <c r="B605" s="115" t="s">
        <v>1110</v>
      </c>
      <c r="C605" s="115" t="s">
        <v>1810</v>
      </c>
      <c r="D605" s="115" t="s">
        <v>1811</v>
      </c>
      <c r="E605" s="133" t="str">
        <f t="shared" si="18"/>
        <v>1200001154PUP-52135 BLUE 14 SKS VN</v>
      </c>
      <c r="F605" s="133" t="s">
        <v>3329</v>
      </c>
      <c r="G605" s="133" t="s">
        <v>3881</v>
      </c>
      <c r="H605" s="133">
        <f>VLOOKUP(G605,'packing mapping'!A:B,2,0)</f>
        <v>20</v>
      </c>
      <c r="I605" s="137">
        <v>2807000</v>
      </c>
      <c r="J605" s="132">
        <f t="shared" si="19"/>
        <v>140350</v>
      </c>
    </row>
    <row r="606" spans="1:10">
      <c r="A606" s="115" t="s">
        <v>1109</v>
      </c>
      <c r="B606" s="115" t="s">
        <v>1110</v>
      </c>
      <c r="C606" s="115" t="s">
        <v>1812</v>
      </c>
      <c r="D606" s="115" t="s">
        <v>1813</v>
      </c>
      <c r="E606" s="133" t="str">
        <f t="shared" si="18"/>
        <v>1200001154PUP-54106 AC EX BLUE 15 SKS VN</v>
      </c>
      <c r="F606" s="133" t="s">
        <v>3330</v>
      </c>
      <c r="G606" s="133" t="s">
        <v>3881</v>
      </c>
      <c r="H606" s="133">
        <f>VLOOKUP(G606,'packing mapping'!A:B,2,0)</f>
        <v>20</v>
      </c>
      <c r="I606" s="137">
        <v>3292200</v>
      </c>
      <c r="J606" s="132">
        <f t="shared" si="19"/>
        <v>164610</v>
      </c>
    </row>
    <row r="607" spans="1:10">
      <c r="A607" s="115" t="s">
        <v>1109</v>
      </c>
      <c r="B607" s="115" t="s">
        <v>1110</v>
      </c>
      <c r="C607" s="115" t="s">
        <v>1814</v>
      </c>
      <c r="D607" s="115" t="s">
        <v>1815</v>
      </c>
      <c r="E607" s="133" t="str">
        <f t="shared" si="18"/>
        <v>1200001154PUP-52135 BLUE 15 SKS VN</v>
      </c>
      <c r="F607" s="133" t="s">
        <v>3331</v>
      </c>
      <c r="G607" s="133" t="s">
        <v>3881</v>
      </c>
      <c r="H607" s="133">
        <f>VLOOKUP(G607,'packing mapping'!A:B,2,0)</f>
        <v>20</v>
      </c>
      <c r="I607" s="137">
        <v>2681200</v>
      </c>
      <c r="J607" s="132">
        <f t="shared" si="19"/>
        <v>134060</v>
      </c>
    </row>
    <row r="608" spans="1:10">
      <c r="A608" s="115" t="s">
        <v>1109</v>
      </c>
      <c r="B608" s="115" t="s">
        <v>1110</v>
      </c>
      <c r="C608" s="115" t="s">
        <v>1816</v>
      </c>
      <c r="D608" s="115" t="s">
        <v>1817</v>
      </c>
      <c r="E608" s="133" t="str">
        <f t="shared" si="18"/>
        <v>1200001154PUP-54106 AC EX BLUE 14 SKS VN</v>
      </c>
      <c r="F608" s="133" t="s">
        <v>3332</v>
      </c>
      <c r="G608" s="133" t="s">
        <v>3881</v>
      </c>
      <c r="H608" s="133">
        <f>VLOOKUP(G608,'packing mapping'!A:B,2,0)</f>
        <v>20</v>
      </c>
      <c r="I608" s="137">
        <v>3744000</v>
      </c>
      <c r="J608" s="132">
        <f t="shared" si="19"/>
        <v>187200</v>
      </c>
    </row>
    <row r="609" spans="1:10">
      <c r="A609" s="115" t="s">
        <v>1109</v>
      </c>
      <c r="B609" s="115" t="s">
        <v>1110</v>
      </c>
      <c r="C609" s="115" t="s">
        <v>1818</v>
      </c>
      <c r="D609" s="115" t="s">
        <v>1819</v>
      </c>
      <c r="E609" s="133" t="str">
        <f t="shared" si="18"/>
        <v>1200001154DP-12132 LY WHITE VN</v>
      </c>
      <c r="F609" s="133" t="s">
        <v>3333</v>
      </c>
      <c r="G609" s="133" t="s">
        <v>3882</v>
      </c>
      <c r="H609" s="133">
        <f>VLOOKUP(G609,'packing mapping'!A:B,2,0)</f>
        <v>18</v>
      </c>
      <c r="I609" s="137">
        <v>2036160</v>
      </c>
      <c r="J609" s="132">
        <f t="shared" si="19"/>
        <v>113120</v>
      </c>
    </row>
    <row r="610" spans="1:10">
      <c r="A610" s="115" t="s">
        <v>1109</v>
      </c>
      <c r="B610" s="115" t="s">
        <v>1110</v>
      </c>
      <c r="C610" s="115" t="s">
        <v>1820</v>
      </c>
      <c r="D610" s="115" t="s">
        <v>1821</v>
      </c>
      <c r="E610" s="133" t="str">
        <f t="shared" si="18"/>
        <v>1200001154NCSS-11232 LY VN</v>
      </c>
      <c r="F610" s="133" t="s">
        <v>3334</v>
      </c>
      <c r="G610" s="133" t="s">
        <v>3882</v>
      </c>
      <c r="H610" s="133">
        <f>VLOOKUP(G610,'packing mapping'!A:B,2,0)</f>
        <v>18</v>
      </c>
      <c r="I610" s="137">
        <v>2024100</v>
      </c>
      <c r="J610" s="132">
        <f t="shared" si="19"/>
        <v>112450</v>
      </c>
    </row>
    <row r="611" spans="1:10">
      <c r="A611" s="115" t="s">
        <v>1109</v>
      </c>
      <c r="B611" s="115" t="s">
        <v>1110</v>
      </c>
      <c r="C611" s="115" t="s">
        <v>1822</v>
      </c>
      <c r="D611" s="115" t="s">
        <v>1823</v>
      </c>
      <c r="E611" s="133" t="str">
        <f t="shared" si="18"/>
        <v>1200001154NCL-11332 LY CLEAR 10 VN</v>
      </c>
      <c r="F611" s="133" t="s">
        <v>3335</v>
      </c>
      <c r="G611" s="133" t="s">
        <v>3882</v>
      </c>
      <c r="H611" s="133">
        <f>VLOOKUP(G611,'packing mapping'!A:B,2,0)</f>
        <v>18</v>
      </c>
      <c r="I611" s="137">
        <v>2833920</v>
      </c>
      <c r="J611" s="132">
        <f t="shared" si="19"/>
        <v>157440</v>
      </c>
    </row>
    <row r="612" spans="1:10">
      <c r="A612" s="115" t="s">
        <v>1109</v>
      </c>
      <c r="B612" s="115" t="s">
        <v>1110</v>
      </c>
      <c r="C612" s="115" t="s">
        <v>1824</v>
      </c>
      <c r="D612" s="115" t="s">
        <v>1825</v>
      </c>
      <c r="E612" s="133" t="str">
        <f t="shared" si="18"/>
        <v>1200001154UVP-60301 WHITE VN</v>
      </c>
      <c r="F612" s="133" t="s">
        <v>3336</v>
      </c>
      <c r="G612" s="133" t="s">
        <v>3881</v>
      </c>
      <c r="H612" s="133">
        <f>VLOOKUP(G612,'packing mapping'!A:B,2,0)</f>
        <v>20</v>
      </c>
      <c r="I612" s="137">
        <v>3007600</v>
      </c>
      <c r="J612" s="132">
        <f t="shared" si="19"/>
        <v>150380</v>
      </c>
    </row>
    <row r="613" spans="1:10">
      <c r="A613" s="115" t="s">
        <v>1109</v>
      </c>
      <c r="B613" s="115" t="s">
        <v>1110</v>
      </c>
      <c r="C613" s="115" t="s">
        <v>1826</v>
      </c>
      <c r="D613" s="115" t="s">
        <v>1827</v>
      </c>
      <c r="E613" s="133" t="str">
        <f t="shared" si="18"/>
        <v>1200001154NCL-11332 LY CLEAR 20 VN</v>
      </c>
      <c r="F613" s="133" t="s">
        <v>3337</v>
      </c>
      <c r="G613" s="133" t="s">
        <v>3882</v>
      </c>
      <c r="H613" s="133">
        <f>VLOOKUP(G613,'packing mapping'!A:B,2,0)</f>
        <v>18</v>
      </c>
      <c r="I613" s="137">
        <v>2833920</v>
      </c>
      <c r="J613" s="132">
        <f t="shared" si="19"/>
        <v>157440</v>
      </c>
    </row>
    <row r="614" spans="1:10">
      <c r="A614" s="115" t="s">
        <v>1109</v>
      </c>
      <c r="B614" s="115" t="s">
        <v>1110</v>
      </c>
      <c r="C614" s="115" t="s">
        <v>1828</v>
      </c>
      <c r="D614" s="115" t="s">
        <v>1829</v>
      </c>
      <c r="E614" s="133" t="str">
        <f t="shared" si="18"/>
        <v>1200001154UVF-10301 BLACK VN</v>
      </c>
      <c r="F614" s="133" t="s">
        <v>3338</v>
      </c>
      <c r="G614" s="133" t="s">
        <v>3881</v>
      </c>
      <c r="H614" s="133">
        <f>VLOOKUP(G614,'packing mapping'!A:B,2,0)</f>
        <v>20</v>
      </c>
      <c r="I614" s="137">
        <v>3179600</v>
      </c>
      <c r="J614" s="132">
        <f t="shared" si="19"/>
        <v>158980</v>
      </c>
    </row>
    <row r="615" spans="1:10">
      <c r="A615" s="115" t="s">
        <v>1109</v>
      </c>
      <c r="B615" s="115" t="s">
        <v>1110</v>
      </c>
      <c r="C615" s="115" t="s">
        <v>1830</v>
      </c>
      <c r="D615" s="115" t="s">
        <v>1831</v>
      </c>
      <c r="E615" s="133" t="str">
        <f t="shared" si="18"/>
        <v>1200001154UVP-60301 BLACK VN</v>
      </c>
      <c r="F615" s="133" t="s">
        <v>3339</v>
      </c>
      <c r="G615" s="133" t="s">
        <v>3881</v>
      </c>
      <c r="H615" s="133">
        <f>VLOOKUP(G615,'packing mapping'!A:B,2,0)</f>
        <v>20</v>
      </c>
      <c r="I615" s="137">
        <v>3234800</v>
      </c>
      <c r="J615" s="132">
        <f t="shared" si="19"/>
        <v>161740</v>
      </c>
    </row>
    <row r="616" spans="1:10">
      <c r="A616" s="115" t="s">
        <v>1109</v>
      </c>
      <c r="B616" s="115" t="s">
        <v>1110</v>
      </c>
      <c r="C616" s="115" t="s">
        <v>1832</v>
      </c>
      <c r="D616" s="115" t="s">
        <v>1833</v>
      </c>
      <c r="E616" s="133" t="str">
        <f t="shared" si="18"/>
        <v>1200001154NCL-11332 LY CLEAR 40 VN</v>
      </c>
      <c r="F616" s="133" t="s">
        <v>3340</v>
      </c>
      <c r="G616" s="133" t="s">
        <v>3882</v>
      </c>
      <c r="H616" s="133">
        <f>VLOOKUP(G616,'packing mapping'!A:B,2,0)</f>
        <v>18</v>
      </c>
      <c r="I616" s="137">
        <v>2545740</v>
      </c>
      <c r="J616" s="132">
        <f t="shared" si="19"/>
        <v>141430</v>
      </c>
    </row>
    <row r="617" spans="1:10">
      <c r="A617" s="115" t="s">
        <v>1109</v>
      </c>
      <c r="B617" s="115" t="s">
        <v>1110</v>
      </c>
      <c r="C617" s="115" t="s">
        <v>1834</v>
      </c>
      <c r="D617" s="115" t="s">
        <v>1835</v>
      </c>
      <c r="E617" s="133" t="str">
        <f t="shared" si="18"/>
        <v>1200001154PUP-52135 BLACK 124 SK VN</v>
      </c>
      <c r="F617" s="133" t="s">
        <v>3341</v>
      </c>
      <c r="G617" s="133" t="s">
        <v>3881</v>
      </c>
      <c r="H617" s="133">
        <f>VLOOKUP(G617,'packing mapping'!A:B,2,0)</f>
        <v>20</v>
      </c>
      <c r="I617" s="137">
        <v>2652800</v>
      </c>
      <c r="J617" s="132">
        <f t="shared" si="19"/>
        <v>132640</v>
      </c>
    </row>
    <row r="618" spans="1:10">
      <c r="A618" s="115" t="s">
        <v>1109</v>
      </c>
      <c r="B618" s="115" t="s">
        <v>1110</v>
      </c>
      <c r="C618" s="115" t="s">
        <v>1836</v>
      </c>
      <c r="D618" s="115" t="s">
        <v>1837</v>
      </c>
      <c r="E618" s="133" t="str">
        <f t="shared" si="18"/>
        <v>1200001154DP-12132 LY KEM 129 SK VN</v>
      </c>
      <c r="F618" s="133" t="s">
        <v>3342</v>
      </c>
      <c r="G618" s="133" t="s">
        <v>3882</v>
      </c>
      <c r="H618" s="133">
        <f>VLOOKUP(G618,'packing mapping'!A:B,2,0)</f>
        <v>18</v>
      </c>
      <c r="I618" s="137">
        <v>2574000</v>
      </c>
      <c r="J618" s="132">
        <f t="shared" si="19"/>
        <v>143000</v>
      </c>
    </row>
    <row r="619" spans="1:10">
      <c r="A619" s="115" t="s">
        <v>1109</v>
      </c>
      <c r="B619" s="115" t="s">
        <v>1110</v>
      </c>
      <c r="C619" s="115" t="s">
        <v>1838</v>
      </c>
      <c r="D619" s="115" t="s">
        <v>1839</v>
      </c>
      <c r="E619" s="133" t="str">
        <f t="shared" si="18"/>
        <v>1200001154NCL-11332 LY CLEAR 30 VN</v>
      </c>
      <c r="F619" s="133" t="s">
        <v>3343</v>
      </c>
      <c r="G619" s="133" t="s">
        <v>3882</v>
      </c>
      <c r="H619" s="133">
        <f>VLOOKUP(G619,'packing mapping'!A:B,2,0)</f>
        <v>18</v>
      </c>
      <c r="I619" s="137">
        <v>3281400</v>
      </c>
      <c r="J619" s="132">
        <f t="shared" si="19"/>
        <v>182300</v>
      </c>
    </row>
    <row r="620" spans="1:10">
      <c r="A620" s="115" t="s">
        <v>1109</v>
      </c>
      <c r="B620" s="115" t="s">
        <v>1110</v>
      </c>
      <c r="C620" s="115" t="s">
        <v>1840</v>
      </c>
      <c r="D620" s="115" t="s">
        <v>1841</v>
      </c>
      <c r="E620" s="133" t="str">
        <f t="shared" si="18"/>
        <v>1200001154THGZ-72200 D40 VN</v>
      </c>
      <c r="F620" s="133" t="s">
        <v>3344</v>
      </c>
      <c r="G620" s="133" t="s">
        <v>3895</v>
      </c>
      <c r="H620" s="133">
        <f>VLOOKUP(G620,'packing mapping'!A:B,2,0)</f>
        <v>16</v>
      </c>
      <c r="I620" s="137">
        <v>1558400</v>
      </c>
      <c r="J620" s="132">
        <f t="shared" si="19"/>
        <v>97400</v>
      </c>
    </row>
    <row r="621" spans="1:10">
      <c r="A621" s="115" t="s">
        <v>1109</v>
      </c>
      <c r="B621" s="115" t="s">
        <v>1110</v>
      </c>
      <c r="C621" s="115" t="s">
        <v>1842</v>
      </c>
      <c r="D621" s="115" t="s">
        <v>1843</v>
      </c>
      <c r="E621" s="133" t="str">
        <f t="shared" si="18"/>
        <v>1200001154PUP-52135 WHITE 134 SK VN</v>
      </c>
      <c r="F621" s="133" t="s">
        <v>3345</v>
      </c>
      <c r="G621" s="133" t="s">
        <v>3881</v>
      </c>
      <c r="H621" s="133">
        <f>VLOOKUP(G621,'packing mapping'!A:B,2,0)</f>
        <v>20</v>
      </c>
      <c r="I621" s="137">
        <v>2322000</v>
      </c>
      <c r="J621" s="132">
        <f t="shared" si="19"/>
        <v>116100</v>
      </c>
    </row>
    <row r="622" spans="1:10">
      <c r="A622" s="115" t="s">
        <v>1109</v>
      </c>
      <c r="B622" s="115" t="s">
        <v>1110</v>
      </c>
      <c r="C622" s="115" t="s">
        <v>1844</v>
      </c>
      <c r="D622" s="115" t="s">
        <v>1845</v>
      </c>
      <c r="E622" s="133" t="str">
        <f t="shared" si="18"/>
        <v>1200001154PUP-52135 BLUE 137 SK VN</v>
      </c>
      <c r="F622" s="133" t="s">
        <v>3346</v>
      </c>
      <c r="G622" s="133" t="s">
        <v>3881</v>
      </c>
      <c r="H622" s="133">
        <f>VLOOKUP(G622,'packing mapping'!A:B,2,0)</f>
        <v>20</v>
      </c>
      <c r="I622" s="137">
        <v>2387800</v>
      </c>
      <c r="J622" s="132">
        <f t="shared" si="19"/>
        <v>119390</v>
      </c>
    </row>
    <row r="623" spans="1:10">
      <c r="A623" s="115" t="s">
        <v>1109</v>
      </c>
      <c r="B623" s="115" t="s">
        <v>1110</v>
      </c>
      <c r="C623" s="115" t="s">
        <v>1846</v>
      </c>
      <c r="D623" s="115" t="s">
        <v>1847</v>
      </c>
      <c r="E623" s="133" t="str">
        <f t="shared" si="18"/>
        <v>1200001154THC-73100 201 VN</v>
      </c>
      <c r="F623" s="133" t="s">
        <v>3069</v>
      </c>
      <c r="G623" s="133" t="s">
        <v>3895</v>
      </c>
      <c r="H623" s="133">
        <f>VLOOKUP(G623,'packing mapping'!A:B,2,0)</f>
        <v>16</v>
      </c>
      <c r="I623" s="137">
        <v>867200</v>
      </c>
      <c r="J623" s="132">
        <f t="shared" si="19"/>
        <v>54200</v>
      </c>
    </row>
    <row r="624" spans="1:10">
      <c r="A624" s="115" t="s">
        <v>1109</v>
      </c>
      <c r="B624" s="115" t="s">
        <v>1110</v>
      </c>
      <c r="C624" s="115" t="s">
        <v>1848</v>
      </c>
      <c r="D624" s="115" t="s">
        <v>1849</v>
      </c>
      <c r="E624" s="133" t="str">
        <f t="shared" si="18"/>
        <v>1200001154PUP-52135 BLACK 148 SK VN</v>
      </c>
      <c r="F624" s="133" t="s">
        <v>3347</v>
      </c>
      <c r="G624" s="133" t="s">
        <v>3881</v>
      </c>
      <c r="H624" s="133">
        <f>VLOOKUP(G624,'packing mapping'!A:B,2,0)</f>
        <v>20</v>
      </c>
      <c r="I624" s="137">
        <v>2672000</v>
      </c>
      <c r="J624" s="132">
        <f t="shared" si="19"/>
        <v>133600</v>
      </c>
    </row>
    <row r="625" spans="1:10">
      <c r="A625" s="115" t="s">
        <v>1109</v>
      </c>
      <c r="B625" s="115" t="s">
        <v>1110</v>
      </c>
      <c r="C625" s="115" t="s">
        <v>1850</v>
      </c>
      <c r="D625" s="115" t="s">
        <v>1851</v>
      </c>
      <c r="E625" s="133" t="str">
        <f t="shared" si="18"/>
        <v>1200001154UVB-30400</v>
      </c>
      <c r="F625" s="133" t="s">
        <v>3348</v>
      </c>
      <c r="G625" s="133" t="s">
        <v>3881</v>
      </c>
      <c r="H625" s="133">
        <f>VLOOKUP(G625,'packing mapping'!A:B,2,0)</f>
        <v>20</v>
      </c>
      <c r="I625" s="137">
        <v>4772800</v>
      </c>
      <c r="J625" s="132">
        <f t="shared" si="19"/>
        <v>238640</v>
      </c>
    </row>
    <row r="626" spans="1:10">
      <c r="A626" s="115" t="s">
        <v>293</v>
      </c>
      <c r="B626" s="115" t="s">
        <v>294</v>
      </c>
      <c r="C626" s="115" t="s">
        <v>1460</v>
      </c>
      <c r="D626" s="115" t="s">
        <v>1461</v>
      </c>
      <c r="E626" s="133" t="str">
        <f t="shared" si="18"/>
        <v>120000010311-26 WIPPING THINNER LC VN</v>
      </c>
      <c r="F626" s="133" t="s">
        <v>3177</v>
      </c>
      <c r="G626" s="133" t="s">
        <v>3880</v>
      </c>
      <c r="H626" s="133">
        <f>VLOOKUP(G626,'packing mapping'!A:B,2,0)</f>
        <v>20</v>
      </c>
      <c r="I626" s="137">
        <v>1067400</v>
      </c>
      <c r="J626" s="132">
        <f t="shared" si="19"/>
        <v>53370</v>
      </c>
    </row>
    <row r="627" spans="1:10">
      <c r="A627" s="115" t="s">
        <v>293</v>
      </c>
      <c r="B627" s="115" t="s">
        <v>294</v>
      </c>
      <c r="C627" s="115" t="s">
        <v>1462</v>
      </c>
      <c r="D627" s="115" t="s">
        <v>1463</v>
      </c>
      <c r="E627" s="133" t="str">
        <f t="shared" si="18"/>
        <v>120000010364-56 MICRO FILLER VN</v>
      </c>
      <c r="F627" s="133" t="s">
        <v>3178</v>
      </c>
      <c r="G627" s="133" t="s">
        <v>3881</v>
      </c>
      <c r="H627" s="133">
        <f>VLOOKUP(G627,'packing mapping'!A:B,2,0)</f>
        <v>20</v>
      </c>
      <c r="I627" s="137">
        <v>1246200</v>
      </c>
      <c r="J627" s="132">
        <f t="shared" si="19"/>
        <v>62310</v>
      </c>
    </row>
    <row r="628" spans="1:10">
      <c r="A628" s="115" t="s">
        <v>293</v>
      </c>
      <c r="B628" s="115" t="s">
        <v>294</v>
      </c>
      <c r="C628" s="115" t="s">
        <v>1464</v>
      </c>
      <c r="D628" s="115" t="s">
        <v>1465</v>
      </c>
      <c r="E628" s="133" t="str">
        <f t="shared" si="18"/>
        <v>1200000103GZPU-21500 BLACK VN</v>
      </c>
      <c r="F628" s="133" t="s">
        <v>3101</v>
      </c>
      <c r="G628" s="133" t="s">
        <v>3882</v>
      </c>
      <c r="H628" s="133">
        <f>VLOOKUP(G628,'packing mapping'!A:B,2,0)</f>
        <v>18</v>
      </c>
      <c r="I628" s="137">
        <v>6177600</v>
      </c>
      <c r="J628" s="132">
        <f t="shared" si="19"/>
        <v>343200</v>
      </c>
    </row>
    <row r="629" spans="1:10">
      <c r="A629" s="115" t="s">
        <v>293</v>
      </c>
      <c r="B629" s="115" t="s">
        <v>294</v>
      </c>
      <c r="C629" s="115" t="s">
        <v>1180</v>
      </c>
      <c r="D629" s="115" t="s">
        <v>1181</v>
      </c>
      <c r="E629" s="133" t="str">
        <f t="shared" si="18"/>
        <v>1200000103GZPU-21500 RU BASE VN</v>
      </c>
      <c r="F629" s="133" t="s">
        <v>3044</v>
      </c>
      <c r="G629" s="133" t="s">
        <v>3882</v>
      </c>
      <c r="H629" s="133">
        <f>VLOOKUP(G629,'packing mapping'!A:B,2,0)</f>
        <v>18</v>
      </c>
      <c r="I629" s="137">
        <v>2295720</v>
      </c>
      <c r="J629" s="132">
        <f t="shared" si="19"/>
        <v>127540</v>
      </c>
    </row>
    <row r="630" spans="1:10">
      <c r="A630" s="115" t="s">
        <v>293</v>
      </c>
      <c r="B630" s="115" t="s">
        <v>294</v>
      </c>
      <c r="C630" s="115" t="s">
        <v>1186</v>
      </c>
      <c r="D630" s="115" t="s">
        <v>1187</v>
      </c>
      <c r="E630" s="133" t="str">
        <f t="shared" si="18"/>
        <v>1200000103MEP-12003 GREY VN</v>
      </c>
      <c r="F630" s="133" t="s">
        <v>3047</v>
      </c>
      <c r="G630" s="133" t="s">
        <v>3882</v>
      </c>
      <c r="H630" s="133">
        <f>VLOOKUP(G630,'packing mapping'!A:B,2,0)</f>
        <v>18</v>
      </c>
      <c r="I630" s="137">
        <v>2188620</v>
      </c>
      <c r="J630" s="132">
        <f t="shared" si="19"/>
        <v>121590</v>
      </c>
    </row>
    <row r="631" spans="1:10">
      <c r="A631" s="115" t="s">
        <v>293</v>
      </c>
      <c r="B631" s="115" t="s">
        <v>294</v>
      </c>
      <c r="C631" s="115" t="s">
        <v>1188</v>
      </c>
      <c r="D631" s="115" t="s">
        <v>1189</v>
      </c>
      <c r="E631" s="133" t="str">
        <f t="shared" si="18"/>
        <v>1200000103PCA-31100 BLACK PASTE VN</v>
      </c>
      <c r="F631" s="133" t="s">
        <v>3048</v>
      </c>
      <c r="G631" s="133" t="s">
        <v>3883</v>
      </c>
      <c r="H631" s="133">
        <f>VLOOKUP(G631,'packing mapping'!A:B,2,0)</f>
        <v>4</v>
      </c>
      <c r="I631" s="137">
        <v>861760</v>
      </c>
      <c r="J631" s="132">
        <f t="shared" si="19"/>
        <v>215440</v>
      </c>
    </row>
    <row r="632" spans="1:10">
      <c r="A632" s="115" t="s">
        <v>293</v>
      </c>
      <c r="B632" s="115" t="s">
        <v>294</v>
      </c>
      <c r="C632" s="115" t="s">
        <v>1370</v>
      </c>
      <c r="D632" s="115" t="s">
        <v>1371</v>
      </c>
      <c r="E632" s="133" t="str">
        <f t="shared" si="18"/>
        <v>1200000103PCA-31100 BLUE OG PASTE VN</v>
      </c>
      <c r="F632" s="133" t="s">
        <v>3135</v>
      </c>
      <c r="G632" s="133" t="s">
        <v>3883</v>
      </c>
      <c r="H632" s="133">
        <f>VLOOKUP(G632,'packing mapping'!A:B,2,0)</f>
        <v>4</v>
      </c>
      <c r="I632" s="137">
        <v>1245720</v>
      </c>
      <c r="J632" s="132">
        <f t="shared" si="19"/>
        <v>311430</v>
      </c>
    </row>
    <row r="633" spans="1:10">
      <c r="A633" s="115" t="s">
        <v>293</v>
      </c>
      <c r="B633" s="115" t="s">
        <v>294</v>
      </c>
      <c r="C633" s="115" t="s">
        <v>1852</v>
      </c>
      <c r="D633" s="115" t="s">
        <v>1853</v>
      </c>
      <c r="E633" s="133" t="str">
        <f t="shared" si="18"/>
        <v>1200000103PCA-31100 BLUE OR PASTE VN</v>
      </c>
      <c r="F633" s="133" t="s">
        <v>3349</v>
      </c>
      <c r="G633" s="133" t="s">
        <v>3883</v>
      </c>
      <c r="H633" s="133">
        <f>VLOOKUP(G633,'packing mapping'!A:B,2,0)</f>
        <v>4</v>
      </c>
      <c r="I633" s="137">
        <v>2811720</v>
      </c>
      <c r="J633" s="132">
        <f t="shared" si="19"/>
        <v>702930</v>
      </c>
    </row>
    <row r="634" spans="1:10">
      <c r="A634" s="115" t="s">
        <v>293</v>
      </c>
      <c r="B634" s="115" t="s">
        <v>294</v>
      </c>
      <c r="C634" s="115" t="s">
        <v>1854</v>
      </c>
      <c r="D634" s="115" t="s">
        <v>1855</v>
      </c>
      <c r="E634" s="133" t="str">
        <f t="shared" si="18"/>
        <v>1200000103PCA-31100 ORANGE PASTE VN</v>
      </c>
      <c r="F634" s="133" t="s">
        <v>3350</v>
      </c>
      <c r="G634" s="133" t="s">
        <v>3883</v>
      </c>
      <c r="H634" s="133">
        <f>VLOOKUP(G634,'packing mapping'!A:B,2,0)</f>
        <v>4</v>
      </c>
      <c r="I634" s="137">
        <v>1784160</v>
      </c>
      <c r="J634" s="132">
        <f t="shared" si="19"/>
        <v>446040</v>
      </c>
    </row>
    <row r="635" spans="1:10">
      <c r="A635" s="115" t="s">
        <v>293</v>
      </c>
      <c r="B635" s="115" t="s">
        <v>294</v>
      </c>
      <c r="C635" s="115" t="s">
        <v>1372</v>
      </c>
      <c r="D635" s="115" t="s">
        <v>1373</v>
      </c>
      <c r="E635" s="133" t="str">
        <f t="shared" si="18"/>
        <v>1200000103PCA-31100 OXIDE RED PASTE VN</v>
      </c>
      <c r="F635" s="133" t="s">
        <v>3136</v>
      </c>
      <c r="G635" s="133" t="s">
        <v>3883</v>
      </c>
      <c r="H635" s="133">
        <f>VLOOKUP(G635,'packing mapping'!A:B,2,0)</f>
        <v>4</v>
      </c>
      <c r="I635" s="137">
        <v>712040</v>
      </c>
      <c r="J635" s="132">
        <f t="shared" si="19"/>
        <v>178010</v>
      </c>
    </row>
    <row r="636" spans="1:10">
      <c r="A636" s="115" t="s">
        <v>293</v>
      </c>
      <c r="B636" s="115" t="s">
        <v>294</v>
      </c>
      <c r="C636" s="115" t="s">
        <v>1374</v>
      </c>
      <c r="D636" s="115" t="s">
        <v>1375</v>
      </c>
      <c r="E636" s="133" t="str">
        <f t="shared" si="18"/>
        <v>1200000103PCA-31100 RED OB 35 PASTE VN</v>
      </c>
      <c r="F636" s="133" t="s">
        <v>3137</v>
      </c>
      <c r="G636" s="133" t="s">
        <v>3883</v>
      </c>
      <c r="H636" s="133">
        <f>VLOOKUP(G636,'packing mapping'!A:B,2,0)</f>
        <v>4</v>
      </c>
      <c r="I636" s="137">
        <v>2145280</v>
      </c>
      <c r="J636" s="132">
        <f t="shared" si="19"/>
        <v>536320</v>
      </c>
    </row>
    <row r="637" spans="1:10">
      <c r="A637" s="115" t="s">
        <v>293</v>
      </c>
      <c r="B637" s="115" t="s">
        <v>294</v>
      </c>
      <c r="C637" s="115" t="s">
        <v>1856</v>
      </c>
      <c r="D637" s="115" t="s">
        <v>1857</v>
      </c>
      <c r="E637" s="133" t="str">
        <f t="shared" si="18"/>
        <v>1200000103PCA-31100 VIOLET OB PASTE VN</v>
      </c>
      <c r="F637" s="133" t="s">
        <v>3351</v>
      </c>
      <c r="G637" s="133" t="s">
        <v>3883</v>
      </c>
      <c r="H637" s="133">
        <f>VLOOKUP(G637,'packing mapping'!A:B,2,0)</f>
        <v>4</v>
      </c>
      <c r="I637" s="137">
        <v>2333800</v>
      </c>
      <c r="J637" s="132">
        <f t="shared" si="19"/>
        <v>583450</v>
      </c>
    </row>
    <row r="638" spans="1:10">
      <c r="A638" s="115" t="s">
        <v>293</v>
      </c>
      <c r="B638" s="115" t="s">
        <v>294</v>
      </c>
      <c r="C638" s="115" t="s">
        <v>1190</v>
      </c>
      <c r="D638" s="115" t="s">
        <v>1191</v>
      </c>
      <c r="E638" s="133" t="str">
        <f t="shared" si="18"/>
        <v>1200000103PCA-31100 WHITE PASTE VN</v>
      </c>
      <c r="F638" s="133" t="s">
        <v>3049</v>
      </c>
      <c r="G638" s="133" t="s">
        <v>3883</v>
      </c>
      <c r="H638" s="133">
        <f>VLOOKUP(G638,'packing mapping'!A:B,2,0)</f>
        <v>4</v>
      </c>
      <c r="I638" s="137">
        <v>579480</v>
      </c>
      <c r="J638" s="132">
        <f t="shared" si="19"/>
        <v>144870</v>
      </c>
    </row>
    <row r="639" spans="1:10">
      <c r="A639" s="115" t="s">
        <v>293</v>
      </c>
      <c r="B639" s="115" t="s">
        <v>294</v>
      </c>
      <c r="C639" s="115" t="s">
        <v>1468</v>
      </c>
      <c r="D639" s="115" t="s">
        <v>1469</v>
      </c>
      <c r="E639" s="133" t="str">
        <f t="shared" si="18"/>
        <v>1200000103PCA-31100 YELLOW OG 16 PASTE VN</v>
      </c>
      <c r="F639" s="133" t="s">
        <v>3180</v>
      </c>
      <c r="G639" s="133" t="s">
        <v>3883</v>
      </c>
      <c r="H639" s="133">
        <f>VLOOKUP(G639,'packing mapping'!A:B,2,0)</f>
        <v>4</v>
      </c>
      <c r="I639" s="137">
        <v>2866240</v>
      </c>
      <c r="J639" s="132">
        <f t="shared" si="19"/>
        <v>716560</v>
      </c>
    </row>
    <row r="640" spans="1:10">
      <c r="A640" s="115" t="s">
        <v>293</v>
      </c>
      <c r="B640" s="115" t="s">
        <v>294</v>
      </c>
      <c r="C640" s="115" t="s">
        <v>1378</v>
      </c>
      <c r="D640" s="115" t="s">
        <v>1379</v>
      </c>
      <c r="E640" s="133" t="str">
        <f t="shared" si="18"/>
        <v>1200000103PCA-31100 YELLOW OKER PASTE VN</v>
      </c>
      <c r="F640" s="133" t="s">
        <v>3139</v>
      </c>
      <c r="G640" s="133" t="s">
        <v>3883</v>
      </c>
      <c r="H640" s="133">
        <f>VLOOKUP(G640,'packing mapping'!A:B,2,0)</f>
        <v>4</v>
      </c>
      <c r="I640" s="137">
        <v>533400</v>
      </c>
      <c r="J640" s="132">
        <f t="shared" si="19"/>
        <v>133350</v>
      </c>
    </row>
    <row r="641" spans="1:10">
      <c r="A641" s="115" t="s">
        <v>293</v>
      </c>
      <c r="B641" s="115" t="s">
        <v>294</v>
      </c>
      <c r="C641" s="115" t="s">
        <v>1192</v>
      </c>
      <c r="D641" s="115" t="s">
        <v>1193</v>
      </c>
      <c r="E641" s="133" t="str">
        <f t="shared" si="18"/>
        <v>1200000103PCL-31300 BLACK PASTE</v>
      </c>
      <c r="F641" s="133" t="s">
        <v>3050</v>
      </c>
      <c r="G641" s="133" t="s">
        <v>3883</v>
      </c>
      <c r="H641" s="133">
        <f>VLOOKUP(G641,'packing mapping'!A:B,2,0)</f>
        <v>4</v>
      </c>
      <c r="I641" s="137">
        <v>2059000</v>
      </c>
      <c r="J641" s="132">
        <f t="shared" si="19"/>
        <v>514750</v>
      </c>
    </row>
    <row r="642" spans="1:10">
      <c r="A642" s="115" t="s">
        <v>293</v>
      </c>
      <c r="B642" s="115" t="s">
        <v>294</v>
      </c>
      <c r="C642" s="115" t="s">
        <v>1194</v>
      </c>
      <c r="D642" s="115" t="s">
        <v>1195</v>
      </c>
      <c r="E642" s="133" t="str">
        <f t="shared" si="18"/>
        <v>1200000103PCL-31300 BLUE OG PASTE</v>
      </c>
      <c r="F642" s="133" t="s">
        <v>3051</v>
      </c>
      <c r="G642" s="133" t="s">
        <v>3883</v>
      </c>
      <c r="H642" s="133">
        <f>VLOOKUP(G642,'packing mapping'!A:B,2,0)</f>
        <v>4</v>
      </c>
      <c r="I642" s="137">
        <v>1741640</v>
      </c>
      <c r="J642" s="132">
        <f t="shared" si="19"/>
        <v>435410</v>
      </c>
    </row>
    <row r="643" spans="1:10">
      <c r="A643" s="115" t="s">
        <v>293</v>
      </c>
      <c r="B643" s="115" t="s">
        <v>294</v>
      </c>
      <c r="C643" s="115" t="s">
        <v>1198</v>
      </c>
      <c r="D643" s="115" t="s">
        <v>1199</v>
      </c>
      <c r="E643" s="133" t="str">
        <f t="shared" ref="E643:E706" si="20">A643&amp;F643</f>
        <v>1200000103PCL-31300 BROWN PASTE VN</v>
      </c>
      <c r="F643" s="133" t="s">
        <v>3053</v>
      </c>
      <c r="G643" s="133" t="s">
        <v>3883</v>
      </c>
      <c r="H643" s="133">
        <f>VLOOKUP(G643,'packing mapping'!A:B,2,0)</f>
        <v>4</v>
      </c>
      <c r="I643" s="137">
        <v>1264120</v>
      </c>
      <c r="J643" s="132">
        <f t="shared" ref="J643:J706" si="21">I643/H643</f>
        <v>316030</v>
      </c>
    </row>
    <row r="644" spans="1:10">
      <c r="A644" s="115" t="s">
        <v>293</v>
      </c>
      <c r="B644" s="115" t="s">
        <v>294</v>
      </c>
      <c r="C644" s="115" t="s">
        <v>1858</v>
      </c>
      <c r="D644" s="115" t="s">
        <v>1859</v>
      </c>
      <c r="E644" s="133" t="str">
        <f t="shared" si="20"/>
        <v>1200000103PCL-31300 ORANGE PASTE</v>
      </c>
      <c r="F644" s="133" t="s">
        <v>3352</v>
      </c>
      <c r="G644" s="133" t="s">
        <v>3883</v>
      </c>
      <c r="H644" s="133">
        <f>VLOOKUP(G644,'packing mapping'!A:B,2,0)</f>
        <v>4</v>
      </c>
      <c r="I644" s="137">
        <v>1848160</v>
      </c>
      <c r="J644" s="132">
        <f t="shared" si="21"/>
        <v>462040</v>
      </c>
    </row>
    <row r="645" spans="1:10">
      <c r="A645" s="115" t="s">
        <v>293</v>
      </c>
      <c r="B645" s="115" t="s">
        <v>294</v>
      </c>
      <c r="C645" s="115" t="s">
        <v>1380</v>
      </c>
      <c r="D645" s="115" t="s">
        <v>1381</v>
      </c>
      <c r="E645" s="133" t="str">
        <f t="shared" si="20"/>
        <v>1200000103PCL-31300 OXIDE RED PASTE</v>
      </c>
      <c r="F645" s="133" t="s">
        <v>3140</v>
      </c>
      <c r="G645" s="133" t="s">
        <v>3883</v>
      </c>
      <c r="H645" s="133">
        <f>VLOOKUP(G645,'packing mapping'!A:B,2,0)</f>
        <v>4</v>
      </c>
      <c r="I645" s="137">
        <v>1343800</v>
      </c>
      <c r="J645" s="132">
        <f t="shared" si="21"/>
        <v>335950</v>
      </c>
    </row>
    <row r="646" spans="1:10">
      <c r="A646" s="115" t="s">
        <v>293</v>
      </c>
      <c r="B646" s="115" t="s">
        <v>294</v>
      </c>
      <c r="C646" s="115" t="s">
        <v>1200</v>
      </c>
      <c r="D646" s="115" t="s">
        <v>1201</v>
      </c>
      <c r="E646" s="133" t="str">
        <f t="shared" si="20"/>
        <v>1200000103PCL-31300 RED OB 35 PASTE</v>
      </c>
      <c r="F646" s="133" t="s">
        <v>3054</v>
      </c>
      <c r="G646" s="133" t="s">
        <v>3883</v>
      </c>
      <c r="H646" s="133">
        <f>VLOOKUP(G646,'packing mapping'!A:B,2,0)</f>
        <v>4</v>
      </c>
      <c r="I646" s="137">
        <v>1621200</v>
      </c>
      <c r="J646" s="132">
        <f t="shared" si="21"/>
        <v>405300</v>
      </c>
    </row>
    <row r="647" spans="1:10">
      <c r="A647" s="115" t="s">
        <v>293</v>
      </c>
      <c r="B647" s="115" t="s">
        <v>294</v>
      </c>
      <c r="C647" s="115" t="s">
        <v>1384</v>
      </c>
      <c r="D647" s="115" t="s">
        <v>1385</v>
      </c>
      <c r="E647" s="133" t="str">
        <f t="shared" si="20"/>
        <v>1200000103PCL-31300 VIOLET PASTE</v>
      </c>
      <c r="F647" s="133" t="s">
        <v>3142</v>
      </c>
      <c r="G647" s="133" t="s">
        <v>3883</v>
      </c>
      <c r="H647" s="133">
        <f>VLOOKUP(G647,'packing mapping'!A:B,2,0)</f>
        <v>4</v>
      </c>
      <c r="I647" s="137">
        <v>2720960</v>
      </c>
      <c r="J647" s="132">
        <f t="shared" si="21"/>
        <v>680240</v>
      </c>
    </row>
    <row r="648" spans="1:10">
      <c r="A648" s="115" t="s">
        <v>293</v>
      </c>
      <c r="B648" s="115" t="s">
        <v>294</v>
      </c>
      <c r="C648" s="115" t="s">
        <v>1202</v>
      </c>
      <c r="D648" s="115" t="s">
        <v>1203</v>
      </c>
      <c r="E648" s="133" t="str">
        <f t="shared" si="20"/>
        <v>1200000103PCL-31300 WHITE PASTE</v>
      </c>
      <c r="F648" s="133" t="s">
        <v>3055</v>
      </c>
      <c r="G648" s="133" t="s">
        <v>3883</v>
      </c>
      <c r="H648" s="133">
        <f>VLOOKUP(G648,'packing mapping'!A:B,2,0)</f>
        <v>4</v>
      </c>
      <c r="I648" s="137">
        <v>1064480</v>
      </c>
      <c r="J648" s="132">
        <f t="shared" si="21"/>
        <v>266120</v>
      </c>
    </row>
    <row r="649" spans="1:10">
      <c r="A649" s="115" t="s">
        <v>293</v>
      </c>
      <c r="B649" s="115" t="s">
        <v>294</v>
      </c>
      <c r="C649" s="115" t="s">
        <v>1204</v>
      </c>
      <c r="D649" s="115" t="s">
        <v>1205</v>
      </c>
      <c r="E649" s="133" t="str">
        <f t="shared" si="20"/>
        <v>1200000103PCL-31300 YELLOW OG 16 PASTE</v>
      </c>
      <c r="F649" s="133" t="s">
        <v>3056</v>
      </c>
      <c r="G649" s="133" t="s">
        <v>3883</v>
      </c>
      <c r="H649" s="133">
        <f>VLOOKUP(G649,'packing mapping'!A:B,2,0)</f>
        <v>4</v>
      </c>
      <c r="I649" s="137">
        <v>3485640</v>
      </c>
      <c r="J649" s="132">
        <f t="shared" si="21"/>
        <v>871410</v>
      </c>
    </row>
    <row r="650" spans="1:10">
      <c r="A650" s="115" t="s">
        <v>293</v>
      </c>
      <c r="B650" s="115" t="s">
        <v>294</v>
      </c>
      <c r="C650" s="115" t="s">
        <v>1206</v>
      </c>
      <c r="D650" s="115" t="s">
        <v>1207</v>
      </c>
      <c r="E650" s="133" t="str">
        <f t="shared" si="20"/>
        <v>1200000103PCL-31300 YELLOW OKER PASTE</v>
      </c>
      <c r="F650" s="133" t="s">
        <v>3057</v>
      </c>
      <c r="G650" s="133" t="s">
        <v>3883</v>
      </c>
      <c r="H650" s="133">
        <f>VLOOKUP(G650,'packing mapping'!A:B,2,0)</f>
        <v>4</v>
      </c>
      <c r="I650" s="137">
        <v>1258360</v>
      </c>
      <c r="J650" s="132">
        <f t="shared" si="21"/>
        <v>314590</v>
      </c>
    </row>
    <row r="651" spans="1:10">
      <c r="A651" s="115" t="s">
        <v>293</v>
      </c>
      <c r="B651" s="115" t="s">
        <v>294</v>
      </c>
      <c r="C651" s="115" t="s">
        <v>1860</v>
      </c>
      <c r="D651" s="115" t="s">
        <v>1861</v>
      </c>
      <c r="E651" s="133" t="str">
        <f t="shared" si="20"/>
        <v>1200000103PCWB-31600 BLACK AY PASTE</v>
      </c>
      <c r="F651" s="133" t="s">
        <v>3353</v>
      </c>
      <c r="G651" s="133" t="s">
        <v>3883</v>
      </c>
      <c r="H651" s="133">
        <f>VLOOKUP(G651,'packing mapping'!A:B,2,0)</f>
        <v>4</v>
      </c>
      <c r="I651" s="137">
        <v>1405200</v>
      </c>
      <c r="J651" s="132">
        <f t="shared" si="21"/>
        <v>351300</v>
      </c>
    </row>
    <row r="652" spans="1:10">
      <c r="A652" s="115" t="s">
        <v>293</v>
      </c>
      <c r="B652" s="115" t="s">
        <v>294</v>
      </c>
      <c r="C652" s="115" t="s">
        <v>1862</v>
      </c>
      <c r="D652" s="115" t="s">
        <v>1863</v>
      </c>
      <c r="E652" s="133" t="str">
        <f t="shared" si="20"/>
        <v>1200000103PCWB-31600 RED AB PASTE</v>
      </c>
      <c r="F652" s="133" t="s">
        <v>3354</v>
      </c>
      <c r="G652" s="133" t="s">
        <v>3883</v>
      </c>
      <c r="H652" s="133">
        <f>VLOOKUP(G652,'packing mapping'!A:B,2,0)</f>
        <v>4</v>
      </c>
      <c r="I652" s="137">
        <v>1191600</v>
      </c>
      <c r="J652" s="132">
        <f t="shared" si="21"/>
        <v>297900</v>
      </c>
    </row>
    <row r="653" spans="1:10">
      <c r="A653" s="115" t="s">
        <v>293</v>
      </c>
      <c r="B653" s="115" t="s">
        <v>294</v>
      </c>
      <c r="C653" s="115" t="s">
        <v>1864</v>
      </c>
      <c r="D653" s="115" t="s">
        <v>1865</v>
      </c>
      <c r="E653" s="133" t="str">
        <f t="shared" si="20"/>
        <v>1200000103PCWB-31600 RED OB 35 PASTE</v>
      </c>
      <c r="F653" s="133" t="s">
        <v>3355</v>
      </c>
      <c r="G653" s="133" t="s">
        <v>3883</v>
      </c>
      <c r="H653" s="133">
        <f>VLOOKUP(G653,'packing mapping'!A:B,2,0)</f>
        <v>4</v>
      </c>
      <c r="I653" s="137">
        <v>8068400</v>
      </c>
      <c r="J653" s="132">
        <f t="shared" si="21"/>
        <v>2017100</v>
      </c>
    </row>
    <row r="654" spans="1:10">
      <c r="A654" s="115" t="s">
        <v>293</v>
      </c>
      <c r="B654" s="115" t="s">
        <v>294</v>
      </c>
      <c r="C654" s="115" t="s">
        <v>1866</v>
      </c>
      <c r="D654" s="115" t="s">
        <v>1867</v>
      </c>
      <c r="E654" s="133" t="str">
        <f t="shared" si="20"/>
        <v>1200000103PCWB-31600 WHITE PASTE</v>
      </c>
      <c r="F654" s="133" t="s">
        <v>3356</v>
      </c>
      <c r="G654" s="133" t="s">
        <v>3883</v>
      </c>
      <c r="H654" s="133">
        <f>VLOOKUP(G654,'packing mapping'!A:B,2,0)</f>
        <v>4</v>
      </c>
      <c r="I654" s="137">
        <v>1031000</v>
      </c>
      <c r="J654" s="132">
        <f t="shared" si="21"/>
        <v>257750</v>
      </c>
    </row>
    <row r="655" spans="1:10">
      <c r="A655" s="115" t="s">
        <v>293</v>
      </c>
      <c r="B655" s="115" t="s">
        <v>294</v>
      </c>
      <c r="C655" s="115" t="s">
        <v>1868</v>
      </c>
      <c r="D655" s="115" t="s">
        <v>1869</v>
      </c>
      <c r="E655" s="133" t="str">
        <f t="shared" si="20"/>
        <v>1200000103PCWB-31600 YELLOW AR PASTE</v>
      </c>
      <c r="F655" s="133" t="s">
        <v>3357</v>
      </c>
      <c r="G655" s="133" t="s">
        <v>3883</v>
      </c>
      <c r="H655" s="133">
        <f>VLOOKUP(G655,'packing mapping'!A:B,2,0)</f>
        <v>4</v>
      </c>
      <c r="I655" s="137">
        <v>847520</v>
      </c>
      <c r="J655" s="132">
        <f t="shared" si="21"/>
        <v>211880</v>
      </c>
    </row>
    <row r="656" spans="1:10">
      <c r="A656" s="115" t="s">
        <v>293</v>
      </c>
      <c r="B656" s="115" t="s">
        <v>294</v>
      </c>
      <c r="C656" s="115" t="s">
        <v>1870</v>
      </c>
      <c r="D656" s="115" t="s">
        <v>1871</v>
      </c>
      <c r="E656" s="133" t="str">
        <f t="shared" si="20"/>
        <v>1200000103PCWB-31601 BLACK OB PASTE</v>
      </c>
      <c r="F656" s="133" t="s">
        <v>3358</v>
      </c>
      <c r="G656" s="133" t="s">
        <v>3883</v>
      </c>
      <c r="H656" s="133">
        <f>VLOOKUP(G656,'packing mapping'!A:B,2,0)</f>
        <v>4</v>
      </c>
      <c r="I656" s="137">
        <v>1359240</v>
      </c>
      <c r="J656" s="132">
        <f t="shared" si="21"/>
        <v>339810</v>
      </c>
    </row>
    <row r="657" spans="1:10">
      <c r="A657" s="115" t="s">
        <v>293</v>
      </c>
      <c r="B657" s="115" t="s">
        <v>294</v>
      </c>
      <c r="C657" s="115" t="s">
        <v>1872</v>
      </c>
      <c r="D657" s="115" t="s">
        <v>1873</v>
      </c>
      <c r="E657" s="133" t="str">
        <f t="shared" si="20"/>
        <v>1200000103PCWB-31601 YELLOW 100 OR PASTE</v>
      </c>
      <c r="F657" s="133" t="s">
        <v>3359</v>
      </c>
      <c r="G657" s="133" t="s">
        <v>3883</v>
      </c>
      <c r="H657" s="133">
        <f>VLOOKUP(G657,'packing mapping'!A:B,2,0)</f>
        <v>4</v>
      </c>
      <c r="I657" s="137">
        <v>2554960</v>
      </c>
      <c r="J657" s="132">
        <f t="shared" si="21"/>
        <v>638740</v>
      </c>
    </row>
    <row r="658" spans="1:10">
      <c r="A658" s="115" t="s">
        <v>293</v>
      </c>
      <c r="B658" s="115" t="s">
        <v>294</v>
      </c>
      <c r="C658" s="115" t="s">
        <v>1208</v>
      </c>
      <c r="D658" s="115" t="s">
        <v>1209</v>
      </c>
      <c r="E658" s="133" t="str">
        <f t="shared" si="20"/>
        <v>1200000103PG-13900 WHITE 01 VN</v>
      </c>
      <c r="F658" s="133" t="s">
        <v>3058</v>
      </c>
      <c r="G658" s="133" t="s">
        <v>3881</v>
      </c>
      <c r="H658" s="133">
        <f>VLOOKUP(G658,'packing mapping'!A:B,2,0)</f>
        <v>20</v>
      </c>
      <c r="I658" s="137">
        <v>1328200</v>
      </c>
      <c r="J658" s="132">
        <f t="shared" si="21"/>
        <v>66410</v>
      </c>
    </row>
    <row r="659" spans="1:10">
      <c r="A659" s="115" t="s">
        <v>293</v>
      </c>
      <c r="B659" s="115" t="s">
        <v>294</v>
      </c>
      <c r="C659" s="115" t="s">
        <v>1386</v>
      </c>
      <c r="D659" s="115" t="s">
        <v>1387</v>
      </c>
      <c r="E659" s="133" t="str">
        <f t="shared" si="20"/>
        <v>1200000103PUC-54205 AC WHITE 90 VN</v>
      </c>
      <c r="F659" s="133" t="s">
        <v>3143</v>
      </c>
      <c r="G659" s="133" t="s">
        <v>3881</v>
      </c>
      <c r="H659" s="133">
        <f>VLOOKUP(G659,'packing mapping'!A:B,2,0)</f>
        <v>20</v>
      </c>
      <c r="I659" s="137">
        <v>3203000</v>
      </c>
      <c r="J659" s="132">
        <f t="shared" si="21"/>
        <v>160150</v>
      </c>
    </row>
    <row r="660" spans="1:10">
      <c r="A660" s="115" t="s">
        <v>293</v>
      </c>
      <c r="B660" s="115" t="s">
        <v>294</v>
      </c>
      <c r="C660" s="115" t="s">
        <v>1714</v>
      </c>
      <c r="D660" s="115" t="s">
        <v>1715</v>
      </c>
      <c r="E660" s="133" t="str">
        <f t="shared" si="20"/>
        <v>1200000103PUC-54205 AC WHITE 08 AA VN</v>
      </c>
      <c r="F660" s="133" t="s">
        <v>3293</v>
      </c>
      <c r="G660" s="133" t="s">
        <v>3881</v>
      </c>
      <c r="H660" s="133">
        <f>VLOOKUP(G660,'packing mapping'!A:B,2,0)</f>
        <v>20</v>
      </c>
      <c r="I660" s="137">
        <v>3806400</v>
      </c>
      <c r="J660" s="132">
        <f t="shared" si="21"/>
        <v>190320</v>
      </c>
    </row>
    <row r="661" spans="1:10">
      <c r="A661" s="115" t="s">
        <v>293</v>
      </c>
      <c r="B661" s="115" t="s">
        <v>294</v>
      </c>
      <c r="C661" s="115" t="s">
        <v>1390</v>
      </c>
      <c r="D661" s="115" t="s">
        <v>1391</v>
      </c>
      <c r="E661" s="133" t="str">
        <f t="shared" si="20"/>
        <v>1200000103PUC-54205 AC WHITE 20 VN</v>
      </c>
      <c r="F661" s="133" t="s">
        <v>3145</v>
      </c>
      <c r="G661" s="133" t="s">
        <v>3881</v>
      </c>
      <c r="H661" s="133">
        <f>VLOOKUP(G661,'packing mapping'!A:B,2,0)</f>
        <v>20</v>
      </c>
      <c r="I661" s="137">
        <v>3585600</v>
      </c>
      <c r="J661" s="132">
        <f t="shared" si="21"/>
        <v>179280</v>
      </c>
    </row>
    <row r="662" spans="1:10">
      <c r="A662" s="115" t="s">
        <v>293</v>
      </c>
      <c r="B662" s="115" t="s">
        <v>294</v>
      </c>
      <c r="C662" s="115" t="s">
        <v>1470</v>
      </c>
      <c r="D662" s="115" t="s">
        <v>1471</v>
      </c>
      <c r="E662" s="133" t="str">
        <f t="shared" si="20"/>
        <v>1200000103PUC-54205 AC WHITE 50 VN</v>
      </c>
      <c r="F662" s="133" t="s">
        <v>3181</v>
      </c>
      <c r="G662" s="133" t="s">
        <v>3881</v>
      </c>
      <c r="H662" s="133">
        <f>VLOOKUP(G662,'packing mapping'!A:B,2,0)</f>
        <v>20</v>
      </c>
      <c r="I662" s="137">
        <v>3229400</v>
      </c>
      <c r="J662" s="132">
        <f t="shared" si="21"/>
        <v>161470</v>
      </c>
    </row>
    <row r="663" spans="1:10">
      <c r="A663" s="115" t="s">
        <v>293</v>
      </c>
      <c r="B663" s="115" t="s">
        <v>294</v>
      </c>
      <c r="C663" s="115" t="s">
        <v>1210</v>
      </c>
      <c r="D663" s="115" t="s">
        <v>1211</v>
      </c>
      <c r="E663" s="133" t="str">
        <f t="shared" si="20"/>
        <v>1200000103PUH-56306 LY VN</v>
      </c>
      <c r="F663" s="133" t="s">
        <v>3059</v>
      </c>
      <c r="G663" s="133" t="s">
        <v>3879</v>
      </c>
      <c r="H663" s="133">
        <f>VLOOKUP(G663,'packing mapping'!A:B,2,0)</f>
        <v>20</v>
      </c>
      <c r="I663" s="137">
        <v>2970200</v>
      </c>
      <c r="J663" s="132">
        <f t="shared" si="21"/>
        <v>148510</v>
      </c>
    </row>
    <row r="664" spans="1:10">
      <c r="A664" s="115" t="s">
        <v>293</v>
      </c>
      <c r="B664" s="115" t="s">
        <v>294</v>
      </c>
      <c r="C664" s="115" t="s">
        <v>1718</v>
      </c>
      <c r="D664" s="115" t="s">
        <v>1719</v>
      </c>
      <c r="E664" s="133" t="str">
        <f t="shared" si="20"/>
        <v>1200000103PUL-51341 CLEAR 10 VN</v>
      </c>
      <c r="F664" s="133" t="s">
        <v>3294</v>
      </c>
      <c r="G664" s="133" t="s">
        <v>3882</v>
      </c>
      <c r="H664" s="133">
        <f>VLOOKUP(G664,'packing mapping'!A:B,2,0)</f>
        <v>18</v>
      </c>
      <c r="I664" s="137">
        <v>1650960</v>
      </c>
      <c r="J664" s="132">
        <f t="shared" si="21"/>
        <v>91720</v>
      </c>
    </row>
    <row r="665" spans="1:10">
      <c r="A665" s="115" t="s">
        <v>293</v>
      </c>
      <c r="B665" s="115" t="s">
        <v>294</v>
      </c>
      <c r="C665" s="115" t="s">
        <v>1874</v>
      </c>
      <c r="D665" s="115" t="s">
        <v>1875</v>
      </c>
      <c r="E665" s="133" t="str">
        <f t="shared" si="20"/>
        <v>1200000103PUL-51341 CLEAR 20 VN</v>
      </c>
      <c r="F665" s="133" t="s">
        <v>3360</v>
      </c>
      <c r="G665" s="133" t="s">
        <v>3882</v>
      </c>
      <c r="H665" s="133">
        <f>VLOOKUP(G665,'packing mapping'!A:B,2,0)</f>
        <v>18</v>
      </c>
      <c r="I665" s="137">
        <v>1278000</v>
      </c>
      <c r="J665" s="132">
        <f t="shared" si="21"/>
        <v>71000</v>
      </c>
    </row>
    <row r="666" spans="1:10">
      <c r="A666" s="115" t="s">
        <v>293</v>
      </c>
      <c r="B666" s="115" t="s">
        <v>294</v>
      </c>
      <c r="C666" s="115" t="s">
        <v>1876</v>
      </c>
      <c r="D666" s="115" t="s">
        <v>1877</v>
      </c>
      <c r="E666" s="133" t="str">
        <f t="shared" si="20"/>
        <v>1200000103PUL-51341 CLEAR 40 VN</v>
      </c>
      <c r="F666" s="133" t="s">
        <v>3361</v>
      </c>
      <c r="G666" s="133" t="s">
        <v>3882</v>
      </c>
      <c r="H666" s="133">
        <f>VLOOKUP(G666,'packing mapping'!A:B,2,0)</f>
        <v>18</v>
      </c>
      <c r="I666" s="137">
        <v>1193760</v>
      </c>
      <c r="J666" s="132">
        <f t="shared" si="21"/>
        <v>66320</v>
      </c>
    </row>
    <row r="667" spans="1:10">
      <c r="A667" s="115" t="s">
        <v>293</v>
      </c>
      <c r="B667" s="115" t="s">
        <v>294</v>
      </c>
      <c r="C667" s="115" t="s">
        <v>1542</v>
      </c>
      <c r="D667" s="115" t="s">
        <v>1543</v>
      </c>
      <c r="E667" s="133" t="str">
        <f t="shared" si="20"/>
        <v>1200000103PUL-53306 AC EX CLEAR 05 VN</v>
      </c>
      <c r="F667" s="133" t="s">
        <v>3211</v>
      </c>
      <c r="G667" s="133" t="s">
        <v>3879</v>
      </c>
      <c r="H667" s="133">
        <f>VLOOKUP(G667,'packing mapping'!A:B,2,0)</f>
        <v>20</v>
      </c>
      <c r="I667" s="137">
        <v>3094200</v>
      </c>
      <c r="J667" s="132">
        <f t="shared" si="21"/>
        <v>154710</v>
      </c>
    </row>
    <row r="668" spans="1:10">
      <c r="A668" s="115" t="s">
        <v>293</v>
      </c>
      <c r="B668" s="115" t="s">
        <v>294</v>
      </c>
      <c r="C668" s="115" t="s">
        <v>1396</v>
      </c>
      <c r="D668" s="115" t="s">
        <v>1397</v>
      </c>
      <c r="E668" s="133" t="str">
        <f t="shared" si="20"/>
        <v>1200000103PUL-53306 AC EX CLEAR 10 VN</v>
      </c>
      <c r="F668" s="133" t="s">
        <v>3148</v>
      </c>
      <c r="G668" s="133" t="s">
        <v>3879</v>
      </c>
      <c r="H668" s="133">
        <f>VLOOKUP(G668,'packing mapping'!A:B,2,0)</f>
        <v>20</v>
      </c>
      <c r="I668" s="137">
        <v>2788400</v>
      </c>
      <c r="J668" s="132">
        <f t="shared" si="21"/>
        <v>139420</v>
      </c>
    </row>
    <row r="669" spans="1:10">
      <c r="A669" s="115" t="s">
        <v>293</v>
      </c>
      <c r="B669" s="115" t="s">
        <v>294</v>
      </c>
      <c r="C669" s="115" t="s">
        <v>1212</v>
      </c>
      <c r="D669" s="115" t="s">
        <v>1213</v>
      </c>
      <c r="E669" s="133" t="str">
        <f t="shared" si="20"/>
        <v>1200000103PUL-53306 AC EX CLEAR 20 VN</v>
      </c>
      <c r="F669" s="133" t="s">
        <v>3060</v>
      </c>
      <c r="G669" s="133" t="s">
        <v>3879</v>
      </c>
      <c r="H669" s="133">
        <f>VLOOKUP(G669,'packing mapping'!A:B,2,0)</f>
        <v>20</v>
      </c>
      <c r="I669" s="137">
        <v>2603600</v>
      </c>
      <c r="J669" s="132">
        <f t="shared" si="21"/>
        <v>130180</v>
      </c>
    </row>
    <row r="670" spans="1:10">
      <c r="A670" s="115" t="s">
        <v>293</v>
      </c>
      <c r="B670" s="115" t="s">
        <v>294</v>
      </c>
      <c r="C670" s="115" t="s">
        <v>1474</v>
      </c>
      <c r="D670" s="115" t="s">
        <v>1475</v>
      </c>
      <c r="E670" s="133" t="str">
        <f t="shared" si="20"/>
        <v>1200000103PUL-53306 AC EX CLEAR 30 VN</v>
      </c>
      <c r="F670" s="133" t="s">
        <v>3183</v>
      </c>
      <c r="G670" s="133" t="s">
        <v>3879</v>
      </c>
      <c r="H670" s="133">
        <f>VLOOKUP(G670,'packing mapping'!A:B,2,0)</f>
        <v>20</v>
      </c>
      <c r="I670" s="137">
        <v>2690600</v>
      </c>
      <c r="J670" s="132">
        <f t="shared" si="21"/>
        <v>134530</v>
      </c>
    </row>
    <row r="671" spans="1:10">
      <c r="A671" s="115" t="s">
        <v>293</v>
      </c>
      <c r="B671" s="115" t="s">
        <v>294</v>
      </c>
      <c r="C671" s="115" t="s">
        <v>1878</v>
      </c>
      <c r="D671" s="115" t="s">
        <v>1879</v>
      </c>
      <c r="E671" s="133" t="str">
        <f t="shared" si="20"/>
        <v>1200000103PUL-53306 AC EX CLEAR 40 VN</v>
      </c>
      <c r="F671" s="133" t="s">
        <v>3362</v>
      </c>
      <c r="G671" s="133" t="s">
        <v>3879</v>
      </c>
      <c r="H671" s="133">
        <f>VLOOKUP(G671,'packing mapping'!A:B,2,0)</f>
        <v>20</v>
      </c>
      <c r="I671" s="137">
        <v>2897000</v>
      </c>
      <c r="J671" s="132">
        <f t="shared" si="21"/>
        <v>144850</v>
      </c>
    </row>
    <row r="672" spans="1:10">
      <c r="A672" s="115" t="s">
        <v>293</v>
      </c>
      <c r="B672" s="115" t="s">
        <v>294</v>
      </c>
      <c r="C672" s="115" t="s">
        <v>1214</v>
      </c>
      <c r="D672" s="115" t="s">
        <v>1215</v>
      </c>
      <c r="E672" s="133" t="str">
        <f t="shared" si="20"/>
        <v>1200000103PUL-53306 AC EX CLEAR 50 VN</v>
      </c>
      <c r="F672" s="133" t="s">
        <v>3061</v>
      </c>
      <c r="G672" s="133" t="s">
        <v>3879</v>
      </c>
      <c r="H672" s="133">
        <f>VLOOKUP(G672,'packing mapping'!A:B,2,0)</f>
        <v>20</v>
      </c>
      <c r="I672" s="137">
        <v>2786000</v>
      </c>
      <c r="J672" s="132">
        <f t="shared" si="21"/>
        <v>139300</v>
      </c>
    </row>
    <row r="673" spans="1:10">
      <c r="A673" s="115" t="s">
        <v>293</v>
      </c>
      <c r="B673" s="115" t="s">
        <v>294</v>
      </c>
      <c r="C673" s="115" t="s">
        <v>1216</v>
      </c>
      <c r="D673" s="115" t="s">
        <v>1217</v>
      </c>
      <c r="E673" s="133" t="str">
        <f t="shared" si="20"/>
        <v>1200000103PUL-53306 AC EX CLEAR 90 VN</v>
      </c>
      <c r="F673" s="133" t="s">
        <v>3062</v>
      </c>
      <c r="G673" s="133" t="s">
        <v>3879</v>
      </c>
      <c r="H673" s="133">
        <f>VLOOKUP(G673,'packing mapping'!A:B,2,0)</f>
        <v>20</v>
      </c>
      <c r="I673" s="137">
        <v>2385000</v>
      </c>
      <c r="J673" s="132">
        <f t="shared" si="21"/>
        <v>119250</v>
      </c>
    </row>
    <row r="674" spans="1:10">
      <c r="A674" s="115" t="s">
        <v>293</v>
      </c>
      <c r="B674" s="115" t="s">
        <v>294</v>
      </c>
      <c r="C674" s="115" t="s">
        <v>1476</v>
      </c>
      <c r="D674" s="115" t="s">
        <v>1477</v>
      </c>
      <c r="E674" s="133" t="str">
        <f t="shared" si="20"/>
        <v>1200000103PUP-52141 WHITE 01 VN</v>
      </c>
      <c r="F674" s="133" t="s">
        <v>3184</v>
      </c>
      <c r="G674" s="133" t="s">
        <v>3881</v>
      </c>
      <c r="H674" s="133">
        <f>VLOOKUP(G674,'packing mapping'!A:B,2,0)</f>
        <v>20</v>
      </c>
      <c r="I674" s="137">
        <v>1396000</v>
      </c>
      <c r="J674" s="132">
        <f t="shared" si="21"/>
        <v>69800</v>
      </c>
    </row>
    <row r="675" spans="1:10">
      <c r="A675" s="115" t="s">
        <v>293</v>
      </c>
      <c r="B675" s="115" t="s">
        <v>294</v>
      </c>
      <c r="C675" s="115" t="s">
        <v>1478</v>
      </c>
      <c r="D675" s="115" t="s">
        <v>1479</v>
      </c>
      <c r="E675" s="133" t="str">
        <f t="shared" si="20"/>
        <v>1200000103PUSS-51241 VN</v>
      </c>
      <c r="F675" s="133" t="s">
        <v>3185</v>
      </c>
      <c r="G675" s="133" t="s">
        <v>3881</v>
      </c>
      <c r="H675" s="133">
        <f>VLOOKUP(G675,'packing mapping'!A:B,2,0)</f>
        <v>20</v>
      </c>
      <c r="I675" s="137">
        <v>1156200</v>
      </c>
      <c r="J675" s="132">
        <f t="shared" si="21"/>
        <v>57810</v>
      </c>
    </row>
    <row r="676" spans="1:10">
      <c r="A676" s="115" t="s">
        <v>293</v>
      </c>
      <c r="B676" s="115" t="s">
        <v>294</v>
      </c>
      <c r="C676" s="115" t="s">
        <v>1880</v>
      </c>
      <c r="D676" s="115" t="s">
        <v>1881</v>
      </c>
      <c r="E676" s="133" t="str">
        <f t="shared" si="20"/>
        <v>1200000103PUSS-51241 VN</v>
      </c>
      <c r="F676" s="133" t="s">
        <v>3185</v>
      </c>
      <c r="G676" s="133" t="s">
        <v>3889</v>
      </c>
      <c r="H676" s="133">
        <f>VLOOKUP(G676,'packing mapping'!A:B,2,0)</f>
        <v>200</v>
      </c>
      <c r="I676" s="137">
        <v>10886000</v>
      </c>
      <c r="J676" s="132">
        <f t="shared" si="21"/>
        <v>54430</v>
      </c>
    </row>
    <row r="677" spans="1:10">
      <c r="A677" s="115" t="s">
        <v>293</v>
      </c>
      <c r="B677" s="115" t="s">
        <v>294</v>
      </c>
      <c r="C677" s="115" t="s">
        <v>1218</v>
      </c>
      <c r="D677" s="115" t="s">
        <v>1219</v>
      </c>
      <c r="E677" s="133" t="str">
        <f t="shared" si="20"/>
        <v>1200000103PUSS-53206 AC EX VN</v>
      </c>
      <c r="F677" s="133" t="s">
        <v>3063</v>
      </c>
      <c r="G677" s="133" t="s">
        <v>3881</v>
      </c>
      <c r="H677" s="133">
        <f>VLOOKUP(G677,'packing mapping'!A:B,2,0)</f>
        <v>20</v>
      </c>
      <c r="I677" s="137">
        <v>2406000</v>
      </c>
      <c r="J677" s="132">
        <f t="shared" si="21"/>
        <v>120300</v>
      </c>
    </row>
    <row r="678" spans="1:10">
      <c r="A678" s="115" t="s">
        <v>293</v>
      </c>
      <c r="B678" s="115" t="s">
        <v>294</v>
      </c>
      <c r="C678" s="115" t="s">
        <v>1220</v>
      </c>
      <c r="D678" s="115" t="s">
        <v>1221</v>
      </c>
      <c r="E678" s="133" t="str">
        <f t="shared" si="20"/>
        <v>1200000103SST-11100 C10 BLACK</v>
      </c>
      <c r="F678" s="133" t="s">
        <v>3064</v>
      </c>
      <c r="G678" s="133" t="s">
        <v>3883</v>
      </c>
      <c r="H678" s="133">
        <f>VLOOKUP(G678,'packing mapping'!A:B,2,0)</f>
        <v>4</v>
      </c>
      <c r="I678" s="137">
        <v>913080</v>
      </c>
      <c r="J678" s="132">
        <f t="shared" si="21"/>
        <v>228270</v>
      </c>
    </row>
    <row r="679" spans="1:10">
      <c r="A679" s="115" t="s">
        <v>293</v>
      </c>
      <c r="B679" s="115" t="s">
        <v>294</v>
      </c>
      <c r="C679" s="115" t="s">
        <v>1222</v>
      </c>
      <c r="D679" s="115" t="s">
        <v>1223</v>
      </c>
      <c r="E679" s="133" t="str">
        <f t="shared" si="20"/>
        <v>1200000103SST-11100 C10 BLUE</v>
      </c>
      <c r="F679" s="133" t="s">
        <v>3065</v>
      </c>
      <c r="G679" s="133" t="s">
        <v>3883</v>
      </c>
      <c r="H679" s="133">
        <f>VLOOKUP(G679,'packing mapping'!A:B,2,0)</f>
        <v>4</v>
      </c>
      <c r="I679" s="137">
        <v>1378240</v>
      </c>
      <c r="J679" s="132">
        <f t="shared" si="21"/>
        <v>344560</v>
      </c>
    </row>
    <row r="680" spans="1:10">
      <c r="A680" s="115" t="s">
        <v>293</v>
      </c>
      <c r="B680" s="115" t="s">
        <v>294</v>
      </c>
      <c r="C680" s="115" t="s">
        <v>1226</v>
      </c>
      <c r="D680" s="115" t="s">
        <v>1227</v>
      </c>
      <c r="E680" s="133" t="str">
        <f t="shared" si="20"/>
        <v>1200000103SST-11100 C10 RED</v>
      </c>
      <c r="F680" s="133" t="s">
        <v>3067</v>
      </c>
      <c r="G680" s="133" t="s">
        <v>3883</v>
      </c>
      <c r="H680" s="133">
        <f>VLOOKUP(G680,'packing mapping'!A:B,2,0)</f>
        <v>4</v>
      </c>
      <c r="I680" s="137">
        <v>1125400</v>
      </c>
      <c r="J680" s="132">
        <f t="shared" si="21"/>
        <v>281350</v>
      </c>
    </row>
    <row r="681" spans="1:10">
      <c r="A681" s="115" t="s">
        <v>293</v>
      </c>
      <c r="B681" s="115" t="s">
        <v>294</v>
      </c>
      <c r="C681" s="115" t="s">
        <v>1228</v>
      </c>
      <c r="D681" s="115" t="s">
        <v>1229</v>
      </c>
      <c r="E681" s="133" t="str">
        <f t="shared" si="20"/>
        <v>1200000103SST-11100 C10 YELLOW</v>
      </c>
      <c r="F681" s="133" t="s">
        <v>3068</v>
      </c>
      <c r="G681" s="133" t="s">
        <v>3883</v>
      </c>
      <c r="H681" s="133">
        <f>VLOOKUP(G681,'packing mapping'!A:B,2,0)</f>
        <v>4</v>
      </c>
      <c r="I681" s="137">
        <v>975200</v>
      </c>
      <c r="J681" s="132">
        <f t="shared" si="21"/>
        <v>243800</v>
      </c>
    </row>
    <row r="682" spans="1:10">
      <c r="A682" s="115" t="s">
        <v>293</v>
      </c>
      <c r="B682" s="115" t="s">
        <v>294</v>
      </c>
      <c r="C682" s="115" t="s">
        <v>1230</v>
      </c>
      <c r="D682" s="115" t="s">
        <v>1231</v>
      </c>
      <c r="E682" s="133" t="str">
        <f t="shared" si="20"/>
        <v>1200000103THC-73100 201 VN</v>
      </c>
      <c r="F682" s="133" t="s">
        <v>3069</v>
      </c>
      <c r="G682" s="133" t="s">
        <v>3884</v>
      </c>
      <c r="H682" s="133">
        <f>VLOOKUP(G682,'packing mapping'!A:B,2,0)</f>
        <v>200</v>
      </c>
      <c r="I682" s="137">
        <v>10904000</v>
      </c>
      <c r="J682" s="132">
        <f t="shared" si="21"/>
        <v>54520</v>
      </c>
    </row>
    <row r="683" spans="1:10">
      <c r="A683" s="115" t="s">
        <v>293</v>
      </c>
      <c r="B683" s="115" t="s">
        <v>294</v>
      </c>
      <c r="C683" s="115" t="s">
        <v>1402</v>
      </c>
      <c r="D683" s="115" t="s">
        <v>1403</v>
      </c>
      <c r="E683" s="133" t="str">
        <f t="shared" si="20"/>
        <v>1200000103THC-73100-007 VN</v>
      </c>
      <c r="F683" s="133" t="s">
        <v>3150</v>
      </c>
      <c r="G683" s="133" t="s">
        <v>3880</v>
      </c>
      <c r="H683" s="133">
        <f>VLOOKUP(G683,'packing mapping'!A:B,2,0)</f>
        <v>20</v>
      </c>
      <c r="I683" s="137">
        <v>1437200</v>
      </c>
      <c r="J683" s="132">
        <f t="shared" si="21"/>
        <v>71860</v>
      </c>
    </row>
    <row r="684" spans="1:10">
      <c r="A684" s="115" t="s">
        <v>293</v>
      </c>
      <c r="B684" s="115" t="s">
        <v>294</v>
      </c>
      <c r="C684" s="115" t="s">
        <v>1232</v>
      </c>
      <c r="D684" s="115" t="s">
        <v>1233</v>
      </c>
      <c r="E684" s="133" t="str">
        <f t="shared" si="20"/>
        <v>1200000103THC-73100-201 VN</v>
      </c>
      <c r="F684" s="133" t="s">
        <v>3070</v>
      </c>
      <c r="G684" s="133" t="s">
        <v>3880</v>
      </c>
      <c r="H684" s="133">
        <f>VLOOKUP(G684,'packing mapping'!A:B,2,0)</f>
        <v>20</v>
      </c>
      <c r="I684" s="137">
        <v>1227800</v>
      </c>
      <c r="J684" s="132">
        <f t="shared" si="21"/>
        <v>61390</v>
      </c>
    </row>
    <row r="685" spans="1:10">
      <c r="A685" s="115" t="s">
        <v>293</v>
      </c>
      <c r="B685" s="115" t="s">
        <v>294</v>
      </c>
      <c r="C685" s="115" t="s">
        <v>1242</v>
      </c>
      <c r="D685" s="115" t="s">
        <v>1243</v>
      </c>
      <c r="E685" s="133" t="str">
        <f t="shared" si="20"/>
        <v>1200000103THPU-71306 ST VN</v>
      </c>
      <c r="F685" s="133" t="s">
        <v>3039</v>
      </c>
      <c r="G685" s="133" t="s">
        <v>3884</v>
      </c>
      <c r="H685" s="133">
        <f>VLOOKUP(G685,'packing mapping'!A:B,2,0)</f>
        <v>200</v>
      </c>
      <c r="I685" s="137">
        <v>10838000</v>
      </c>
      <c r="J685" s="132">
        <f t="shared" si="21"/>
        <v>54190</v>
      </c>
    </row>
    <row r="686" spans="1:10">
      <c r="A686" s="115" t="s">
        <v>293</v>
      </c>
      <c r="B686" s="115" t="s">
        <v>294</v>
      </c>
      <c r="C686" s="115" t="s">
        <v>1244</v>
      </c>
      <c r="D686" s="115" t="s">
        <v>1245</v>
      </c>
      <c r="E686" s="133" t="str">
        <f t="shared" si="20"/>
        <v>1200000103TOL-76114 W VN</v>
      </c>
      <c r="F686" s="133" t="s">
        <v>3075</v>
      </c>
      <c r="G686" s="133" t="s">
        <v>3880</v>
      </c>
      <c r="H686" s="133">
        <f>VLOOKUP(G686,'packing mapping'!A:B,2,0)</f>
        <v>20</v>
      </c>
      <c r="I686" s="137">
        <v>1621200</v>
      </c>
      <c r="J686" s="132">
        <f t="shared" si="21"/>
        <v>81060</v>
      </c>
    </row>
    <row r="687" spans="1:10">
      <c r="A687" s="115" t="s">
        <v>293</v>
      </c>
      <c r="B687" s="115" t="s">
        <v>294</v>
      </c>
      <c r="C687" s="115" t="s">
        <v>1546</v>
      </c>
      <c r="D687" s="115" t="s">
        <v>1547</v>
      </c>
      <c r="E687" s="133" t="str">
        <f t="shared" si="20"/>
        <v>1200000103TOL-76301 N CLEAR BASE VN</v>
      </c>
      <c r="F687" s="133" t="s">
        <v>3213</v>
      </c>
      <c r="G687" s="133" t="s">
        <v>3880</v>
      </c>
      <c r="H687" s="133">
        <f>VLOOKUP(G687,'packing mapping'!A:B,2,0)</f>
        <v>20</v>
      </c>
      <c r="I687" s="137">
        <v>2298200</v>
      </c>
      <c r="J687" s="132">
        <f t="shared" si="21"/>
        <v>114910</v>
      </c>
    </row>
    <row r="688" spans="1:10">
      <c r="A688" s="115" t="s">
        <v>293</v>
      </c>
      <c r="B688" s="115" t="s">
        <v>294</v>
      </c>
      <c r="C688" s="115" t="s">
        <v>1882</v>
      </c>
      <c r="D688" s="115" t="s">
        <v>1883</v>
      </c>
      <c r="E688" s="133" t="str">
        <f t="shared" si="20"/>
        <v>1200000103WBL-61201 CLEAR 10 VN</v>
      </c>
      <c r="F688" s="133" t="s">
        <v>3363</v>
      </c>
      <c r="G688" s="133" t="s">
        <v>3881</v>
      </c>
      <c r="H688" s="133">
        <f>VLOOKUP(G688,'packing mapping'!A:B,2,0)</f>
        <v>20</v>
      </c>
      <c r="I688" s="137">
        <v>3284000</v>
      </c>
      <c r="J688" s="132">
        <f t="shared" si="21"/>
        <v>164200</v>
      </c>
    </row>
    <row r="689" spans="1:10">
      <c r="A689" s="115" t="s">
        <v>293</v>
      </c>
      <c r="B689" s="115" t="s">
        <v>294</v>
      </c>
      <c r="C689" s="115" t="s">
        <v>1884</v>
      </c>
      <c r="D689" s="115" t="s">
        <v>1885</v>
      </c>
      <c r="E689" s="133" t="str">
        <f t="shared" si="20"/>
        <v>1200000103PCWB-31601 BLUE OR PASTE</v>
      </c>
      <c r="F689" s="133" t="s">
        <v>3364</v>
      </c>
      <c r="G689" s="133" t="s">
        <v>3883</v>
      </c>
      <c r="H689" s="133">
        <f>VLOOKUP(G689,'packing mapping'!A:B,2,0)</f>
        <v>4</v>
      </c>
      <c r="I689" s="137">
        <v>2453200</v>
      </c>
      <c r="J689" s="132">
        <f t="shared" si="21"/>
        <v>613300</v>
      </c>
    </row>
    <row r="690" spans="1:10">
      <c r="A690" s="115" t="s">
        <v>293</v>
      </c>
      <c r="B690" s="115" t="s">
        <v>294</v>
      </c>
      <c r="C690" s="115" t="s">
        <v>1484</v>
      </c>
      <c r="D690" s="115" t="s">
        <v>1485</v>
      </c>
      <c r="E690" s="133" t="str">
        <f t="shared" si="20"/>
        <v>1200000103AP-98200 NLT 01 VN</v>
      </c>
      <c r="F690" s="133" t="s">
        <v>3186</v>
      </c>
      <c r="G690" s="133" t="s">
        <v>3894</v>
      </c>
      <c r="H690" s="133">
        <f>VLOOKUP(G690,'packing mapping'!A:B,2,0)</f>
        <v>1</v>
      </c>
      <c r="I690" s="137">
        <v>1736370</v>
      </c>
      <c r="J690" s="132">
        <f t="shared" si="21"/>
        <v>1736370</v>
      </c>
    </row>
    <row r="691" spans="1:10">
      <c r="A691" s="115" t="s">
        <v>293</v>
      </c>
      <c r="B691" s="115" t="s">
        <v>294</v>
      </c>
      <c r="C691" s="115" t="s">
        <v>1404</v>
      </c>
      <c r="D691" s="115" t="s">
        <v>1405</v>
      </c>
      <c r="E691" s="133" t="str">
        <f t="shared" si="20"/>
        <v>1200000103PP-98100 PEARL 111 VN</v>
      </c>
      <c r="F691" s="133" t="s">
        <v>3151</v>
      </c>
      <c r="G691" s="133" t="s">
        <v>3894</v>
      </c>
      <c r="H691" s="133">
        <f>VLOOKUP(G691,'packing mapping'!A:B,2,0)</f>
        <v>1</v>
      </c>
      <c r="I691" s="137">
        <v>857800</v>
      </c>
      <c r="J691" s="132">
        <f t="shared" si="21"/>
        <v>857800</v>
      </c>
    </row>
    <row r="692" spans="1:10">
      <c r="A692" s="115" t="s">
        <v>293</v>
      </c>
      <c r="B692" s="115" t="s">
        <v>294</v>
      </c>
      <c r="C692" s="115" t="s">
        <v>1486</v>
      </c>
      <c r="D692" s="115" t="s">
        <v>1487</v>
      </c>
      <c r="E692" s="133" t="str">
        <f t="shared" si="20"/>
        <v>1200000103AP-98200 SILVER 2107 VN</v>
      </c>
      <c r="F692" s="133" t="s">
        <v>3187</v>
      </c>
      <c r="G692" s="133" t="s">
        <v>3894</v>
      </c>
      <c r="H692" s="133">
        <f>VLOOKUP(G692,'packing mapping'!A:B,2,0)</f>
        <v>1</v>
      </c>
      <c r="I692" s="137">
        <v>2628440</v>
      </c>
      <c r="J692" s="132">
        <f t="shared" si="21"/>
        <v>2628440</v>
      </c>
    </row>
    <row r="693" spans="1:10">
      <c r="A693" s="115" t="s">
        <v>293</v>
      </c>
      <c r="B693" s="115" t="s">
        <v>294</v>
      </c>
      <c r="C693" s="115" t="s">
        <v>1886</v>
      </c>
      <c r="D693" s="115" t="s">
        <v>1887</v>
      </c>
      <c r="E693" s="133" t="str">
        <f t="shared" si="20"/>
        <v>1200000103UVL-50101 CLEAR 10 VN</v>
      </c>
      <c r="F693" s="133" t="s">
        <v>3365</v>
      </c>
      <c r="G693" s="133" t="s">
        <v>3881</v>
      </c>
      <c r="H693" s="133">
        <f>VLOOKUP(G693,'packing mapping'!A:B,2,0)</f>
        <v>20</v>
      </c>
      <c r="I693" s="137">
        <v>4274200</v>
      </c>
      <c r="J693" s="132">
        <f t="shared" si="21"/>
        <v>213710</v>
      </c>
    </row>
    <row r="694" spans="1:10">
      <c r="A694" s="115" t="s">
        <v>293</v>
      </c>
      <c r="B694" s="115" t="s">
        <v>294</v>
      </c>
      <c r="C694" s="115" t="s">
        <v>1248</v>
      </c>
      <c r="D694" s="115" t="s">
        <v>1249</v>
      </c>
      <c r="E694" s="133" t="str">
        <f t="shared" si="20"/>
        <v>1200000103MEPH-12003 PS VN</v>
      </c>
      <c r="F694" s="133" t="s">
        <v>3077</v>
      </c>
      <c r="G694" s="133" t="s">
        <v>3887</v>
      </c>
      <c r="H694" s="133">
        <f>VLOOKUP(G694,'packing mapping'!A:B,2,0)</f>
        <v>2</v>
      </c>
      <c r="I694" s="137">
        <v>281140</v>
      </c>
      <c r="J694" s="132">
        <f t="shared" si="21"/>
        <v>140570</v>
      </c>
    </row>
    <row r="695" spans="1:10">
      <c r="A695" s="115" t="s">
        <v>293</v>
      </c>
      <c r="B695" s="115" t="s">
        <v>294</v>
      </c>
      <c r="C695" s="115" t="s">
        <v>1888</v>
      </c>
      <c r="D695" s="115" t="s">
        <v>1889</v>
      </c>
      <c r="E695" s="133" t="str">
        <f t="shared" si="20"/>
        <v>1200000103PUH-56303 NY VN</v>
      </c>
      <c r="F695" s="133" t="s">
        <v>3366</v>
      </c>
      <c r="G695" s="133" t="s">
        <v>3883</v>
      </c>
      <c r="H695" s="133">
        <f>VLOOKUP(G695,'packing mapping'!A:B,2,0)</f>
        <v>4</v>
      </c>
      <c r="I695" s="137">
        <v>1094800</v>
      </c>
      <c r="J695" s="132">
        <f t="shared" si="21"/>
        <v>273700</v>
      </c>
    </row>
    <row r="696" spans="1:10">
      <c r="A696" s="115" t="s">
        <v>293</v>
      </c>
      <c r="B696" s="115" t="s">
        <v>294</v>
      </c>
      <c r="C696" s="115" t="s">
        <v>1890</v>
      </c>
      <c r="D696" s="115" t="s">
        <v>1891</v>
      </c>
      <c r="E696" s="133" t="str">
        <f t="shared" si="20"/>
        <v>1200000103PUC-54205 AC WHITE 40 VN</v>
      </c>
      <c r="F696" s="133" t="s">
        <v>3367</v>
      </c>
      <c r="G696" s="133" t="s">
        <v>3881</v>
      </c>
      <c r="H696" s="133">
        <f>VLOOKUP(G696,'packing mapping'!A:B,2,0)</f>
        <v>20</v>
      </c>
      <c r="I696" s="137">
        <v>3700000</v>
      </c>
      <c r="J696" s="132">
        <f t="shared" si="21"/>
        <v>185000</v>
      </c>
    </row>
    <row r="697" spans="1:10">
      <c r="A697" s="115" t="s">
        <v>293</v>
      </c>
      <c r="B697" s="115" t="s">
        <v>294</v>
      </c>
      <c r="C697" s="115" t="s">
        <v>1892</v>
      </c>
      <c r="D697" s="115" t="s">
        <v>1893</v>
      </c>
      <c r="E697" s="133" t="str">
        <f t="shared" si="20"/>
        <v>1200000103PUC-52239 WHITE 10 VN</v>
      </c>
      <c r="F697" s="133" t="s">
        <v>3368</v>
      </c>
      <c r="G697" s="133" t="s">
        <v>3881</v>
      </c>
      <c r="H697" s="133">
        <f>VLOOKUP(G697,'packing mapping'!A:B,2,0)</f>
        <v>20</v>
      </c>
      <c r="I697" s="137">
        <v>1911000</v>
      </c>
      <c r="J697" s="132">
        <f t="shared" si="21"/>
        <v>95550</v>
      </c>
    </row>
    <row r="698" spans="1:10">
      <c r="A698" s="115" t="s">
        <v>293</v>
      </c>
      <c r="B698" s="115" t="s">
        <v>294</v>
      </c>
      <c r="C698" s="115" t="s">
        <v>1796</v>
      </c>
      <c r="D698" s="115" t="s">
        <v>1797</v>
      </c>
      <c r="E698" s="133" t="str">
        <f t="shared" si="20"/>
        <v>1200000103PUC-52239 WHITE 20 VN</v>
      </c>
      <c r="F698" s="133" t="s">
        <v>3323</v>
      </c>
      <c r="G698" s="133" t="s">
        <v>3881</v>
      </c>
      <c r="H698" s="133">
        <f>VLOOKUP(G698,'packing mapping'!A:B,2,0)</f>
        <v>20</v>
      </c>
      <c r="I698" s="137">
        <v>2082400</v>
      </c>
      <c r="J698" s="132">
        <f t="shared" si="21"/>
        <v>104120</v>
      </c>
    </row>
    <row r="699" spans="1:10">
      <c r="A699" s="115" t="s">
        <v>293</v>
      </c>
      <c r="B699" s="115" t="s">
        <v>294</v>
      </c>
      <c r="C699" s="115" t="s">
        <v>1894</v>
      </c>
      <c r="D699" s="115" t="s">
        <v>1895</v>
      </c>
      <c r="E699" s="133" t="str">
        <f t="shared" si="20"/>
        <v>1200000103PUC-52239 WHITE 30 VN</v>
      </c>
      <c r="F699" s="133" t="s">
        <v>3369</v>
      </c>
      <c r="G699" s="133" t="s">
        <v>3881</v>
      </c>
      <c r="H699" s="133">
        <f>VLOOKUP(G699,'packing mapping'!A:B,2,0)</f>
        <v>20</v>
      </c>
      <c r="I699" s="137">
        <v>2213600</v>
      </c>
      <c r="J699" s="132">
        <f t="shared" si="21"/>
        <v>110680</v>
      </c>
    </row>
    <row r="700" spans="1:10">
      <c r="A700" s="115" t="s">
        <v>293</v>
      </c>
      <c r="B700" s="115" t="s">
        <v>294</v>
      </c>
      <c r="C700" s="115" t="s">
        <v>1896</v>
      </c>
      <c r="D700" s="115" t="s">
        <v>1897</v>
      </c>
      <c r="E700" s="133" t="str">
        <f t="shared" si="20"/>
        <v>1200000103PUC-52239 WHITE 50 VN</v>
      </c>
      <c r="F700" s="133" t="s">
        <v>3370</v>
      </c>
      <c r="G700" s="133" t="s">
        <v>3881</v>
      </c>
      <c r="H700" s="133">
        <f>VLOOKUP(G700,'packing mapping'!A:B,2,0)</f>
        <v>20</v>
      </c>
      <c r="I700" s="137">
        <v>2456000</v>
      </c>
      <c r="J700" s="132">
        <f t="shared" si="21"/>
        <v>122800</v>
      </c>
    </row>
    <row r="701" spans="1:10">
      <c r="A701" s="115" t="s">
        <v>293</v>
      </c>
      <c r="B701" s="115" t="s">
        <v>294</v>
      </c>
      <c r="C701" s="115" t="s">
        <v>1898</v>
      </c>
      <c r="D701" s="115" t="s">
        <v>1899</v>
      </c>
      <c r="E701" s="133" t="str">
        <f t="shared" si="20"/>
        <v>1200000103PUC-52239 WHITE 90 VN</v>
      </c>
      <c r="F701" s="133" t="s">
        <v>3371</v>
      </c>
      <c r="G701" s="133" t="s">
        <v>3881</v>
      </c>
      <c r="H701" s="133">
        <f>VLOOKUP(G701,'packing mapping'!A:B,2,0)</f>
        <v>20</v>
      </c>
      <c r="I701" s="137">
        <v>2325400</v>
      </c>
      <c r="J701" s="132">
        <f t="shared" si="21"/>
        <v>116270</v>
      </c>
    </row>
    <row r="702" spans="1:10">
      <c r="A702" s="115" t="s">
        <v>293</v>
      </c>
      <c r="B702" s="115" t="s">
        <v>294</v>
      </c>
      <c r="C702" s="115" t="s">
        <v>1174</v>
      </c>
      <c r="D702" s="115" t="s">
        <v>1175</v>
      </c>
      <c r="E702" s="133" t="str">
        <f t="shared" si="20"/>
        <v>1200000103PUH-56139 VN</v>
      </c>
      <c r="F702" s="133" t="s">
        <v>3041</v>
      </c>
      <c r="G702" s="133" t="s">
        <v>3881</v>
      </c>
      <c r="H702" s="133">
        <f>VLOOKUP(G702,'packing mapping'!A:B,2,0)</f>
        <v>20</v>
      </c>
      <c r="I702" s="137">
        <v>2609200</v>
      </c>
      <c r="J702" s="132">
        <f t="shared" si="21"/>
        <v>130460</v>
      </c>
    </row>
    <row r="703" spans="1:10">
      <c r="A703" s="115" t="s">
        <v>293</v>
      </c>
      <c r="B703" s="115" t="s">
        <v>294</v>
      </c>
      <c r="C703" s="115" t="s">
        <v>1558</v>
      </c>
      <c r="D703" s="115" t="s">
        <v>1559</v>
      </c>
      <c r="E703" s="133" t="str">
        <f t="shared" si="20"/>
        <v>1200000103PUP-54111 AC WHITE VN</v>
      </c>
      <c r="F703" s="133" t="s">
        <v>3218</v>
      </c>
      <c r="G703" s="133" t="s">
        <v>3881</v>
      </c>
      <c r="H703" s="133">
        <f>VLOOKUP(G703,'packing mapping'!A:B,2,0)</f>
        <v>20</v>
      </c>
      <c r="I703" s="137">
        <v>2624600</v>
      </c>
      <c r="J703" s="132">
        <f t="shared" si="21"/>
        <v>131230</v>
      </c>
    </row>
    <row r="704" spans="1:10">
      <c r="A704" s="115" t="s">
        <v>293</v>
      </c>
      <c r="B704" s="115" t="s">
        <v>294</v>
      </c>
      <c r="C704" s="115" t="s">
        <v>1296</v>
      </c>
      <c r="D704" s="115" t="s">
        <v>1297</v>
      </c>
      <c r="E704" s="133" t="str">
        <f t="shared" si="20"/>
        <v>1200000103RD-74106 VN</v>
      </c>
      <c r="F704" s="133" t="s">
        <v>3099</v>
      </c>
      <c r="G704" s="133" t="s">
        <v>3880</v>
      </c>
      <c r="H704" s="133">
        <f>VLOOKUP(G704,'packing mapping'!A:B,2,0)</f>
        <v>20</v>
      </c>
      <c r="I704" s="137">
        <v>1070400</v>
      </c>
      <c r="J704" s="132">
        <f t="shared" si="21"/>
        <v>53520</v>
      </c>
    </row>
    <row r="705" spans="1:10">
      <c r="A705" s="115" t="s">
        <v>293</v>
      </c>
      <c r="B705" s="115" t="s">
        <v>294</v>
      </c>
      <c r="C705" s="115" t="s">
        <v>1298</v>
      </c>
      <c r="D705" s="115" t="s">
        <v>1299</v>
      </c>
      <c r="E705" s="133" t="str">
        <f t="shared" si="20"/>
        <v>1200000103PUP-52122 PUTTY VN</v>
      </c>
      <c r="F705" s="133" t="s">
        <v>3100</v>
      </c>
      <c r="G705" s="133" t="s">
        <v>3883</v>
      </c>
      <c r="H705" s="133">
        <f>VLOOKUP(G705,'packing mapping'!A:B,2,0)</f>
        <v>4</v>
      </c>
      <c r="I705" s="137">
        <v>200400</v>
      </c>
      <c r="J705" s="132">
        <f t="shared" si="21"/>
        <v>50100</v>
      </c>
    </row>
    <row r="706" spans="1:10">
      <c r="A706" s="115" t="s">
        <v>293</v>
      </c>
      <c r="B706" s="115" t="s">
        <v>294</v>
      </c>
      <c r="C706" s="115" t="s">
        <v>1300</v>
      </c>
      <c r="D706" s="115" t="s">
        <v>1301</v>
      </c>
      <c r="E706" s="133" t="str">
        <f t="shared" si="20"/>
        <v>1200000103GZPU-21500 BLACK VN</v>
      </c>
      <c r="F706" s="133" t="s">
        <v>3101</v>
      </c>
      <c r="G706" s="133" t="s">
        <v>3883</v>
      </c>
      <c r="H706" s="133">
        <f>VLOOKUP(G706,'packing mapping'!A:B,2,0)</f>
        <v>4</v>
      </c>
      <c r="I706" s="137">
        <v>1385120</v>
      </c>
      <c r="J706" s="132">
        <f t="shared" si="21"/>
        <v>346280</v>
      </c>
    </row>
    <row r="707" spans="1:10">
      <c r="A707" s="115" t="s">
        <v>293</v>
      </c>
      <c r="B707" s="115" t="s">
        <v>294</v>
      </c>
      <c r="C707" s="115" t="s">
        <v>1302</v>
      </c>
      <c r="D707" s="115" t="s">
        <v>1303</v>
      </c>
      <c r="E707" s="133" t="str">
        <f t="shared" ref="E707:E770" si="22">A707&amp;F707</f>
        <v>1200000103GZPU-21500 BROWN VN</v>
      </c>
      <c r="F707" s="133" t="s">
        <v>3102</v>
      </c>
      <c r="G707" s="133" t="s">
        <v>3883</v>
      </c>
      <c r="H707" s="133">
        <f>VLOOKUP(G707,'packing mapping'!A:B,2,0)</f>
        <v>4</v>
      </c>
      <c r="I707" s="137">
        <v>1353480</v>
      </c>
      <c r="J707" s="132">
        <f t="shared" ref="J707:J770" si="23">I707/H707</f>
        <v>338370</v>
      </c>
    </row>
    <row r="708" spans="1:10">
      <c r="A708" s="115" t="s">
        <v>293</v>
      </c>
      <c r="B708" s="115" t="s">
        <v>294</v>
      </c>
      <c r="C708" s="115" t="s">
        <v>1310</v>
      </c>
      <c r="D708" s="115" t="s">
        <v>1311</v>
      </c>
      <c r="E708" s="133" t="str">
        <f t="shared" si="22"/>
        <v>1200000103GZPU-21500 RED VN</v>
      </c>
      <c r="F708" s="133" t="s">
        <v>3106</v>
      </c>
      <c r="G708" s="133" t="s">
        <v>3883</v>
      </c>
      <c r="H708" s="133">
        <f>VLOOKUP(G708,'packing mapping'!A:B,2,0)</f>
        <v>4</v>
      </c>
      <c r="I708" s="137">
        <v>1632400</v>
      </c>
      <c r="J708" s="132">
        <f t="shared" si="23"/>
        <v>408100</v>
      </c>
    </row>
    <row r="709" spans="1:10">
      <c r="A709" s="115" t="s">
        <v>293</v>
      </c>
      <c r="B709" s="115" t="s">
        <v>294</v>
      </c>
      <c r="C709" s="115" t="s">
        <v>1312</v>
      </c>
      <c r="D709" s="115" t="s">
        <v>1313</v>
      </c>
      <c r="E709" s="133" t="str">
        <f t="shared" si="22"/>
        <v>1200000103GZPU-21500 YELLOW VN</v>
      </c>
      <c r="F709" s="133" t="s">
        <v>3107</v>
      </c>
      <c r="G709" s="133" t="s">
        <v>3883</v>
      </c>
      <c r="H709" s="133">
        <f>VLOOKUP(G709,'packing mapping'!A:B,2,0)</f>
        <v>4</v>
      </c>
      <c r="I709" s="137">
        <v>1466280</v>
      </c>
      <c r="J709" s="132">
        <f t="shared" si="23"/>
        <v>366570</v>
      </c>
    </row>
    <row r="710" spans="1:10">
      <c r="A710" s="115" t="s">
        <v>293</v>
      </c>
      <c r="B710" s="115" t="s">
        <v>294</v>
      </c>
      <c r="C710" s="115" t="s">
        <v>1900</v>
      </c>
      <c r="D710" s="115" t="s">
        <v>1901</v>
      </c>
      <c r="E710" s="133" t="str">
        <f t="shared" si="22"/>
        <v>1200000103PUH-56303 NY VN</v>
      </c>
      <c r="F710" s="133" t="s">
        <v>3366</v>
      </c>
      <c r="G710" s="133" t="s">
        <v>3881</v>
      </c>
      <c r="H710" s="133">
        <f>VLOOKUP(G710,'packing mapping'!A:B,2,0)</f>
        <v>20</v>
      </c>
      <c r="I710" s="137">
        <v>5474200</v>
      </c>
      <c r="J710" s="132">
        <f t="shared" si="23"/>
        <v>273710</v>
      </c>
    </row>
    <row r="711" spans="1:10">
      <c r="A711" s="115" t="s">
        <v>293</v>
      </c>
      <c r="B711" s="115" t="s">
        <v>294</v>
      </c>
      <c r="C711" s="115" t="s">
        <v>1902</v>
      </c>
      <c r="D711" s="115" t="s">
        <v>1903</v>
      </c>
      <c r="E711" s="133" t="str">
        <f t="shared" si="22"/>
        <v>1200000103UVSS-40103 VN</v>
      </c>
      <c r="F711" s="133" t="s">
        <v>3372</v>
      </c>
      <c r="G711" s="133" t="s">
        <v>3881</v>
      </c>
      <c r="H711" s="133">
        <f>VLOOKUP(G711,'packing mapping'!A:B,2,0)</f>
        <v>20</v>
      </c>
      <c r="I711" s="137">
        <v>3370200</v>
      </c>
      <c r="J711" s="132">
        <f t="shared" si="23"/>
        <v>168510</v>
      </c>
    </row>
    <row r="712" spans="1:10">
      <c r="A712" s="115" t="s">
        <v>293</v>
      </c>
      <c r="B712" s="115" t="s">
        <v>294</v>
      </c>
      <c r="C712" s="115" t="s">
        <v>1314</v>
      </c>
      <c r="D712" s="115" t="s">
        <v>1315</v>
      </c>
      <c r="E712" s="133" t="str">
        <f t="shared" si="22"/>
        <v>1200000103PCL-31300 RED 31701 PASTE</v>
      </c>
      <c r="F712" s="133" t="s">
        <v>3108</v>
      </c>
      <c r="G712" s="133" t="s">
        <v>3883</v>
      </c>
      <c r="H712" s="133">
        <f>VLOOKUP(G712,'packing mapping'!A:B,2,0)</f>
        <v>4</v>
      </c>
      <c r="I712" s="137">
        <v>3291080</v>
      </c>
      <c r="J712" s="132">
        <f t="shared" si="23"/>
        <v>822770</v>
      </c>
    </row>
    <row r="713" spans="1:10">
      <c r="A713" s="115" t="s">
        <v>293</v>
      </c>
      <c r="B713" s="115" t="s">
        <v>294</v>
      </c>
      <c r="C713" s="115" t="s">
        <v>1904</v>
      </c>
      <c r="D713" s="115" t="s">
        <v>1905</v>
      </c>
      <c r="E713" s="133" t="str">
        <f t="shared" si="22"/>
        <v>1200000103AP-9982-SY30-AK</v>
      </c>
      <c r="F713" s="133" t="s">
        <v>3373</v>
      </c>
      <c r="G713" s="133" t="s">
        <v>3894</v>
      </c>
      <c r="H713" s="133">
        <f>VLOOKUP(G713,'packing mapping'!A:B,2,0)</f>
        <v>1</v>
      </c>
      <c r="I713" s="137">
        <v>1040640</v>
      </c>
      <c r="J713" s="132">
        <f t="shared" si="23"/>
        <v>1040640</v>
      </c>
    </row>
    <row r="714" spans="1:10">
      <c r="A714" s="115" t="s">
        <v>293</v>
      </c>
      <c r="B714" s="115" t="s">
        <v>294</v>
      </c>
      <c r="C714" s="115" t="s">
        <v>1906</v>
      </c>
      <c r="D714" s="115" t="s">
        <v>1907</v>
      </c>
      <c r="E714" s="133" t="str">
        <f t="shared" si="22"/>
        <v>1200000103PUL-53306 AC EX CLEAR 60 VN</v>
      </c>
      <c r="F714" s="133" t="s">
        <v>3374</v>
      </c>
      <c r="G714" s="133" t="s">
        <v>3879</v>
      </c>
      <c r="H714" s="133">
        <f>VLOOKUP(G714,'packing mapping'!A:B,2,0)</f>
        <v>20</v>
      </c>
      <c r="I714" s="137">
        <v>3327800</v>
      </c>
      <c r="J714" s="132">
        <f t="shared" si="23"/>
        <v>166390</v>
      </c>
    </row>
    <row r="715" spans="1:10">
      <c r="A715" s="115" t="s">
        <v>293</v>
      </c>
      <c r="B715" s="115" t="s">
        <v>294</v>
      </c>
      <c r="C715" s="115" t="s">
        <v>1316</v>
      </c>
      <c r="D715" s="115" t="s">
        <v>1317</v>
      </c>
      <c r="E715" s="133" t="str">
        <f t="shared" si="22"/>
        <v>1200000103PCL-31300 YELLOW 170 HR PASTE</v>
      </c>
      <c r="F715" s="133" t="s">
        <v>3109</v>
      </c>
      <c r="G715" s="133" t="s">
        <v>3883</v>
      </c>
      <c r="H715" s="133">
        <f>VLOOKUP(G715,'packing mapping'!A:B,2,0)</f>
        <v>4</v>
      </c>
      <c r="I715" s="137">
        <v>2178800</v>
      </c>
      <c r="J715" s="132">
        <f t="shared" si="23"/>
        <v>544700</v>
      </c>
    </row>
    <row r="716" spans="1:10">
      <c r="A716" s="115" t="s">
        <v>293</v>
      </c>
      <c r="B716" s="115" t="s">
        <v>294</v>
      </c>
      <c r="C716" s="115" t="s">
        <v>1908</v>
      </c>
      <c r="D716" s="115" t="s">
        <v>1909</v>
      </c>
      <c r="E716" s="133" t="str">
        <f t="shared" si="22"/>
        <v>1200000103AP-98200 SILVER 8130 VN</v>
      </c>
      <c r="F716" s="133" t="s">
        <v>3375</v>
      </c>
      <c r="G716" s="133" t="s">
        <v>3894</v>
      </c>
      <c r="H716" s="133">
        <f>VLOOKUP(G716,'packing mapping'!A:B,2,0)</f>
        <v>1</v>
      </c>
      <c r="I716" s="137">
        <v>2194840</v>
      </c>
      <c r="J716" s="132">
        <f t="shared" si="23"/>
        <v>2194840</v>
      </c>
    </row>
    <row r="717" spans="1:10">
      <c r="A717" s="115" t="s">
        <v>293</v>
      </c>
      <c r="B717" s="115" t="s">
        <v>294</v>
      </c>
      <c r="C717" s="115" t="s">
        <v>1418</v>
      </c>
      <c r="D717" s="115" t="s">
        <v>1419</v>
      </c>
      <c r="E717" s="133" t="str">
        <f t="shared" si="22"/>
        <v>1200000103WBL-61204 CLEAR 20 VN</v>
      </c>
      <c r="F717" s="133" t="s">
        <v>3157</v>
      </c>
      <c r="G717" s="133" t="s">
        <v>3881</v>
      </c>
      <c r="H717" s="133">
        <f>VLOOKUP(G717,'packing mapping'!A:B,2,0)</f>
        <v>20</v>
      </c>
      <c r="I717" s="137">
        <v>2524000</v>
      </c>
      <c r="J717" s="132">
        <f t="shared" si="23"/>
        <v>126200</v>
      </c>
    </row>
    <row r="718" spans="1:10">
      <c r="A718" s="115" t="s">
        <v>293</v>
      </c>
      <c r="B718" s="115" t="s">
        <v>294</v>
      </c>
      <c r="C718" s="115" t="s">
        <v>1420</v>
      </c>
      <c r="D718" s="115" t="s">
        <v>1421</v>
      </c>
      <c r="E718" s="133" t="str">
        <f t="shared" si="22"/>
        <v>1200000103WBSS-61104 VN</v>
      </c>
      <c r="F718" s="133" t="s">
        <v>3158</v>
      </c>
      <c r="G718" s="133" t="s">
        <v>3881</v>
      </c>
      <c r="H718" s="133">
        <f>VLOOKUP(G718,'packing mapping'!A:B,2,0)</f>
        <v>20</v>
      </c>
      <c r="I718" s="137">
        <v>2460000</v>
      </c>
      <c r="J718" s="132">
        <f t="shared" si="23"/>
        <v>123000</v>
      </c>
    </row>
    <row r="719" spans="1:10">
      <c r="A719" s="115" t="s">
        <v>293</v>
      </c>
      <c r="B719" s="115" t="s">
        <v>294</v>
      </c>
      <c r="C719" s="115" t="s">
        <v>1496</v>
      </c>
      <c r="D719" s="115" t="s">
        <v>1497</v>
      </c>
      <c r="E719" s="133" t="str">
        <f t="shared" si="22"/>
        <v>1200000103PUH-56141 VN</v>
      </c>
      <c r="F719" s="133" t="s">
        <v>3189</v>
      </c>
      <c r="G719" s="133" t="s">
        <v>3881</v>
      </c>
      <c r="H719" s="133">
        <f>VLOOKUP(G719,'packing mapping'!A:B,2,0)</f>
        <v>20</v>
      </c>
      <c r="I719" s="137">
        <v>1928400</v>
      </c>
      <c r="J719" s="132">
        <f t="shared" si="23"/>
        <v>96420</v>
      </c>
    </row>
    <row r="720" spans="1:10">
      <c r="A720" s="115" t="s">
        <v>293</v>
      </c>
      <c r="B720" s="115" t="s">
        <v>294</v>
      </c>
      <c r="C720" s="115" t="s">
        <v>1500</v>
      </c>
      <c r="D720" s="115" t="s">
        <v>1501</v>
      </c>
      <c r="E720" s="133" t="str">
        <f t="shared" si="22"/>
        <v>1200000103PP-98100 PEARL 13 VN</v>
      </c>
      <c r="F720" s="133" t="s">
        <v>3191</v>
      </c>
      <c r="G720" s="133" t="s">
        <v>3894</v>
      </c>
      <c r="H720" s="133">
        <f>VLOOKUP(G720,'packing mapping'!A:B,2,0)</f>
        <v>1</v>
      </c>
      <c r="I720" s="137">
        <v>626390</v>
      </c>
      <c r="J720" s="132">
        <f t="shared" si="23"/>
        <v>626390</v>
      </c>
    </row>
    <row r="721" spans="1:10">
      <c r="A721" s="115" t="s">
        <v>293</v>
      </c>
      <c r="B721" s="115" t="s">
        <v>294</v>
      </c>
      <c r="C721" s="115" t="s">
        <v>1910</v>
      </c>
      <c r="D721" s="115" t="s">
        <v>1911</v>
      </c>
      <c r="E721" s="133" t="str">
        <f t="shared" si="22"/>
        <v>1200000103PUC-52239 FIN04 30 TL VN</v>
      </c>
      <c r="F721" s="133" t="s">
        <v>3376</v>
      </c>
      <c r="G721" s="133" t="s">
        <v>3881</v>
      </c>
      <c r="H721" s="133">
        <f>VLOOKUP(G721,'packing mapping'!A:B,2,0)</f>
        <v>20</v>
      </c>
      <c r="I721" s="137">
        <v>2972000</v>
      </c>
      <c r="J721" s="132">
        <f t="shared" si="23"/>
        <v>148600</v>
      </c>
    </row>
    <row r="722" spans="1:10">
      <c r="A722" s="115" t="s">
        <v>293</v>
      </c>
      <c r="B722" s="115" t="s">
        <v>294</v>
      </c>
      <c r="C722" s="115" t="s">
        <v>1912</v>
      </c>
      <c r="D722" s="115" t="s">
        <v>1913</v>
      </c>
      <c r="E722" s="133" t="str">
        <f t="shared" si="22"/>
        <v>1200000103PUC-52239 FIN07 30 TL VN</v>
      </c>
      <c r="F722" s="133" t="s">
        <v>3377</v>
      </c>
      <c r="G722" s="133" t="s">
        <v>3881</v>
      </c>
      <c r="H722" s="133">
        <f>VLOOKUP(G722,'packing mapping'!A:B,2,0)</f>
        <v>20</v>
      </c>
      <c r="I722" s="137">
        <v>2965200</v>
      </c>
      <c r="J722" s="132">
        <f t="shared" si="23"/>
        <v>148260</v>
      </c>
    </row>
    <row r="723" spans="1:10">
      <c r="A723" s="115" t="s">
        <v>293</v>
      </c>
      <c r="B723" s="115" t="s">
        <v>294</v>
      </c>
      <c r="C723" s="115" t="s">
        <v>1422</v>
      </c>
      <c r="D723" s="115" t="s">
        <v>1423</v>
      </c>
      <c r="E723" s="133" t="str">
        <f t="shared" si="22"/>
        <v>1200000103THPU-71306 WP LC VN</v>
      </c>
      <c r="F723" s="133" t="s">
        <v>3159</v>
      </c>
      <c r="G723" s="133" t="s">
        <v>3880</v>
      </c>
      <c r="H723" s="133">
        <f>VLOOKUP(G723,'packing mapping'!A:B,2,0)</f>
        <v>20</v>
      </c>
      <c r="I723" s="137">
        <v>1129800</v>
      </c>
      <c r="J723" s="132">
        <f t="shared" si="23"/>
        <v>56490</v>
      </c>
    </row>
    <row r="724" spans="1:10">
      <c r="A724" s="115" t="s">
        <v>293</v>
      </c>
      <c r="B724" s="115" t="s">
        <v>294</v>
      </c>
      <c r="C724" s="115" t="s">
        <v>1332</v>
      </c>
      <c r="D724" s="115" t="s">
        <v>1333</v>
      </c>
      <c r="E724" s="133" t="str">
        <f t="shared" si="22"/>
        <v>1200000103WFPU-51000 VN</v>
      </c>
      <c r="F724" s="133" t="s">
        <v>3117</v>
      </c>
      <c r="G724" s="133" t="s">
        <v>3881</v>
      </c>
      <c r="H724" s="133">
        <f>VLOOKUP(G724,'packing mapping'!A:B,2,0)</f>
        <v>20</v>
      </c>
      <c r="I724" s="137">
        <v>1402200</v>
      </c>
      <c r="J724" s="132">
        <f t="shared" si="23"/>
        <v>70110</v>
      </c>
    </row>
    <row r="725" spans="1:10">
      <c r="A725" s="115" t="s">
        <v>293</v>
      </c>
      <c r="B725" s="115" t="s">
        <v>294</v>
      </c>
      <c r="C725" s="115" t="s">
        <v>1914</v>
      </c>
      <c r="D725" s="115" t="s">
        <v>1915</v>
      </c>
      <c r="E725" s="133" t="str">
        <f t="shared" si="22"/>
        <v>1200000103PUC-54205 SW 7627 40 TL VN</v>
      </c>
      <c r="F725" s="133" t="s">
        <v>3378</v>
      </c>
      <c r="G725" s="133" t="s">
        <v>3881</v>
      </c>
      <c r="H725" s="133">
        <f>VLOOKUP(G725,'packing mapping'!A:B,2,0)</f>
        <v>20</v>
      </c>
      <c r="I725" s="137">
        <v>3937800</v>
      </c>
      <c r="J725" s="132">
        <f t="shared" si="23"/>
        <v>196890</v>
      </c>
    </row>
    <row r="726" spans="1:10">
      <c r="A726" s="115" t="s">
        <v>293</v>
      </c>
      <c r="B726" s="115" t="s">
        <v>294</v>
      </c>
      <c r="C726" s="115" t="s">
        <v>1916</v>
      </c>
      <c r="D726" s="115" t="s">
        <v>1917</v>
      </c>
      <c r="E726" s="133" t="str">
        <f t="shared" si="22"/>
        <v>1200000103PUC-54206 AC EX SW 9150 40 TL VN</v>
      </c>
      <c r="F726" s="133" t="s">
        <v>3379</v>
      </c>
      <c r="G726" s="133" t="s">
        <v>3882</v>
      </c>
      <c r="H726" s="133">
        <f>VLOOKUP(G726,'packing mapping'!A:B,2,0)</f>
        <v>18</v>
      </c>
      <c r="I726" s="137">
        <v>4030740</v>
      </c>
      <c r="J726" s="132">
        <f t="shared" si="23"/>
        <v>223930</v>
      </c>
    </row>
    <row r="727" spans="1:10">
      <c r="A727" s="115" t="s">
        <v>293</v>
      </c>
      <c r="B727" s="115" t="s">
        <v>294</v>
      </c>
      <c r="C727" s="115" t="s">
        <v>1918</v>
      </c>
      <c r="D727" s="115" t="s">
        <v>1919</v>
      </c>
      <c r="E727" s="133" t="str">
        <f t="shared" si="22"/>
        <v>1200000103PUC-54205 SW 7023 40 TL VN</v>
      </c>
      <c r="F727" s="133" t="s">
        <v>3380</v>
      </c>
      <c r="G727" s="133" t="s">
        <v>3881</v>
      </c>
      <c r="H727" s="133">
        <f>VLOOKUP(G727,'packing mapping'!A:B,2,0)</f>
        <v>20</v>
      </c>
      <c r="I727" s="137">
        <v>4006400</v>
      </c>
      <c r="J727" s="132">
        <f t="shared" si="23"/>
        <v>200320</v>
      </c>
    </row>
    <row r="728" spans="1:10">
      <c r="A728" s="115" t="s">
        <v>293</v>
      </c>
      <c r="B728" s="115" t="s">
        <v>294</v>
      </c>
      <c r="C728" s="115" t="s">
        <v>1920</v>
      </c>
      <c r="D728" s="115" t="s">
        <v>1921</v>
      </c>
      <c r="E728" s="133" t="str">
        <f t="shared" si="22"/>
        <v>1200000103PUC-54206 AC EX SW 7069 40 TL VN</v>
      </c>
      <c r="F728" s="133" t="s">
        <v>3381</v>
      </c>
      <c r="G728" s="133" t="s">
        <v>3882</v>
      </c>
      <c r="H728" s="133">
        <f>VLOOKUP(G728,'packing mapping'!A:B,2,0)</f>
        <v>18</v>
      </c>
      <c r="I728" s="137">
        <v>3951540</v>
      </c>
      <c r="J728" s="132">
        <f t="shared" si="23"/>
        <v>219530</v>
      </c>
    </row>
    <row r="729" spans="1:10">
      <c r="A729" s="115" t="s">
        <v>293</v>
      </c>
      <c r="B729" s="115" t="s">
        <v>294</v>
      </c>
      <c r="C729" s="115" t="s">
        <v>1922</v>
      </c>
      <c r="D729" s="115" t="s">
        <v>1923</v>
      </c>
      <c r="E729" s="133" t="str">
        <f t="shared" si="22"/>
        <v>1200000103PUC-52239 AF 680 30 TL VN</v>
      </c>
      <c r="F729" s="133" t="s">
        <v>3382</v>
      </c>
      <c r="G729" s="133" t="s">
        <v>3881</v>
      </c>
      <c r="H729" s="133">
        <f>VLOOKUP(G729,'packing mapping'!A:B,2,0)</f>
        <v>20</v>
      </c>
      <c r="I729" s="137">
        <v>3216400</v>
      </c>
      <c r="J729" s="132">
        <f t="shared" si="23"/>
        <v>160820</v>
      </c>
    </row>
    <row r="730" spans="1:10">
      <c r="A730" s="115" t="s">
        <v>293</v>
      </c>
      <c r="B730" s="115" t="s">
        <v>294</v>
      </c>
      <c r="C730" s="115" t="s">
        <v>1924</v>
      </c>
      <c r="D730" s="115" t="s">
        <v>1925</v>
      </c>
      <c r="E730" s="133" t="str">
        <f t="shared" si="22"/>
        <v>1200000103PUC-54206 AC EX SW 7602 20 TL VN</v>
      </c>
      <c r="F730" s="133" t="s">
        <v>3383</v>
      </c>
      <c r="G730" s="133" t="s">
        <v>3882</v>
      </c>
      <c r="H730" s="133">
        <f>VLOOKUP(G730,'packing mapping'!A:B,2,0)</f>
        <v>18</v>
      </c>
      <c r="I730" s="137">
        <v>4535280</v>
      </c>
      <c r="J730" s="132">
        <f t="shared" si="23"/>
        <v>251960</v>
      </c>
    </row>
    <row r="731" spans="1:10">
      <c r="A731" s="115" t="s">
        <v>293</v>
      </c>
      <c r="B731" s="115" t="s">
        <v>294</v>
      </c>
      <c r="C731" s="115" t="s">
        <v>1926</v>
      </c>
      <c r="D731" s="115" t="s">
        <v>1927</v>
      </c>
      <c r="E731" s="133" t="str">
        <f t="shared" si="22"/>
        <v>1200000103PUC-52239 CABANA 10 TL VN</v>
      </c>
      <c r="F731" s="133" t="s">
        <v>3384</v>
      </c>
      <c r="G731" s="133" t="s">
        <v>3881</v>
      </c>
      <c r="H731" s="133">
        <f>VLOOKUP(G731,'packing mapping'!A:B,2,0)</f>
        <v>20</v>
      </c>
      <c r="I731" s="137">
        <v>3270200</v>
      </c>
      <c r="J731" s="132">
        <f t="shared" si="23"/>
        <v>163510</v>
      </c>
    </row>
    <row r="732" spans="1:10">
      <c r="A732" s="115" t="s">
        <v>293</v>
      </c>
      <c r="B732" s="115" t="s">
        <v>294</v>
      </c>
      <c r="C732" s="115" t="s">
        <v>1928</v>
      </c>
      <c r="D732" s="115" t="s">
        <v>1929</v>
      </c>
      <c r="E732" s="133" t="str">
        <f t="shared" si="22"/>
        <v>1200000103PUC-52241 SW 7598 20 TL VN</v>
      </c>
      <c r="F732" s="133" t="s">
        <v>3385</v>
      </c>
      <c r="G732" s="133" t="s">
        <v>3881</v>
      </c>
      <c r="H732" s="133">
        <f>VLOOKUP(G732,'packing mapping'!A:B,2,0)</f>
        <v>20</v>
      </c>
      <c r="I732" s="137">
        <v>2928600</v>
      </c>
      <c r="J732" s="132">
        <f t="shared" si="23"/>
        <v>146430</v>
      </c>
    </row>
    <row r="733" spans="1:10">
      <c r="A733" s="115" t="s">
        <v>293</v>
      </c>
      <c r="B733" s="115" t="s">
        <v>294</v>
      </c>
      <c r="C733" s="115" t="s">
        <v>1930</v>
      </c>
      <c r="D733" s="115" t="s">
        <v>1931</v>
      </c>
      <c r="E733" s="133" t="str">
        <f t="shared" si="22"/>
        <v>1200000103PUC-52239 FIN 5 20 TL VN</v>
      </c>
      <c r="F733" s="133" t="s">
        <v>3386</v>
      </c>
      <c r="G733" s="133" t="s">
        <v>3881</v>
      </c>
      <c r="H733" s="133">
        <f>VLOOKUP(G733,'packing mapping'!A:B,2,0)</f>
        <v>20</v>
      </c>
      <c r="I733" s="137">
        <v>3212000</v>
      </c>
      <c r="J733" s="132">
        <f t="shared" si="23"/>
        <v>160600</v>
      </c>
    </row>
    <row r="734" spans="1:10">
      <c r="A734" s="115" t="s">
        <v>293</v>
      </c>
      <c r="B734" s="115" t="s">
        <v>294</v>
      </c>
      <c r="C734" s="115" t="s">
        <v>1932</v>
      </c>
      <c r="D734" s="115" t="s">
        <v>1933</v>
      </c>
      <c r="E734" s="133" t="str">
        <f t="shared" si="22"/>
        <v>1200000103PUC-54205 FIN 6 40 TL VN</v>
      </c>
      <c r="F734" s="133" t="s">
        <v>3387</v>
      </c>
      <c r="G734" s="133" t="s">
        <v>3881</v>
      </c>
      <c r="H734" s="133">
        <f>VLOOKUP(G734,'packing mapping'!A:B,2,0)</f>
        <v>20</v>
      </c>
      <c r="I734" s="137">
        <v>4068600</v>
      </c>
      <c r="J734" s="132">
        <f t="shared" si="23"/>
        <v>203430</v>
      </c>
    </row>
    <row r="735" spans="1:10">
      <c r="A735" s="115" t="s">
        <v>293</v>
      </c>
      <c r="B735" s="115" t="s">
        <v>294</v>
      </c>
      <c r="C735" s="115" t="s">
        <v>1934</v>
      </c>
      <c r="D735" s="115" t="s">
        <v>1935</v>
      </c>
      <c r="E735" s="133" t="str">
        <f t="shared" si="22"/>
        <v>1200000103PUC-52239 GREY PT04 10 TL VN</v>
      </c>
      <c r="F735" s="133" t="s">
        <v>3388</v>
      </c>
      <c r="G735" s="133" t="s">
        <v>3881</v>
      </c>
      <c r="H735" s="133">
        <f>VLOOKUP(G735,'packing mapping'!A:B,2,0)</f>
        <v>20</v>
      </c>
      <c r="I735" s="137">
        <v>2909400</v>
      </c>
      <c r="J735" s="132">
        <f t="shared" si="23"/>
        <v>145470</v>
      </c>
    </row>
    <row r="736" spans="1:10">
      <c r="A736" s="115" t="s">
        <v>293</v>
      </c>
      <c r="B736" s="115" t="s">
        <v>294</v>
      </c>
      <c r="C736" s="115" t="s">
        <v>1936</v>
      </c>
      <c r="D736" s="115" t="s">
        <v>1937</v>
      </c>
      <c r="E736" s="133" t="str">
        <f t="shared" si="22"/>
        <v>1200000103AP-98200 170 VN</v>
      </c>
      <c r="F736" s="133" t="s">
        <v>3389</v>
      </c>
      <c r="G736" s="133" t="s">
        <v>3894</v>
      </c>
      <c r="H736" s="133">
        <f>VLOOKUP(G736,'packing mapping'!A:B,2,0)</f>
        <v>1</v>
      </c>
      <c r="I736" s="137">
        <v>1882140</v>
      </c>
      <c r="J736" s="132">
        <f t="shared" si="23"/>
        <v>1882140</v>
      </c>
    </row>
    <row r="737" spans="1:10">
      <c r="A737" s="115" t="s">
        <v>293</v>
      </c>
      <c r="B737" s="115" t="s">
        <v>294</v>
      </c>
      <c r="C737" s="115" t="s">
        <v>1426</v>
      </c>
      <c r="D737" s="115" t="s">
        <v>1427</v>
      </c>
      <c r="E737" s="133" t="str">
        <f t="shared" si="22"/>
        <v>1200000103WBST-13100 C10 BLUE</v>
      </c>
      <c r="F737" s="133" t="s">
        <v>3161</v>
      </c>
      <c r="G737" s="133" t="s">
        <v>3883</v>
      </c>
      <c r="H737" s="133">
        <f>VLOOKUP(G737,'packing mapping'!A:B,2,0)</f>
        <v>4</v>
      </c>
      <c r="I737" s="137">
        <v>1179200</v>
      </c>
      <c r="J737" s="132">
        <f t="shared" si="23"/>
        <v>294800</v>
      </c>
    </row>
    <row r="738" spans="1:10">
      <c r="A738" s="115" t="s">
        <v>293</v>
      </c>
      <c r="B738" s="115" t="s">
        <v>294</v>
      </c>
      <c r="C738" s="115" t="s">
        <v>1938</v>
      </c>
      <c r="D738" s="115" t="s">
        <v>1939</v>
      </c>
      <c r="E738" s="133" t="str">
        <f t="shared" si="22"/>
        <v>1200000103PCL-31300 BLUE OG PASTE AF VN</v>
      </c>
      <c r="F738" s="133" t="s">
        <v>3390</v>
      </c>
      <c r="G738" s="133" t="s">
        <v>3883</v>
      </c>
      <c r="H738" s="133">
        <f>VLOOKUP(G738,'packing mapping'!A:B,2,0)</f>
        <v>4</v>
      </c>
      <c r="I738" s="137">
        <v>2384720</v>
      </c>
      <c r="J738" s="132">
        <f t="shared" si="23"/>
        <v>596180</v>
      </c>
    </row>
    <row r="739" spans="1:10">
      <c r="A739" s="115" t="s">
        <v>293</v>
      </c>
      <c r="B739" s="115" t="s">
        <v>294</v>
      </c>
      <c r="C739" s="115" t="s">
        <v>1940</v>
      </c>
      <c r="D739" s="115" t="s">
        <v>1941</v>
      </c>
      <c r="E739" s="133" t="str">
        <f t="shared" si="22"/>
        <v>1200000103PUC-54206 AC EX GREYFIN3 10 TLVN</v>
      </c>
      <c r="F739" s="133" t="s">
        <v>3391</v>
      </c>
      <c r="G739" s="133" t="s">
        <v>3882</v>
      </c>
      <c r="H739" s="133">
        <f>VLOOKUP(G739,'packing mapping'!A:B,2,0)</f>
        <v>18</v>
      </c>
      <c r="I739" s="137">
        <v>3923820</v>
      </c>
      <c r="J739" s="132">
        <f t="shared" si="23"/>
        <v>217990</v>
      </c>
    </row>
    <row r="740" spans="1:10">
      <c r="A740" s="115" t="s">
        <v>293</v>
      </c>
      <c r="B740" s="115" t="s">
        <v>294</v>
      </c>
      <c r="C740" s="115" t="s">
        <v>1512</v>
      </c>
      <c r="D740" s="115" t="s">
        <v>1513</v>
      </c>
      <c r="E740" s="133" t="str">
        <f t="shared" si="22"/>
        <v>1200000103PCL-31300 VIOLET PASTE AF VN</v>
      </c>
      <c r="F740" s="133" t="s">
        <v>3196</v>
      </c>
      <c r="G740" s="133" t="s">
        <v>3883</v>
      </c>
      <c r="H740" s="133">
        <f>VLOOKUP(G740,'packing mapping'!A:B,2,0)</f>
        <v>4</v>
      </c>
      <c r="I740" s="137">
        <v>2685000</v>
      </c>
      <c r="J740" s="132">
        <f t="shared" si="23"/>
        <v>671250</v>
      </c>
    </row>
    <row r="741" spans="1:10">
      <c r="A741" s="115" t="s">
        <v>293</v>
      </c>
      <c r="B741" s="115" t="s">
        <v>294</v>
      </c>
      <c r="C741" s="115" t="s">
        <v>1942</v>
      </c>
      <c r="D741" s="115" t="s">
        <v>1943</v>
      </c>
      <c r="E741" s="133" t="str">
        <f t="shared" si="22"/>
        <v>1200000103PUP-52141 XAM TL VN</v>
      </c>
      <c r="F741" s="133" t="s">
        <v>3392</v>
      </c>
      <c r="G741" s="133" t="s">
        <v>3881</v>
      </c>
      <c r="H741" s="133">
        <f>VLOOKUP(G741,'packing mapping'!A:B,2,0)</f>
        <v>20</v>
      </c>
      <c r="I741" s="137">
        <v>2399000</v>
      </c>
      <c r="J741" s="132">
        <f t="shared" si="23"/>
        <v>119950</v>
      </c>
    </row>
    <row r="742" spans="1:10">
      <c r="A742" s="115" t="s">
        <v>293</v>
      </c>
      <c r="B742" s="115" t="s">
        <v>294</v>
      </c>
      <c r="C742" s="115" t="s">
        <v>1944</v>
      </c>
      <c r="D742" s="115" t="s">
        <v>1945</v>
      </c>
      <c r="E742" s="133" t="str">
        <f t="shared" si="22"/>
        <v>1200000103WBL-61204 CLEAR 10 VN</v>
      </c>
      <c r="F742" s="133" t="s">
        <v>3393</v>
      </c>
      <c r="G742" s="133" t="s">
        <v>3881</v>
      </c>
      <c r="H742" s="133">
        <f>VLOOKUP(G742,'packing mapping'!A:B,2,0)</f>
        <v>20</v>
      </c>
      <c r="I742" s="137">
        <v>2596000</v>
      </c>
      <c r="J742" s="132">
        <f t="shared" si="23"/>
        <v>129800</v>
      </c>
    </row>
    <row r="743" spans="1:10">
      <c r="A743" s="115" t="s">
        <v>293</v>
      </c>
      <c r="B743" s="115" t="s">
        <v>294</v>
      </c>
      <c r="C743" s="115" t="s">
        <v>1430</v>
      </c>
      <c r="D743" s="115" t="s">
        <v>1431</v>
      </c>
      <c r="E743" s="133" t="str">
        <f t="shared" si="22"/>
        <v>1200000103WBST-13100 BLACK VN</v>
      </c>
      <c r="F743" s="133" t="s">
        <v>3163</v>
      </c>
      <c r="G743" s="133" t="s">
        <v>3883</v>
      </c>
      <c r="H743" s="133">
        <f>VLOOKUP(G743,'packing mapping'!A:B,2,0)</f>
        <v>4</v>
      </c>
      <c r="I743" s="137">
        <v>3827600</v>
      </c>
      <c r="J743" s="132">
        <f t="shared" si="23"/>
        <v>956900</v>
      </c>
    </row>
    <row r="744" spans="1:10">
      <c r="A744" s="115" t="s">
        <v>293</v>
      </c>
      <c r="B744" s="115" t="s">
        <v>294</v>
      </c>
      <c r="C744" s="115" t="s">
        <v>1432</v>
      </c>
      <c r="D744" s="115" t="s">
        <v>1433</v>
      </c>
      <c r="E744" s="133" t="str">
        <f t="shared" si="22"/>
        <v>1200000103WBST-13100 RED VN</v>
      </c>
      <c r="F744" s="133" t="s">
        <v>3164</v>
      </c>
      <c r="G744" s="133" t="s">
        <v>3883</v>
      </c>
      <c r="H744" s="133">
        <f>VLOOKUP(G744,'packing mapping'!A:B,2,0)</f>
        <v>4</v>
      </c>
      <c r="I744" s="137">
        <v>3994000</v>
      </c>
      <c r="J744" s="132">
        <f t="shared" si="23"/>
        <v>998500</v>
      </c>
    </row>
    <row r="745" spans="1:10">
      <c r="A745" s="115" t="s">
        <v>293</v>
      </c>
      <c r="B745" s="115" t="s">
        <v>294</v>
      </c>
      <c r="C745" s="115" t="s">
        <v>1434</v>
      </c>
      <c r="D745" s="115" t="s">
        <v>1435</v>
      </c>
      <c r="E745" s="133" t="str">
        <f t="shared" si="22"/>
        <v>1200000103WBST-13100 YELLOW VN</v>
      </c>
      <c r="F745" s="133" t="s">
        <v>3165</v>
      </c>
      <c r="G745" s="133" t="s">
        <v>3883</v>
      </c>
      <c r="H745" s="133">
        <f>VLOOKUP(G745,'packing mapping'!A:B,2,0)</f>
        <v>4</v>
      </c>
      <c r="I745" s="137">
        <v>4336400</v>
      </c>
      <c r="J745" s="132">
        <f t="shared" si="23"/>
        <v>1084100</v>
      </c>
    </row>
    <row r="746" spans="1:10">
      <c r="A746" s="115" t="s">
        <v>293</v>
      </c>
      <c r="B746" s="115" t="s">
        <v>294</v>
      </c>
      <c r="C746" s="115" t="s">
        <v>1946</v>
      </c>
      <c r="D746" s="115" t="s">
        <v>1947</v>
      </c>
      <c r="E746" s="133" t="str">
        <f t="shared" si="22"/>
        <v>1200000103UVF-10301 VN</v>
      </c>
      <c r="F746" s="133" t="s">
        <v>3394</v>
      </c>
      <c r="G746" s="133" t="s">
        <v>3881</v>
      </c>
      <c r="H746" s="133">
        <f>VLOOKUP(G746,'packing mapping'!A:B,2,0)</f>
        <v>20</v>
      </c>
      <c r="I746" s="137">
        <v>2789000</v>
      </c>
      <c r="J746" s="132">
        <f t="shared" si="23"/>
        <v>139450</v>
      </c>
    </row>
    <row r="747" spans="1:10">
      <c r="A747" s="115" t="s">
        <v>293</v>
      </c>
      <c r="B747" s="115" t="s">
        <v>294</v>
      </c>
      <c r="C747" s="115" t="s">
        <v>1824</v>
      </c>
      <c r="D747" s="115" t="s">
        <v>1825</v>
      </c>
      <c r="E747" s="133" t="str">
        <f t="shared" si="22"/>
        <v>1200000103UVP-60301 WHITE VN</v>
      </c>
      <c r="F747" s="133" t="s">
        <v>3336</v>
      </c>
      <c r="G747" s="133" t="s">
        <v>3881</v>
      </c>
      <c r="H747" s="133">
        <f>VLOOKUP(G747,'packing mapping'!A:B,2,0)</f>
        <v>20</v>
      </c>
      <c r="I747" s="137">
        <v>3288400</v>
      </c>
      <c r="J747" s="132">
        <f t="shared" si="23"/>
        <v>164420</v>
      </c>
    </row>
    <row r="748" spans="1:10">
      <c r="A748" s="115" t="s">
        <v>293</v>
      </c>
      <c r="B748" s="115" t="s">
        <v>294</v>
      </c>
      <c r="C748" s="115" t="s">
        <v>1948</v>
      </c>
      <c r="D748" s="115" t="s">
        <v>1949</v>
      </c>
      <c r="E748" s="133" t="str">
        <f t="shared" si="22"/>
        <v>1200000103PUC-52239 GREY LSX015 20 TL VN</v>
      </c>
      <c r="F748" s="133" t="s">
        <v>3395</v>
      </c>
      <c r="G748" s="133" t="s">
        <v>3881</v>
      </c>
      <c r="H748" s="133">
        <f>VLOOKUP(G748,'packing mapping'!A:B,2,0)</f>
        <v>20</v>
      </c>
      <c r="I748" s="137">
        <v>3058400</v>
      </c>
      <c r="J748" s="132">
        <f t="shared" si="23"/>
        <v>152920</v>
      </c>
    </row>
    <row r="749" spans="1:10">
      <c r="A749" s="115" t="s">
        <v>293</v>
      </c>
      <c r="B749" s="115" t="s">
        <v>294</v>
      </c>
      <c r="C749" s="115" t="s">
        <v>1950</v>
      </c>
      <c r="D749" s="115" t="s">
        <v>1951</v>
      </c>
      <c r="E749" s="133" t="str">
        <f t="shared" si="22"/>
        <v>1200000103PUC-52239 BE SW7524 20 TL VN</v>
      </c>
      <c r="F749" s="133" t="s">
        <v>3396</v>
      </c>
      <c r="G749" s="133" t="s">
        <v>3881</v>
      </c>
      <c r="H749" s="133">
        <f>VLOOKUP(G749,'packing mapping'!A:B,2,0)</f>
        <v>20</v>
      </c>
      <c r="I749" s="137">
        <v>3117600</v>
      </c>
      <c r="J749" s="132">
        <f t="shared" si="23"/>
        <v>155880</v>
      </c>
    </row>
    <row r="750" spans="1:10">
      <c r="A750" s="115" t="s">
        <v>293</v>
      </c>
      <c r="B750" s="115" t="s">
        <v>294</v>
      </c>
      <c r="C750" s="115" t="s">
        <v>1952</v>
      </c>
      <c r="D750" s="115" t="s">
        <v>1953</v>
      </c>
      <c r="E750" s="133" t="str">
        <f t="shared" si="22"/>
        <v>1200000103PUC-54206 AC EX GRN6208 20 TL VN</v>
      </c>
      <c r="F750" s="133" t="s">
        <v>3397</v>
      </c>
      <c r="G750" s="133" t="s">
        <v>3882</v>
      </c>
      <c r="H750" s="133">
        <f>VLOOKUP(G750,'packing mapping'!A:B,2,0)</f>
        <v>18</v>
      </c>
      <c r="I750" s="137">
        <v>3955320</v>
      </c>
      <c r="J750" s="132">
        <f t="shared" si="23"/>
        <v>219740</v>
      </c>
    </row>
    <row r="751" spans="1:10">
      <c r="A751" s="115" t="s">
        <v>293</v>
      </c>
      <c r="B751" s="115" t="s">
        <v>294</v>
      </c>
      <c r="C751" s="115" t="s">
        <v>1954</v>
      </c>
      <c r="D751" s="115" t="s">
        <v>1955</v>
      </c>
      <c r="E751" s="133" t="str">
        <f t="shared" si="22"/>
        <v>1200000103PUC-54206 AC EX XAM209 20 TL VN</v>
      </c>
      <c r="F751" s="133" t="s">
        <v>3398</v>
      </c>
      <c r="G751" s="133" t="s">
        <v>3882</v>
      </c>
      <c r="H751" s="133">
        <f>VLOOKUP(G751,'packing mapping'!A:B,2,0)</f>
        <v>18</v>
      </c>
      <c r="I751" s="137">
        <v>3980880</v>
      </c>
      <c r="J751" s="132">
        <f t="shared" si="23"/>
        <v>221160</v>
      </c>
    </row>
    <row r="752" spans="1:10">
      <c r="A752" s="115" t="s">
        <v>293</v>
      </c>
      <c r="B752" s="115" t="s">
        <v>294</v>
      </c>
      <c r="C752" s="115" t="s">
        <v>1956</v>
      </c>
      <c r="D752" s="115" t="s">
        <v>1957</v>
      </c>
      <c r="E752" s="133" t="str">
        <f t="shared" si="22"/>
        <v>1200000103PUP-52141 BLACK RAL7021 TL VN</v>
      </c>
      <c r="F752" s="133" t="s">
        <v>3399</v>
      </c>
      <c r="G752" s="133" t="s">
        <v>3881</v>
      </c>
      <c r="H752" s="133">
        <f>VLOOKUP(G752,'packing mapping'!A:B,2,0)</f>
        <v>20</v>
      </c>
      <c r="I752" s="137">
        <v>2554400</v>
      </c>
      <c r="J752" s="132">
        <f t="shared" si="23"/>
        <v>127720</v>
      </c>
    </row>
    <row r="753" spans="1:10">
      <c r="A753" s="115" t="s">
        <v>293</v>
      </c>
      <c r="B753" s="115" t="s">
        <v>294</v>
      </c>
      <c r="C753" s="115" t="s">
        <v>1958</v>
      </c>
      <c r="D753" s="115" t="s">
        <v>1959</v>
      </c>
      <c r="E753" s="133" t="str">
        <f t="shared" si="22"/>
        <v>1200000103PUC-54206 AC EX DEN7021 60 TL VN</v>
      </c>
      <c r="F753" s="133" t="s">
        <v>3400</v>
      </c>
      <c r="G753" s="133" t="s">
        <v>3882</v>
      </c>
      <c r="H753" s="133">
        <f>VLOOKUP(G753,'packing mapping'!A:B,2,0)</f>
        <v>18</v>
      </c>
      <c r="I753" s="137">
        <v>3973140</v>
      </c>
      <c r="J753" s="132">
        <f t="shared" si="23"/>
        <v>220730</v>
      </c>
    </row>
    <row r="754" spans="1:10">
      <c r="A754" s="115" t="s">
        <v>293</v>
      </c>
      <c r="B754" s="115" t="s">
        <v>294</v>
      </c>
      <c r="C754" s="115" t="s">
        <v>1960</v>
      </c>
      <c r="D754" s="115" t="s">
        <v>1961</v>
      </c>
      <c r="E754" s="133" t="str">
        <f t="shared" si="22"/>
        <v>1200000103PUC-54205 AC WHITE1015 60 TL VN</v>
      </c>
      <c r="F754" s="133" t="s">
        <v>3401</v>
      </c>
      <c r="G754" s="133" t="s">
        <v>3881</v>
      </c>
      <c r="H754" s="133">
        <f>VLOOKUP(G754,'packing mapping'!A:B,2,0)</f>
        <v>20</v>
      </c>
      <c r="I754" s="137">
        <v>3507400</v>
      </c>
      <c r="J754" s="132">
        <f t="shared" si="23"/>
        <v>175370</v>
      </c>
    </row>
    <row r="755" spans="1:10">
      <c r="A755" s="115" t="s">
        <v>293</v>
      </c>
      <c r="B755" s="115" t="s">
        <v>294</v>
      </c>
      <c r="C755" s="115" t="s">
        <v>1962</v>
      </c>
      <c r="D755" s="115" t="s">
        <v>1963</v>
      </c>
      <c r="E755" s="133" t="str">
        <f t="shared" si="22"/>
        <v>1200000103PUC-54205 AC XAM 9170 60 TL VN</v>
      </c>
      <c r="F755" s="133" t="s">
        <v>3402</v>
      </c>
      <c r="G755" s="133" t="s">
        <v>3881</v>
      </c>
      <c r="H755" s="133">
        <f>VLOOKUP(G755,'packing mapping'!A:B,2,0)</f>
        <v>20</v>
      </c>
      <c r="I755" s="137">
        <v>3650000</v>
      </c>
      <c r="J755" s="132">
        <f t="shared" si="23"/>
        <v>182500</v>
      </c>
    </row>
    <row r="756" spans="1:10">
      <c r="A756" s="115" t="s">
        <v>293</v>
      </c>
      <c r="B756" s="115" t="s">
        <v>294</v>
      </c>
      <c r="C756" s="115" t="s">
        <v>1964</v>
      </c>
      <c r="D756" s="115" t="s">
        <v>1965</v>
      </c>
      <c r="E756" s="133" t="str">
        <f t="shared" si="22"/>
        <v>1200000103UVP-60301 XAM 209 TL VN</v>
      </c>
      <c r="F756" s="133" t="s">
        <v>3403</v>
      </c>
      <c r="G756" s="133" t="s">
        <v>3881</v>
      </c>
      <c r="H756" s="133">
        <f>VLOOKUP(G756,'packing mapping'!A:B,2,0)</f>
        <v>20</v>
      </c>
      <c r="I756" s="137">
        <v>3586400</v>
      </c>
      <c r="J756" s="132">
        <f t="shared" si="23"/>
        <v>179320</v>
      </c>
    </row>
    <row r="757" spans="1:10">
      <c r="A757" s="115" t="s">
        <v>293</v>
      </c>
      <c r="B757" s="115" t="s">
        <v>294</v>
      </c>
      <c r="C757" s="115" t="s">
        <v>1966</v>
      </c>
      <c r="D757" s="115" t="s">
        <v>1967</v>
      </c>
      <c r="E757" s="133" t="str">
        <f t="shared" si="22"/>
        <v>1200000103PUC-54206 AC EX NAU369 40 TL VN</v>
      </c>
      <c r="F757" s="133" t="s">
        <v>3404</v>
      </c>
      <c r="G757" s="133" t="s">
        <v>3882</v>
      </c>
      <c r="H757" s="133">
        <f>VLOOKUP(G757,'packing mapping'!A:B,2,0)</f>
        <v>18</v>
      </c>
      <c r="I757" s="137">
        <v>4071600</v>
      </c>
      <c r="J757" s="132">
        <f t="shared" si="23"/>
        <v>226200</v>
      </c>
    </row>
    <row r="758" spans="1:10">
      <c r="A758" s="115" t="s">
        <v>293</v>
      </c>
      <c r="B758" s="115" t="s">
        <v>294</v>
      </c>
      <c r="C758" s="115" t="s">
        <v>1968</v>
      </c>
      <c r="D758" s="115" t="s">
        <v>1969</v>
      </c>
      <c r="E758" s="133" t="str">
        <f t="shared" si="22"/>
        <v>1200000103PUC-54206 AC EX XAM7069 20 TL VN</v>
      </c>
      <c r="F758" s="133" t="s">
        <v>3405</v>
      </c>
      <c r="G758" s="133" t="s">
        <v>3882</v>
      </c>
      <c r="H758" s="133">
        <f>VLOOKUP(G758,'packing mapping'!A:B,2,0)</f>
        <v>18</v>
      </c>
      <c r="I758" s="137">
        <v>4168080</v>
      </c>
      <c r="J758" s="132">
        <f t="shared" si="23"/>
        <v>231560</v>
      </c>
    </row>
    <row r="759" spans="1:10">
      <c r="A759" s="115" t="s">
        <v>293</v>
      </c>
      <c r="B759" s="115" t="s">
        <v>294</v>
      </c>
      <c r="C759" s="115" t="s">
        <v>1970</v>
      </c>
      <c r="D759" s="115" t="s">
        <v>1971</v>
      </c>
      <c r="E759" s="133" t="str">
        <f t="shared" si="22"/>
        <v>1200000103PUC-52239 TRANG 7012 10 TL VN</v>
      </c>
      <c r="F759" s="133" t="s">
        <v>3406</v>
      </c>
      <c r="G759" s="133" t="s">
        <v>3881</v>
      </c>
      <c r="H759" s="133">
        <f>VLOOKUP(G759,'packing mapping'!A:B,2,0)</f>
        <v>20</v>
      </c>
      <c r="I759" s="137">
        <v>3278400</v>
      </c>
      <c r="J759" s="132">
        <f t="shared" si="23"/>
        <v>163920</v>
      </c>
    </row>
    <row r="760" spans="1:10">
      <c r="A760" s="115" t="s">
        <v>293</v>
      </c>
      <c r="B760" s="115" t="s">
        <v>294</v>
      </c>
      <c r="C760" s="115" t="s">
        <v>1972</v>
      </c>
      <c r="D760" s="115" t="s">
        <v>1973</v>
      </c>
      <c r="E760" s="133" t="str">
        <f t="shared" si="22"/>
        <v>1200000103PUC-54206 AC EX HONGPT1 20 TL VN</v>
      </c>
      <c r="F760" s="133" t="s">
        <v>3407</v>
      </c>
      <c r="G760" s="133" t="s">
        <v>3882</v>
      </c>
      <c r="H760" s="133">
        <f>VLOOKUP(G760,'packing mapping'!A:B,2,0)</f>
        <v>18</v>
      </c>
      <c r="I760" s="137">
        <v>4034520</v>
      </c>
      <c r="J760" s="132">
        <f t="shared" si="23"/>
        <v>224140</v>
      </c>
    </row>
    <row r="761" spans="1:10">
      <c r="A761" s="115" t="s">
        <v>293</v>
      </c>
      <c r="B761" s="115" t="s">
        <v>294</v>
      </c>
      <c r="C761" s="115" t="s">
        <v>1456</v>
      </c>
      <c r="D761" s="115" t="s">
        <v>1457</v>
      </c>
      <c r="E761" s="133" t="str">
        <f t="shared" si="22"/>
        <v>1200000103PS-15100 BASE VN</v>
      </c>
      <c r="F761" s="133" t="s">
        <v>3160</v>
      </c>
      <c r="G761" s="133" t="s">
        <v>3895</v>
      </c>
      <c r="H761" s="133">
        <f>VLOOKUP(G761,'packing mapping'!A:B,2,0)</f>
        <v>16</v>
      </c>
      <c r="I761" s="137">
        <v>1524800</v>
      </c>
      <c r="J761" s="132">
        <f t="shared" si="23"/>
        <v>95300</v>
      </c>
    </row>
    <row r="762" spans="1:10">
      <c r="A762" s="115" t="s">
        <v>293</v>
      </c>
      <c r="B762" s="115" t="s">
        <v>294</v>
      </c>
      <c r="C762" s="115" t="s">
        <v>1974</v>
      </c>
      <c r="D762" s="115" t="s">
        <v>1975</v>
      </c>
      <c r="E762" s="133" t="str">
        <f t="shared" si="22"/>
        <v>1200000103GZWB-21408 CLEAR BASE NEW VN</v>
      </c>
      <c r="F762" s="133" t="s">
        <v>3408</v>
      </c>
      <c r="G762" s="133" t="s">
        <v>3882</v>
      </c>
      <c r="H762" s="133">
        <f>VLOOKUP(G762,'packing mapping'!A:B,2,0)</f>
        <v>18</v>
      </c>
      <c r="I762" s="137">
        <v>1546200</v>
      </c>
      <c r="J762" s="132">
        <f t="shared" si="23"/>
        <v>85900</v>
      </c>
    </row>
    <row r="763" spans="1:10">
      <c r="A763" s="115" t="s">
        <v>293</v>
      </c>
      <c r="B763" s="115" t="s">
        <v>294</v>
      </c>
      <c r="C763" s="115" t="s">
        <v>1976</v>
      </c>
      <c r="D763" s="115" t="s">
        <v>1977</v>
      </c>
      <c r="E763" s="133" t="str">
        <f t="shared" si="22"/>
        <v>1200000103GZWB-21408 BLACK VN</v>
      </c>
      <c r="F763" s="133" t="s">
        <v>3409</v>
      </c>
      <c r="G763" s="133" t="s">
        <v>3886</v>
      </c>
      <c r="H763" s="133">
        <f>VLOOKUP(G763,'packing mapping'!A:B,2,0)</f>
        <v>5</v>
      </c>
      <c r="I763" s="137">
        <v>488000</v>
      </c>
      <c r="J763" s="132">
        <f t="shared" si="23"/>
        <v>97600</v>
      </c>
    </row>
    <row r="764" spans="1:10">
      <c r="A764" s="115" t="s">
        <v>293</v>
      </c>
      <c r="B764" s="115" t="s">
        <v>294</v>
      </c>
      <c r="C764" s="115" t="s">
        <v>1978</v>
      </c>
      <c r="D764" s="115" t="s">
        <v>1979</v>
      </c>
      <c r="E764" s="133" t="str">
        <f t="shared" si="22"/>
        <v>1200000103THC-73100 101 VN</v>
      </c>
      <c r="F764" s="133" t="s">
        <v>3410</v>
      </c>
      <c r="G764" s="133" t="s">
        <v>3895</v>
      </c>
      <c r="H764" s="133">
        <f>VLOOKUP(G764,'packing mapping'!A:B,2,0)</f>
        <v>16</v>
      </c>
      <c r="I764" s="137">
        <v>1144000</v>
      </c>
      <c r="J764" s="132">
        <f t="shared" si="23"/>
        <v>71500</v>
      </c>
    </row>
    <row r="765" spans="1:10">
      <c r="A765" s="115" t="s">
        <v>293</v>
      </c>
      <c r="B765" s="115" t="s">
        <v>294</v>
      </c>
      <c r="C765" s="115" t="s">
        <v>1980</v>
      </c>
      <c r="D765" s="115" t="s">
        <v>1981</v>
      </c>
      <c r="E765" s="133" t="str">
        <f t="shared" si="22"/>
        <v>1200000103UVP-60103 HF WHITE</v>
      </c>
      <c r="F765" s="133" t="s">
        <v>3411</v>
      </c>
      <c r="G765" s="133" t="s">
        <v>3900</v>
      </c>
      <c r="H765" s="133">
        <f>VLOOKUP(G765,'packing mapping'!A:B,2,0)</f>
        <v>30</v>
      </c>
      <c r="I765" s="137">
        <v>5218500</v>
      </c>
      <c r="J765" s="132">
        <f t="shared" si="23"/>
        <v>173950</v>
      </c>
    </row>
    <row r="766" spans="1:10">
      <c r="A766" s="115" t="s">
        <v>1087</v>
      </c>
      <c r="B766" s="115" t="s">
        <v>1088</v>
      </c>
      <c r="C766" s="115" t="s">
        <v>1188</v>
      </c>
      <c r="D766" s="115" t="s">
        <v>1189</v>
      </c>
      <c r="E766" s="133" t="str">
        <f t="shared" si="22"/>
        <v>1200001131PCA-31100 BLACK PASTE VN</v>
      </c>
      <c r="F766" s="133" t="s">
        <v>3048</v>
      </c>
      <c r="G766" s="133" t="s">
        <v>3883</v>
      </c>
      <c r="H766" s="133">
        <f>VLOOKUP(G766,'packing mapping'!A:B,2,0)</f>
        <v>4</v>
      </c>
      <c r="I766" s="137">
        <v>1151200</v>
      </c>
      <c r="J766" s="132">
        <f t="shared" si="23"/>
        <v>287800</v>
      </c>
    </row>
    <row r="767" spans="1:10">
      <c r="A767" s="115" t="s">
        <v>1087</v>
      </c>
      <c r="B767" s="115" t="s">
        <v>1088</v>
      </c>
      <c r="C767" s="115" t="s">
        <v>1982</v>
      </c>
      <c r="D767" s="115" t="s">
        <v>1983</v>
      </c>
      <c r="E767" s="133" t="str">
        <f t="shared" si="22"/>
        <v>1200001131PUL-51341 CLEAR 05 VN</v>
      </c>
      <c r="F767" s="133" t="s">
        <v>3412</v>
      </c>
      <c r="G767" s="133" t="s">
        <v>3882</v>
      </c>
      <c r="H767" s="133">
        <f>VLOOKUP(G767,'packing mapping'!A:B,2,0)</f>
        <v>18</v>
      </c>
      <c r="I767" s="137">
        <v>2069640</v>
      </c>
      <c r="J767" s="132">
        <f t="shared" si="23"/>
        <v>114980</v>
      </c>
    </row>
    <row r="768" spans="1:10">
      <c r="A768" s="115" t="s">
        <v>1087</v>
      </c>
      <c r="B768" s="115" t="s">
        <v>1088</v>
      </c>
      <c r="C768" s="115" t="s">
        <v>1718</v>
      </c>
      <c r="D768" s="115" t="s">
        <v>1719</v>
      </c>
      <c r="E768" s="133" t="str">
        <f t="shared" si="22"/>
        <v>1200001131PUL-51341 CLEAR 10 VN</v>
      </c>
      <c r="F768" s="133" t="s">
        <v>3294</v>
      </c>
      <c r="G768" s="133" t="s">
        <v>3882</v>
      </c>
      <c r="H768" s="133">
        <f>VLOOKUP(G768,'packing mapping'!A:B,2,0)</f>
        <v>18</v>
      </c>
      <c r="I768" s="137">
        <v>2154600</v>
      </c>
      <c r="J768" s="132">
        <f t="shared" si="23"/>
        <v>119700</v>
      </c>
    </row>
    <row r="769" spans="1:10">
      <c r="A769" s="115" t="s">
        <v>1087</v>
      </c>
      <c r="B769" s="115" t="s">
        <v>1088</v>
      </c>
      <c r="C769" s="115" t="s">
        <v>1874</v>
      </c>
      <c r="D769" s="115" t="s">
        <v>1875</v>
      </c>
      <c r="E769" s="133" t="str">
        <f t="shared" si="22"/>
        <v>1200001131PUL-51341 CLEAR 20 VN</v>
      </c>
      <c r="F769" s="133" t="s">
        <v>3360</v>
      </c>
      <c r="G769" s="133" t="s">
        <v>3882</v>
      </c>
      <c r="H769" s="133">
        <f>VLOOKUP(G769,'packing mapping'!A:B,2,0)</f>
        <v>18</v>
      </c>
      <c r="I769" s="137">
        <v>2061000</v>
      </c>
      <c r="J769" s="132">
        <f t="shared" si="23"/>
        <v>114500</v>
      </c>
    </row>
    <row r="770" spans="1:10">
      <c r="A770" s="115" t="s">
        <v>1087</v>
      </c>
      <c r="B770" s="115" t="s">
        <v>1088</v>
      </c>
      <c r="C770" s="115" t="s">
        <v>1478</v>
      </c>
      <c r="D770" s="115" t="s">
        <v>1479</v>
      </c>
      <c r="E770" s="133" t="str">
        <f t="shared" si="22"/>
        <v>1200001131PUSS-51241 VN</v>
      </c>
      <c r="F770" s="133" t="s">
        <v>3185</v>
      </c>
      <c r="G770" s="133" t="s">
        <v>3881</v>
      </c>
      <c r="H770" s="133">
        <f>VLOOKUP(G770,'packing mapping'!A:B,2,0)</f>
        <v>20</v>
      </c>
      <c r="I770" s="137">
        <v>1835400</v>
      </c>
      <c r="J770" s="132">
        <f t="shared" si="23"/>
        <v>91770</v>
      </c>
    </row>
    <row r="771" spans="1:10">
      <c r="A771" s="115" t="s">
        <v>1087</v>
      </c>
      <c r="B771" s="115" t="s">
        <v>1088</v>
      </c>
      <c r="C771" s="115" t="s">
        <v>1880</v>
      </c>
      <c r="D771" s="115" t="s">
        <v>1881</v>
      </c>
      <c r="E771" s="133" t="str">
        <f t="shared" ref="E771:E834" si="24">A771&amp;F771</f>
        <v>1200001131PUSS-51241 VN</v>
      </c>
      <c r="F771" s="133" t="s">
        <v>3185</v>
      </c>
      <c r="G771" s="133" t="s">
        <v>3889</v>
      </c>
      <c r="H771" s="133">
        <f>VLOOKUP(G771,'packing mapping'!A:B,2,0)</f>
        <v>200</v>
      </c>
      <c r="I771" s="137">
        <v>16422000</v>
      </c>
      <c r="J771" s="132">
        <f t="shared" ref="J771:J834" si="25">I771/H771</f>
        <v>82110</v>
      </c>
    </row>
    <row r="772" spans="1:10">
      <c r="A772" s="115" t="s">
        <v>1087</v>
      </c>
      <c r="B772" s="115" t="s">
        <v>1088</v>
      </c>
      <c r="C772" s="115" t="s">
        <v>1242</v>
      </c>
      <c r="D772" s="115" t="s">
        <v>1243</v>
      </c>
      <c r="E772" s="133" t="str">
        <f t="shared" si="24"/>
        <v>1200001131THPU-71306 ST VN</v>
      </c>
      <c r="F772" s="133" t="s">
        <v>3039</v>
      </c>
      <c r="G772" s="133" t="s">
        <v>3884</v>
      </c>
      <c r="H772" s="133">
        <f>VLOOKUP(G772,'packing mapping'!A:B,2,0)</f>
        <v>200</v>
      </c>
      <c r="I772" s="137">
        <v>10350000</v>
      </c>
      <c r="J772" s="132">
        <f t="shared" si="25"/>
        <v>51750</v>
      </c>
    </row>
    <row r="773" spans="1:10">
      <c r="A773" s="115" t="s">
        <v>1087</v>
      </c>
      <c r="B773" s="115" t="s">
        <v>1088</v>
      </c>
      <c r="C773" s="115" t="s">
        <v>1170</v>
      </c>
      <c r="D773" s="115" t="s">
        <v>1171</v>
      </c>
      <c r="E773" s="133" t="str">
        <f t="shared" si="24"/>
        <v>1200001131THPU-71306 ST VN</v>
      </c>
      <c r="F773" s="133" t="s">
        <v>3039</v>
      </c>
      <c r="G773" s="133" t="s">
        <v>3880</v>
      </c>
      <c r="H773" s="133">
        <f>VLOOKUP(G773,'packing mapping'!A:B,2,0)</f>
        <v>20</v>
      </c>
      <c r="I773" s="137">
        <v>1178000</v>
      </c>
      <c r="J773" s="132">
        <f t="shared" si="25"/>
        <v>58900</v>
      </c>
    </row>
    <row r="774" spans="1:10">
      <c r="A774" s="115" t="s">
        <v>1087</v>
      </c>
      <c r="B774" s="115" t="s">
        <v>1088</v>
      </c>
      <c r="C774" s="115" t="s">
        <v>1172</v>
      </c>
      <c r="D774" s="115" t="s">
        <v>1173</v>
      </c>
      <c r="E774" s="133" t="str">
        <f t="shared" si="24"/>
        <v>1200001131PUH-56135 S VN</v>
      </c>
      <c r="F774" s="133" t="s">
        <v>3040</v>
      </c>
      <c r="G774" s="133" t="s">
        <v>3881</v>
      </c>
      <c r="H774" s="133">
        <f>VLOOKUP(G774,'packing mapping'!A:B,2,0)</f>
        <v>20</v>
      </c>
      <c r="I774" s="137">
        <v>2050000</v>
      </c>
      <c r="J774" s="132">
        <f t="shared" si="25"/>
        <v>102500</v>
      </c>
    </row>
    <row r="775" spans="1:10">
      <c r="A775" s="115" t="s">
        <v>1087</v>
      </c>
      <c r="B775" s="115" t="s">
        <v>1088</v>
      </c>
      <c r="C775" s="115" t="s">
        <v>1176</v>
      </c>
      <c r="D775" s="115" t="s">
        <v>1177</v>
      </c>
      <c r="E775" s="133" t="str">
        <f t="shared" si="24"/>
        <v>1200001131PUSS-51235 VN</v>
      </c>
      <c r="F775" s="133" t="s">
        <v>3042</v>
      </c>
      <c r="G775" s="133" t="s">
        <v>3881</v>
      </c>
      <c r="H775" s="133">
        <f>VLOOKUP(G775,'packing mapping'!A:B,2,0)</f>
        <v>20</v>
      </c>
      <c r="I775" s="137">
        <v>1922000</v>
      </c>
      <c r="J775" s="132">
        <f t="shared" si="25"/>
        <v>96100</v>
      </c>
    </row>
    <row r="776" spans="1:10">
      <c r="A776" s="115" t="s">
        <v>1087</v>
      </c>
      <c r="B776" s="115" t="s">
        <v>1088</v>
      </c>
      <c r="C776" s="115" t="s">
        <v>1496</v>
      </c>
      <c r="D776" s="115" t="s">
        <v>1497</v>
      </c>
      <c r="E776" s="133" t="str">
        <f t="shared" si="24"/>
        <v>1200001131PUH-56141 VN</v>
      </c>
      <c r="F776" s="133" t="s">
        <v>3189</v>
      </c>
      <c r="G776" s="133" t="s">
        <v>3881</v>
      </c>
      <c r="H776" s="133">
        <f>VLOOKUP(G776,'packing mapping'!A:B,2,0)</f>
        <v>20</v>
      </c>
      <c r="I776" s="137">
        <v>1709400</v>
      </c>
      <c r="J776" s="132">
        <f t="shared" si="25"/>
        <v>85470</v>
      </c>
    </row>
    <row r="777" spans="1:10">
      <c r="A777" s="115" t="s">
        <v>1087</v>
      </c>
      <c r="B777" s="115" t="s">
        <v>1088</v>
      </c>
      <c r="C777" s="115" t="s">
        <v>1984</v>
      </c>
      <c r="D777" s="115" t="s">
        <v>1985</v>
      </c>
      <c r="E777" s="133" t="str">
        <f t="shared" si="24"/>
        <v>1200001131PUL-51339 SR CLEAR 05 VN</v>
      </c>
      <c r="F777" s="133" t="s">
        <v>3413</v>
      </c>
      <c r="G777" s="133" t="s">
        <v>3882</v>
      </c>
      <c r="H777" s="133">
        <f>VLOOKUP(G777,'packing mapping'!A:B,2,0)</f>
        <v>18</v>
      </c>
      <c r="I777" s="137">
        <v>3394800</v>
      </c>
      <c r="J777" s="132">
        <f t="shared" si="25"/>
        <v>188600</v>
      </c>
    </row>
    <row r="778" spans="1:10">
      <c r="A778" s="115" t="s">
        <v>1087</v>
      </c>
      <c r="B778" s="115" t="s">
        <v>1088</v>
      </c>
      <c r="C778" s="115" t="s">
        <v>1986</v>
      </c>
      <c r="D778" s="115" t="s">
        <v>1987</v>
      </c>
      <c r="E778" s="133" t="str">
        <f t="shared" si="24"/>
        <v>1200001131PUP-52135 BLACK SOFTSOOT TRT VN</v>
      </c>
      <c r="F778" s="133" t="s">
        <v>3414</v>
      </c>
      <c r="G778" s="133" t="s">
        <v>3881</v>
      </c>
      <c r="H778" s="133">
        <f>VLOOKUP(G778,'packing mapping'!A:B,2,0)</f>
        <v>20</v>
      </c>
      <c r="I778" s="137">
        <v>2440000</v>
      </c>
      <c r="J778" s="132">
        <f t="shared" si="25"/>
        <v>122000</v>
      </c>
    </row>
    <row r="779" spans="1:10">
      <c r="A779" s="115" t="s">
        <v>850</v>
      </c>
      <c r="B779" s="115" t="s">
        <v>851</v>
      </c>
      <c r="C779" s="115" t="s">
        <v>1192</v>
      </c>
      <c r="D779" s="115" t="s">
        <v>1193</v>
      </c>
      <c r="E779" s="133" t="str">
        <f t="shared" si="24"/>
        <v>1200000893PCL-31300 BLACK PASTE</v>
      </c>
      <c r="F779" s="133" t="s">
        <v>3050</v>
      </c>
      <c r="G779" s="133" t="s">
        <v>3883</v>
      </c>
      <c r="H779" s="133">
        <f>VLOOKUP(G779,'packing mapping'!A:B,2,0)</f>
        <v>4</v>
      </c>
      <c r="I779" s="137">
        <v>1637400</v>
      </c>
      <c r="J779" s="132">
        <f t="shared" si="25"/>
        <v>409350</v>
      </c>
    </row>
    <row r="780" spans="1:10">
      <c r="A780" s="115" t="s">
        <v>850</v>
      </c>
      <c r="B780" s="115" t="s">
        <v>851</v>
      </c>
      <c r="C780" s="115" t="s">
        <v>1194</v>
      </c>
      <c r="D780" s="115" t="s">
        <v>1195</v>
      </c>
      <c r="E780" s="133" t="str">
        <f t="shared" si="24"/>
        <v>1200000893PCL-31300 BLUE OG PASTE</v>
      </c>
      <c r="F780" s="133" t="s">
        <v>3051</v>
      </c>
      <c r="G780" s="133" t="s">
        <v>3883</v>
      </c>
      <c r="H780" s="133">
        <f>VLOOKUP(G780,'packing mapping'!A:B,2,0)</f>
        <v>4</v>
      </c>
      <c r="I780" s="137">
        <v>2094960</v>
      </c>
      <c r="J780" s="132">
        <f t="shared" si="25"/>
        <v>523740</v>
      </c>
    </row>
    <row r="781" spans="1:10">
      <c r="A781" s="115" t="s">
        <v>850</v>
      </c>
      <c r="B781" s="115" t="s">
        <v>851</v>
      </c>
      <c r="C781" s="115" t="s">
        <v>1988</v>
      </c>
      <c r="D781" s="115" t="s">
        <v>1989</v>
      </c>
      <c r="E781" s="133" t="str">
        <f t="shared" si="24"/>
        <v>1200000893PCL-31300 GREEN OB PASTE</v>
      </c>
      <c r="F781" s="133" t="s">
        <v>3415</v>
      </c>
      <c r="G781" s="133" t="s">
        <v>3883</v>
      </c>
      <c r="H781" s="133">
        <f>VLOOKUP(G781,'packing mapping'!A:B,2,0)</f>
        <v>4</v>
      </c>
      <c r="I781" s="137">
        <v>2336480</v>
      </c>
      <c r="J781" s="132">
        <f t="shared" si="25"/>
        <v>584120</v>
      </c>
    </row>
    <row r="782" spans="1:10">
      <c r="A782" s="115" t="s">
        <v>850</v>
      </c>
      <c r="B782" s="115" t="s">
        <v>851</v>
      </c>
      <c r="C782" s="115" t="s">
        <v>1380</v>
      </c>
      <c r="D782" s="115" t="s">
        <v>1381</v>
      </c>
      <c r="E782" s="133" t="str">
        <f t="shared" si="24"/>
        <v>1200000893PCL-31300 OXIDE RED PASTE</v>
      </c>
      <c r="F782" s="133" t="s">
        <v>3140</v>
      </c>
      <c r="G782" s="133" t="s">
        <v>3883</v>
      </c>
      <c r="H782" s="133">
        <f>VLOOKUP(G782,'packing mapping'!A:B,2,0)</f>
        <v>4</v>
      </c>
      <c r="I782" s="137">
        <v>1810200</v>
      </c>
      <c r="J782" s="132">
        <f t="shared" si="25"/>
        <v>452550</v>
      </c>
    </row>
    <row r="783" spans="1:10">
      <c r="A783" s="115" t="s">
        <v>850</v>
      </c>
      <c r="B783" s="115" t="s">
        <v>851</v>
      </c>
      <c r="C783" s="115" t="s">
        <v>1200</v>
      </c>
      <c r="D783" s="115" t="s">
        <v>1201</v>
      </c>
      <c r="E783" s="133" t="str">
        <f t="shared" si="24"/>
        <v>1200000893PCL-31300 RED OB 35 PASTE</v>
      </c>
      <c r="F783" s="133" t="s">
        <v>3054</v>
      </c>
      <c r="G783" s="133" t="s">
        <v>3883</v>
      </c>
      <c r="H783" s="133">
        <f>VLOOKUP(G783,'packing mapping'!A:B,2,0)</f>
        <v>4</v>
      </c>
      <c r="I783" s="137">
        <v>1506960</v>
      </c>
      <c r="J783" s="132">
        <f t="shared" si="25"/>
        <v>376740</v>
      </c>
    </row>
    <row r="784" spans="1:10">
      <c r="A784" s="115" t="s">
        <v>850</v>
      </c>
      <c r="B784" s="115" t="s">
        <v>851</v>
      </c>
      <c r="C784" s="115" t="s">
        <v>1202</v>
      </c>
      <c r="D784" s="115" t="s">
        <v>1203</v>
      </c>
      <c r="E784" s="133" t="str">
        <f t="shared" si="24"/>
        <v>1200000893PCL-31300 WHITE PASTE</v>
      </c>
      <c r="F784" s="133" t="s">
        <v>3055</v>
      </c>
      <c r="G784" s="133" t="s">
        <v>3883</v>
      </c>
      <c r="H784" s="133">
        <f>VLOOKUP(G784,'packing mapping'!A:B,2,0)</f>
        <v>4</v>
      </c>
      <c r="I784" s="137">
        <v>1254120</v>
      </c>
      <c r="J784" s="132">
        <f t="shared" si="25"/>
        <v>313530</v>
      </c>
    </row>
    <row r="785" spans="1:10">
      <c r="A785" s="115" t="s">
        <v>850</v>
      </c>
      <c r="B785" s="115" t="s">
        <v>851</v>
      </c>
      <c r="C785" s="115" t="s">
        <v>1204</v>
      </c>
      <c r="D785" s="115" t="s">
        <v>1205</v>
      </c>
      <c r="E785" s="133" t="str">
        <f t="shared" si="24"/>
        <v>1200000893PCL-31300 YELLOW OG 16 PASTE</v>
      </c>
      <c r="F785" s="133" t="s">
        <v>3056</v>
      </c>
      <c r="G785" s="133" t="s">
        <v>3883</v>
      </c>
      <c r="H785" s="133">
        <f>VLOOKUP(G785,'packing mapping'!A:B,2,0)</f>
        <v>4</v>
      </c>
      <c r="I785" s="137">
        <v>3487640</v>
      </c>
      <c r="J785" s="132">
        <f t="shared" si="25"/>
        <v>871910</v>
      </c>
    </row>
    <row r="786" spans="1:10">
      <c r="A786" s="115" t="s">
        <v>850</v>
      </c>
      <c r="B786" s="115" t="s">
        <v>851</v>
      </c>
      <c r="C786" s="115" t="s">
        <v>1206</v>
      </c>
      <c r="D786" s="115" t="s">
        <v>1207</v>
      </c>
      <c r="E786" s="133" t="str">
        <f t="shared" si="24"/>
        <v>1200000893PCL-31300 YELLOW OKER PASTE</v>
      </c>
      <c r="F786" s="133" t="s">
        <v>3057</v>
      </c>
      <c r="G786" s="133" t="s">
        <v>3883</v>
      </c>
      <c r="H786" s="133">
        <f>VLOOKUP(G786,'packing mapping'!A:B,2,0)</f>
        <v>4</v>
      </c>
      <c r="I786" s="137">
        <v>1769040</v>
      </c>
      <c r="J786" s="132">
        <f t="shared" si="25"/>
        <v>442260</v>
      </c>
    </row>
    <row r="787" spans="1:10">
      <c r="A787" s="115" t="s">
        <v>850</v>
      </c>
      <c r="B787" s="115" t="s">
        <v>851</v>
      </c>
      <c r="C787" s="115" t="s">
        <v>1386</v>
      </c>
      <c r="D787" s="115" t="s">
        <v>1387</v>
      </c>
      <c r="E787" s="133" t="str">
        <f t="shared" si="24"/>
        <v>1200000893PUC-54205 AC WHITE 90 VN</v>
      </c>
      <c r="F787" s="133" t="s">
        <v>3143</v>
      </c>
      <c r="G787" s="133" t="s">
        <v>3881</v>
      </c>
      <c r="H787" s="133">
        <f>VLOOKUP(G787,'packing mapping'!A:B,2,0)</f>
        <v>20</v>
      </c>
      <c r="I787" s="137">
        <v>2807800</v>
      </c>
      <c r="J787" s="132">
        <f t="shared" si="25"/>
        <v>140390</v>
      </c>
    </row>
    <row r="788" spans="1:10">
      <c r="A788" s="115" t="s">
        <v>850</v>
      </c>
      <c r="B788" s="115" t="s">
        <v>851</v>
      </c>
      <c r="C788" s="115" t="s">
        <v>1388</v>
      </c>
      <c r="D788" s="115" t="s">
        <v>1389</v>
      </c>
      <c r="E788" s="133" t="str">
        <f t="shared" si="24"/>
        <v>1200000893PUC-54205 AC WHITE 10 VN</v>
      </c>
      <c r="F788" s="133" t="s">
        <v>3144</v>
      </c>
      <c r="G788" s="133" t="s">
        <v>3881</v>
      </c>
      <c r="H788" s="133">
        <f>VLOOKUP(G788,'packing mapping'!A:B,2,0)</f>
        <v>20</v>
      </c>
      <c r="I788" s="137">
        <v>2833600</v>
      </c>
      <c r="J788" s="132">
        <f t="shared" si="25"/>
        <v>141680</v>
      </c>
    </row>
    <row r="789" spans="1:10">
      <c r="A789" s="115" t="s">
        <v>850</v>
      </c>
      <c r="B789" s="115" t="s">
        <v>851</v>
      </c>
      <c r="C789" s="115" t="s">
        <v>1390</v>
      </c>
      <c r="D789" s="115" t="s">
        <v>1391</v>
      </c>
      <c r="E789" s="133" t="str">
        <f t="shared" si="24"/>
        <v>1200000893PUC-54205 AC WHITE 20 VN</v>
      </c>
      <c r="F789" s="133" t="s">
        <v>3145</v>
      </c>
      <c r="G789" s="133" t="s">
        <v>3881</v>
      </c>
      <c r="H789" s="133">
        <f>VLOOKUP(G789,'packing mapping'!A:B,2,0)</f>
        <v>20</v>
      </c>
      <c r="I789" s="137">
        <v>3290800</v>
      </c>
      <c r="J789" s="132">
        <f t="shared" si="25"/>
        <v>164540</v>
      </c>
    </row>
    <row r="790" spans="1:10">
      <c r="A790" s="115" t="s">
        <v>850</v>
      </c>
      <c r="B790" s="115" t="s">
        <v>851</v>
      </c>
      <c r="C790" s="115" t="s">
        <v>1392</v>
      </c>
      <c r="D790" s="115" t="s">
        <v>1393</v>
      </c>
      <c r="E790" s="133" t="str">
        <f t="shared" si="24"/>
        <v>1200000893PUC-54205 AC WHITE 30 VN</v>
      </c>
      <c r="F790" s="133" t="s">
        <v>3146</v>
      </c>
      <c r="G790" s="133" t="s">
        <v>3881</v>
      </c>
      <c r="H790" s="133">
        <f>VLOOKUP(G790,'packing mapping'!A:B,2,0)</f>
        <v>20</v>
      </c>
      <c r="I790" s="137">
        <v>3097600</v>
      </c>
      <c r="J790" s="132">
        <f t="shared" si="25"/>
        <v>154880</v>
      </c>
    </row>
    <row r="791" spans="1:10">
      <c r="A791" s="115" t="s">
        <v>850</v>
      </c>
      <c r="B791" s="115" t="s">
        <v>851</v>
      </c>
      <c r="C791" s="115" t="s">
        <v>1470</v>
      </c>
      <c r="D791" s="115" t="s">
        <v>1471</v>
      </c>
      <c r="E791" s="133" t="str">
        <f t="shared" si="24"/>
        <v>1200000893PUC-54205 AC WHITE 50 VN</v>
      </c>
      <c r="F791" s="133" t="s">
        <v>3181</v>
      </c>
      <c r="G791" s="133" t="s">
        <v>3881</v>
      </c>
      <c r="H791" s="133">
        <f>VLOOKUP(G791,'packing mapping'!A:B,2,0)</f>
        <v>20</v>
      </c>
      <c r="I791" s="137">
        <v>3263400</v>
      </c>
      <c r="J791" s="132">
        <f t="shared" si="25"/>
        <v>163170</v>
      </c>
    </row>
    <row r="792" spans="1:10">
      <c r="A792" s="115" t="s">
        <v>850</v>
      </c>
      <c r="B792" s="115" t="s">
        <v>851</v>
      </c>
      <c r="C792" s="115" t="s">
        <v>1716</v>
      </c>
      <c r="D792" s="115" t="s">
        <v>1717</v>
      </c>
      <c r="E792" s="133" t="str">
        <f t="shared" si="24"/>
        <v>1200000893PUH-56306 LY VN</v>
      </c>
      <c r="F792" s="133" t="s">
        <v>3059</v>
      </c>
      <c r="G792" s="133" t="s">
        <v>3888</v>
      </c>
      <c r="H792" s="133">
        <f>VLOOKUP(G792,'packing mapping'!A:B,2,0)</f>
        <v>4</v>
      </c>
      <c r="I792" s="137">
        <v>698040</v>
      </c>
      <c r="J792" s="132">
        <f t="shared" si="25"/>
        <v>174510</v>
      </c>
    </row>
    <row r="793" spans="1:10">
      <c r="A793" s="115" t="s">
        <v>850</v>
      </c>
      <c r="B793" s="115" t="s">
        <v>851</v>
      </c>
      <c r="C793" s="115" t="s">
        <v>1210</v>
      </c>
      <c r="D793" s="115" t="s">
        <v>1211</v>
      </c>
      <c r="E793" s="133" t="str">
        <f t="shared" si="24"/>
        <v>1200000893PUH-56306 LY VN</v>
      </c>
      <c r="F793" s="133" t="s">
        <v>3059</v>
      </c>
      <c r="G793" s="133" t="s">
        <v>3879</v>
      </c>
      <c r="H793" s="133">
        <f>VLOOKUP(G793,'packing mapping'!A:B,2,0)</f>
        <v>20</v>
      </c>
      <c r="I793" s="137">
        <v>3268400</v>
      </c>
      <c r="J793" s="132">
        <f t="shared" si="25"/>
        <v>163420</v>
      </c>
    </row>
    <row r="794" spans="1:10">
      <c r="A794" s="115" t="s">
        <v>850</v>
      </c>
      <c r="B794" s="115" t="s">
        <v>851</v>
      </c>
      <c r="C794" s="115" t="s">
        <v>1396</v>
      </c>
      <c r="D794" s="115" t="s">
        <v>1397</v>
      </c>
      <c r="E794" s="133" t="str">
        <f t="shared" si="24"/>
        <v>1200000893PUL-53306 AC EX CLEAR 10 VN</v>
      </c>
      <c r="F794" s="133" t="s">
        <v>3148</v>
      </c>
      <c r="G794" s="133" t="s">
        <v>3879</v>
      </c>
      <c r="H794" s="133">
        <f>VLOOKUP(G794,'packing mapping'!A:B,2,0)</f>
        <v>20</v>
      </c>
      <c r="I794" s="137">
        <v>3770600</v>
      </c>
      <c r="J794" s="132">
        <f t="shared" si="25"/>
        <v>188530</v>
      </c>
    </row>
    <row r="795" spans="1:10">
      <c r="A795" s="115" t="s">
        <v>850</v>
      </c>
      <c r="B795" s="115" t="s">
        <v>851</v>
      </c>
      <c r="C795" s="115" t="s">
        <v>1212</v>
      </c>
      <c r="D795" s="115" t="s">
        <v>1213</v>
      </c>
      <c r="E795" s="133" t="str">
        <f t="shared" si="24"/>
        <v>1200000893PUL-53306 AC EX CLEAR 20 VN</v>
      </c>
      <c r="F795" s="133" t="s">
        <v>3060</v>
      </c>
      <c r="G795" s="133" t="s">
        <v>3879</v>
      </c>
      <c r="H795" s="133">
        <f>VLOOKUP(G795,'packing mapping'!A:B,2,0)</f>
        <v>20</v>
      </c>
      <c r="I795" s="137">
        <v>2773000</v>
      </c>
      <c r="J795" s="132">
        <f t="shared" si="25"/>
        <v>138650</v>
      </c>
    </row>
    <row r="796" spans="1:10">
      <c r="A796" s="115" t="s">
        <v>850</v>
      </c>
      <c r="B796" s="115" t="s">
        <v>851</v>
      </c>
      <c r="C796" s="115" t="s">
        <v>1474</v>
      </c>
      <c r="D796" s="115" t="s">
        <v>1475</v>
      </c>
      <c r="E796" s="133" t="str">
        <f t="shared" si="24"/>
        <v>1200000893PUL-53306 AC EX CLEAR 30 VN</v>
      </c>
      <c r="F796" s="133" t="s">
        <v>3183</v>
      </c>
      <c r="G796" s="133" t="s">
        <v>3879</v>
      </c>
      <c r="H796" s="133">
        <f>VLOOKUP(G796,'packing mapping'!A:B,2,0)</f>
        <v>20</v>
      </c>
      <c r="I796" s="137">
        <v>2734200</v>
      </c>
      <c r="J796" s="132">
        <f t="shared" si="25"/>
        <v>136710</v>
      </c>
    </row>
    <row r="797" spans="1:10">
      <c r="A797" s="115" t="s">
        <v>850</v>
      </c>
      <c r="B797" s="115" t="s">
        <v>851</v>
      </c>
      <c r="C797" s="115" t="s">
        <v>1214</v>
      </c>
      <c r="D797" s="115" t="s">
        <v>1215</v>
      </c>
      <c r="E797" s="133" t="str">
        <f t="shared" si="24"/>
        <v>1200000893PUL-53306 AC EX CLEAR 50 VN</v>
      </c>
      <c r="F797" s="133" t="s">
        <v>3061</v>
      </c>
      <c r="G797" s="133" t="s">
        <v>3879</v>
      </c>
      <c r="H797" s="133">
        <f>VLOOKUP(G797,'packing mapping'!A:B,2,0)</f>
        <v>20</v>
      </c>
      <c r="I797" s="137">
        <v>3055600</v>
      </c>
      <c r="J797" s="132">
        <f t="shared" si="25"/>
        <v>152780</v>
      </c>
    </row>
    <row r="798" spans="1:10">
      <c r="A798" s="115" t="s">
        <v>850</v>
      </c>
      <c r="B798" s="115" t="s">
        <v>851</v>
      </c>
      <c r="C798" s="115" t="s">
        <v>1216</v>
      </c>
      <c r="D798" s="115" t="s">
        <v>1217</v>
      </c>
      <c r="E798" s="133" t="str">
        <f t="shared" si="24"/>
        <v>1200000893PUL-53306 AC EX CLEAR 90 VN</v>
      </c>
      <c r="F798" s="133" t="s">
        <v>3062</v>
      </c>
      <c r="G798" s="133" t="s">
        <v>3879</v>
      </c>
      <c r="H798" s="133">
        <f>VLOOKUP(G798,'packing mapping'!A:B,2,0)</f>
        <v>20</v>
      </c>
      <c r="I798" s="137">
        <v>2282000</v>
      </c>
      <c r="J798" s="132">
        <f t="shared" si="25"/>
        <v>114100</v>
      </c>
    </row>
    <row r="799" spans="1:10">
      <c r="A799" s="115" t="s">
        <v>850</v>
      </c>
      <c r="B799" s="115" t="s">
        <v>851</v>
      </c>
      <c r="C799" s="115" t="s">
        <v>1402</v>
      </c>
      <c r="D799" s="115" t="s">
        <v>1403</v>
      </c>
      <c r="E799" s="133" t="str">
        <f t="shared" si="24"/>
        <v>1200000893THC-73100-007 VN</v>
      </c>
      <c r="F799" s="133" t="s">
        <v>3150</v>
      </c>
      <c r="G799" s="133" t="s">
        <v>3880</v>
      </c>
      <c r="H799" s="133">
        <f>VLOOKUP(G799,'packing mapping'!A:B,2,0)</f>
        <v>20</v>
      </c>
      <c r="I799" s="137">
        <v>1399200</v>
      </c>
      <c r="J799" s="132">
        <f t="shared" si="25"/>
        <v>69960</v>
      </c>
    </row>
    <row r="800" spans="1:10">
      <c r="A800" s="115" t="s">
        <v>850</v>
      </c>
      <c r="B800" s="115" t="s">
        <v>851</v>
      </c>
      <c r="C800" s="115" t="s">
        <v>1242</v>
      </c>
      <c r="D800" s="115" t="s">
        <v>1243</v>
      </c>
      <c r="E800" s="133" t="str">
        <f t="shared" si="24"/>
        <v>1200000893THPU-71306 ST VN</v>
      </c>
      <c r="F800" s="133" t="s">
        <v>3039</v>
      </c>
      <c r="G800" s="133" t="s">
        <v>3884</v>
      </c>
      <c r="H800" s="133">
        <f>VLOOKUP(G800,'packing mapping'!A:B,2,0)</f>
        <v>200</v>
      </c>
      <c r="I800" s="137">
        <v>10480000</v>
      </c>
      <c r="J800" s="132">
        <f t="shared" si="25"/>
        <v>52400</v>
      </c>
    </row>
    <row r="801" spans="1:10">
      <c r="A801" s="115" t="s">
        <v>850</v>
      </c>
      <c r="B801" s="115" t="s">
        <v>851</v>
      </c>
      <c r="C801" s="115" t="s">
        <v>1990</v>
      </c>
      <c r="D801" s="115" t="s">
        <v>1991</v>
      </c>
      <c r="E801" s="133" t="str">
        <f t="shared" si="24"/>
        <v>1200000893PUH-56135 S VN</v>
      </c>
      <c r="F801" s="133" t="s">
        <v>3040</v>
      </c>
      <c r="G801" s="133" t="s">
        <v>3883</v>
      </c>
      <c r="H801" s="133">
        <f>VLOOKUP(G801,'packing mapping'!A:B,2,0)</f>
        <v>4</v>
      </c>
      <c r="I801" s="137">
        <v>517880</v>
      </c>
      <c r="J801" s="132">
        <f t="shared" si="25"/>
        <v>129470</v>
      </c>
    </row>
    <row r="802" spans="1:10">
      <c r="A802" s="115" t="s">
        <v>850</v>
      </c>
      <c r="B802" s="115" t="s">
        <v>851</v>
      </c>
      <c r="C802" s="115" t="s">
        <v>1292</v>
      </c>
      <c r="D802" s="115" t="s">
        <v>1293</v>
      </c>
      <c r="E802" s="133" t="str">
        <f t="shared" si="24"/>
        <v>1200000893PUP-52135 WHITE VN</v>
      </c>
      <c r="F802" s="133" t="s">
        <v>3098</v>
      </c>
      <c r="G802" s="133" t="s">
        <v>3881</v>
      </c>
      <c r="H802" s="133">
        <f>VLOOKUP(G802,'packing mapping'!A:B,2,0)</f>
        <v>20</v>
      </c>
      <c r="I802" s="137">
        <v>1661400</v>
      </c>
      <c r="J802" s="132">
        <f t="shared" si="25"/>
        <v>83070</v>
      </c>
    </row>
    <row r="803" spans="1:10">
      <c r="A803" s="115" t="s">
        <v>850</v>
      </c>
      <c r="B803" s="115" t="s">
        <v>851</v>
      </c>
      <c r="C803" s="115" t="s">
        <v>1176</v>
      </c>
      <c r="D803" s="115" t="s">
        <v>1177</v>
      </c>
      <c r="E803" s="133" t="str">
        <f t="shared" si="24"/>
        <v>1200000893PUSS-51235 VN</v>
      </c>
      <c r="F803" s="133" t="s">
        <v>3042</v>
      </c>
      <c r="G803" s="133" t="s">
        <v>3881</v>
      </c>
      <c r="H803" s="133">
        <f>VLOOKUP(G803,'packing mapping'!A:B,2,0)</f>
        <v>20</v>
      </c>
      <c r="I803" s="137">
        <v>1222200</v>
      </c>
      <c r="J803" s="132">
        <f t="shared" si="25"/>
        <v>61110</v>
      </c>
    </row>
    <row r="804" spans="1:10">
      <c r="A804" s="115" t="s">
        <v>850</v>
      </c>
      <c r="B804" s="115" t="s">
        <v>851</v>
      </c>
      <c r="C804" s="115" t="s">
        <v>1298</v>
      </c>
      <c r="D804" s="115" t="s">
        <v>1299</v>
      </c>
      <c r="E804" s="133" t="str">
        <f t="shared" si="24"/>
        <v>1200000893PUP-52122 PUTTY VN</v>
      </c>
      <c r="F804" s="133" t="s">
        <v>3100</v>
      </c>
      <c r="G804" s="133" t="s">
        <v>3883</v>
      </c>
      <c r="H804" s="133">
        <f>VLOOKUP(G804,'packing mapping'!A:B,2,0)</f>
        <v>4</v>
      </c>
      <c r="I804" s="137">
        <v>504000</v>
      </c>
      <c r="J804" s="132">
        <f t="shared" si="25"/>
        <v>126000</v>
      </c>
    </row>
    <row r="805" spans="1:10">
      <c r="A805" s="115" t="s">
        <v>850</v>
      </c>
      <c r="B805" s="115" t="s">
        <v>851</v>
      </c>
      <c r="C805" s="115" t="s">
        <v>1300</v>
      </c>
      <c r="D805" s="115" t="s">
        <v>1301</v>
      </c>
      <c r="E805" s="133" t="str">
        <f t="shared" si="24"/>
        <v>1200000893GZPU-21500 BLACK VN</v>
      </c>
      <c r="F805" s="133" t="s">
        <v>3101</v>
      </c>
      <c r="G805" s="133" t="s">
        <v>3883</v>
      </c>
      <c r="H805" s="133">
        <f>VLOOKUP(G805,'packing mapping'!A:B,2,0)</f>
        <v>4</v>
      </c>
      <c r="I805" s="137">
        <v>1354920</v>
      </c>
      <c r="J805" s="132">
        <f t="shared" si="25"/>
        <v>338730</v>
      </c>
    </row>
    <row r="806" spans="1:10">
      <c r="A806" s="115" t="s">
        <v>850</v>
      </c>
      <c r="B806" s="115" t="s">
        <v>851</v>
      </c>
      <c r="C806" s="115" t="s">
        <v>1302</v>
      </c>
      <c r="D806" s="115" t="s">
        <v>1303</v>
      </c>
      <c r="E806" s="133" t="str">
        <f t="shared" si="24"/>
        <v>1200000893GZPU-21500 BROWN VN</v>
      </c>
      <c r="F806" s="133" t="s">
        <v>3102</v>
      </c>
      <c r="G806" s="133" t="s">
        <v>3883</v>
      </c>
      <c r="H806" s="133">
        <f>VLOOKUP(G806,'packing mapping'!A:B,2,0)</f>
        <v>4</v>
      </c>
      <c r="I806" s="137">
        <v>1177680</v>
      </c>
      <c r="J806" s="132">
        <f t="shared" si="25"/>
        <v>294420</v>
      </c>
    </row>
    <row r="807" spans="1:10">
      <c r="A807" s="115" t="s">
        <v>850</v>
      </c>
      <c r="B807" s="115" t="s">
        <v>851</v>
      </c>
      <c r="C807" s="115" t="s">
        <v>1310</v>
      </c>
      <c r="D807" s="115" t="s">
        <v>1311</v>
      </c>
      <c r="E807" s="133" t="str">
        <f t="shared" si="24"/>
        <v>1200000893GZPU-21500 RED VN</v>
      </c>
      <c r="F807" s="133" t="s">
        <v>3106</v>
      </c>
      <c r="G807" s="133" t="s">
        <v>3883</v>
      </c>
      <c r="H807" s="133">
        <f>VLOOKUP(G807,'packing mapping'!A:B,2,0)</f>
        <v>4</v>
      </c>
      <c r="I807" s="137">
        <v>1604400</v>
      </c>
      <c r="J807" s="132">
        <f t="shared" si="25"/>
        <v>401100</v>
      </c>
    </row>
    <row r="808" spans="1:10">
      <c r="A808" s="115" t="s">
        <v>850</v>
      </c>
      <c r="B808" s="115" t="s">
        <v>851</v>
      </c>
      <c r="C808" s="115" t="s">
        <v>1312</v>
      </c>
      <c r="D808" s="115" t="s">
        <v>1313</v>
      </c>
      <c r="E808" s="133" t="str">
        <f t="shared" si="24"/>
        <v>1200000893GZPU-21500 YELLOW VN</v>
      </c>
      <c r="F808" s="133" t="s">
        <v>3107</v>
      </c>
      <c r="G808" s="133" t="s">
        <v>3883</v>
      </c>
      <c r="H808" s="133">
        <f>VLOOKUP(G808,'packing mapping'!A:B,2,0)</f>
        <v>4</v>
      </c>
      <c r="I808" s="137">
        <v>1449000</v>
      </c>
      <c r="J808" s="132">
        <f t="shared" si="25"/>
        <v>362250</v>
      </c>
    </row>
    <row r="809" spans="1:10">
      <c r="A809" s="115" t="s">
        <v>850</v>
      </c>
      <c r="B809" s="115" t="s">
        <v>851</v>
      </c>
      <c r="C809" s="115" t="s">
        <v>1316</v>
      </c>
      <c r="D809" s="115" t="s">
        <v>1317</v>
      </c>
      <c r="E809" s="133" t="str">
        <f t="shared" si="24"/>
        <v>1200000893PCL-31300 YELLOW 170 HR PASTE</v>
      </c>
      <c r="F809" s="133" t="s">
        <v>3109</v>
      </c>
      <c r="G809" s="133" t="s">
        <v>3883</v>
      </c>
      <c r="H809" s="133">
        <f>VLOOKUP(G809,'packing mapping'!A:B,2,0)</f>
        <v>4</v>
      </c>
      <c r="I809" s="137">
        <v>1890000</v>
      </c>
      <c r="J809" s="132">
        <f t="shared" si="25"/>
        <v>472500</v>
      </c>
    </row>
    <row r="810" spans="1:10">
      <c r="A810" s="115" t="s">
        <v>850</v>
      </c>
      <c r="B810" s="115" t="s">
        <v>851</v>
      </c>
      <c r="C810" s="115" t="s">
        <v>1992</v>
      </c>
      <c r="D810" s="115" t="s">
        <v>1993</v>
      </c>
      <c r="E810" s="133" t="str">
        <f t="shared" si="24"/>
        <v>1200000893PUC-54205 AC MA33 10 PV VN</v>
      </c>
      <c r="F810" s="133" t="s">
        <v>3416</v>
      </c>
      <c r="G810" s="133" t="s">
        <v>3881</v>
      </c>
      <c r="H810" s="133">
        <f>VLOOKUP(G810,'packing mapping'!A:B,2,0)</f>
        <v>20</v>
      </c>
      <c r="I810" s="137">
        <v>3644800</v>
      </c>
      <c r="J810" s="132">
        <f t="shared" si="25"/>
        <v>182240</v>
      </c>
    </row>
    <row r="811" spans="1:10">
      <c r="A811" s="115" t="s">
        <v>850</v>
      </c>
      <c r="B811" s="115" t="s">
        <v>851</v>
      </c>
      <c r="C811" s="115" t="s">
        <v>1994</v>
      </c>
      <c r="D811" s="115" t="s">
        <v>1995</v>
      </c>
      <c r="E811" s="133" t="str">
        <f t="shared" si="24"/>
        <v>1200000893PUC-54205 AC MA28 10 PV VN</v>
      </c>
      <c r="F811" s="133" t="s">
        <v>3417</v>
      </c>
      <c r="G811" s="133" t="s">
        <v>3881</v>
      </c>
      <c r="H811" s="133">
        <f>VLOOKUP(G811,'packing mapping'!A:B,2,0)</f>
        <v>20</v>
      </c>
      <c r="I811" s="137">
        <v>3586400</v>
      </c>
      <c r="J811" s="132">
        <f t="shared" si="25"/>
        <v>179320</v>
      </c>
    </row>
    <row r="812" spans="1:10">
      <c r="A812" s="115" t="s">
        <v>850</v>
      </c>
      <c r="B812" s="115" t="s">
        <v>851</v>
      </c>
      <c r="C812" s="115" t="s">
        <v>1996</v>
      </c>
      <c r="D812" s="115" t="s">
        <v>1997</v>
      </c>
      <c r="E812" s="133" t="str">
        <f t="shared" si="24"/>
        <v>1200000893PUC-54205 AC MA 46 08 PV VN</v>
      </c>
      <c r="F812" s="133" t="s">
        <v>3418</v>
      </c>
      <c r="G812" s="133" t="s">
        <v>3881</v>
      </c>
      <c r="H812" s="133">
        <f>VLOOKUP(G812,'packing mapping'!A:B,2,0)</f>
        <v>20</v>
      </c>
      <c r="I812" s="137">
        <v>4088800</v>
      </c>
      <c r="J812" s="132">
        <f t="shared" si="25"/>
        <v>204440</v>
      </c>
    </row>
    <row r="813" spans="1:10">
      <c r="A813" s="115" t="s">
        <v>850</v>
      </c>
      <c r="B813" s="115" t="s">
        <v>851</v>
      </c>
      <c r="C813" s="115" t="s">
        <v>1998</v>
      </c>
      <c r="D813" s="115" t="s">
        <v>1999</v>
      </c>
      <c r="E813" s="133" t="str">
        <f t="shared" si="24"/>
        <v>1200000893PUC-54205 AC MA 47 08 PV VN</v>
      </c>
      <c r="F813" s="133" t="s">
        <v>3419</v>
      </c>
      <c r="G813" s="133" t="s">
        <v>3881</v>
      </c>
      <c r="H813" s="133">
        <f>VLOOKUP(G813,'packing mapping'!A:B,2,0)</f>
        <v>20</v>
      </c>
      <c r="I813" s="137">
        <v>4219000</v>
      </c>
      <c r="J813" s="132">
        <f t="shared" si="25"/>
        <v>210950</v>
      </c>
    </row>
    <row r="814" spans="1:10">
      <c r="A814" s="115" t="s">
        <v>850</v>
      </c>
      <c r="B814" s="115" t="s">
        <v>851</v>
      </c>
      <c r="C814" s="115" t="s">
        <v>2000</v>
      </c>
      <c r="D814" s="115" t="s">
        <v>2001</v>
      </c>
      <c r="E814" s="133" t="str">
        <f t="shared" si="24"/>
        <v>1200000893PUC-54205 AC MA 45 08 PV VN</v>
      </c>
      <c r="F814" s="133" t="s">
        <v>3420</v>
      </c>
      <c r="G814" s="133" t="s">
        <v>3881</v>
      </c>
      <c r="H814" s="133">
        <f>VLOOKUP(G814,'packing mapping'!A:B,2,0)</f>
        <v>20</v>
      </c>
      <c r="I814" s="137">
        <v>4393200</v>
      </c>
      <c r="J814" s="132">
        <f t="shared" si="25"/>
        <v>219660</v>
      </c>
    </row>
    <row r="815" spans="1:10">
      <c r="A815" s="115" t="s">
        <v>850</v>
      </c>
      <c r="B815" s="115" t="s">
        <v>851</v>
      </c>
      <c r="C815" s="115" t="s">
        <v>2002</v>
      </c>
      <c r="D815" s="115" t="s">
        <v>2003</v>
      </c>
      <c r="E815" s="133" t="str">
        <f t="shared" si="24"/>
        <v>1200000893PUC-54205 AC MA 56 08 PV VN</v>
      </c>
      <c r="F815" s="133" t="s">
        <v>3421</v>
      </c>
      <c r="G815" s="133" t="s">
        <v>3881</v>
      </c>
      <c r="H815" s="133">
        <f>VLOOKUP(G815,'packing mapping'!A:B,2,0)</f>
        <v>20</v>
      </c>
      <c r="I815" s="137">
        <v>4051000</v>
      </c>
      <c r="J815" s="132">
        <f t="shared" si="25"/>
        <v>202550</v>
      </c>
    </row>
    <row r="816" spans="1:10">
      <c r="A816" s="115" t="s">
        <v>850</v>
      </c>
      <c r="B816" s="115" t="s">
        <v>851</v>
      </c>
      <c r="C816" s="115" t="s">
        <v>2004</v>
      </c>
      <c r="D816" s="115" t="s">
        <v>2005</v>
      </c>
      <c r="E816" s="133" t="str">
        <f t="shared" si="24"/>
        <v>1200000893PUC-54205 AC MA 48 08 PV VN</v>
      </c>
      <c r="F816" s="133" t="s">
        <v>3422</v>
      </c>
      <c r="G816" s="133" t="s">
        <v>3881</v>
      </c>
      <c r="H816" s="133">
        <f>VLOOKUP(G816,'packing mapping'!A:B,2,0)</f>
        <v>20</v>
      </c>
      <c r="I816" s="137">
        <v>4914000</v>
      </c>
      <c r="J816" s="132">
        <f t="shared" si="25"/>
        <v>245700</v>
      </c>
    </row>
    <row r="817" spans="1:10">
      <c r="A817" s="115" t="s">
        <v>850</v>
      </c>
      <c r="B817" s="115" t="s">
        <v>851</v>
      </c>
      <c r="C817" s="115" t="s">
        <v>2006</v>
      </c>
      <c r="D817" s="115" t="s">
        <v>2007</v>
      </c>
      <c r="E817" s="133" t="str">
        <f t="shared" si="24"/>
        <v>1200000893PUC-54205 AC MA 50 08 PV VN</v>
      </c>
      <c r="F817" s="133" t="s">
        <v>3423</v>
      </c>
      <c r="G817" s="133" t="s">
        <v>3881</v>
      </c>
      <c r="H817" s="133">
        <f>VLOOKUP(G817,'packing mapping'!A:B,2,0)</f>
        <v>20</v>
      </c>
      <c r="I817" s="137">
        <v>4093000</v>
      </c>
      <c r="J817" s="132">
        <f t="shared" si="25"/>
        <v>204650</v>
      </c>
    </row>
    <row r="818" spans="1:10">
      <c r="A818" s="115" t="s">
        <v>850</v>
      </c>
      <c r="B818" s="115" t="s">
        <v>851</v>
      </c>
      <c r="C818" s="115" t="s">
        <v>2008</v>
      </c>
      <c r="D818" s="115" t="s">
        <v>2009</v>
      </c>
      <c r="E818" s="133" t="str">
        <f t="shared" si="24"/>
        <v>1200000893PUC-54205 AC MA 53 08 PV VN</v>
      </c>
      <c r="F818" s="133" t="s">
        <v>3424</v>
      </c>
      <c r="G818" s="133" t="s">
        <v>3881</v>
      </c>
      <c r="H818" s="133">
        <f>VLOOKUP(G818,'packing mapping'!A:B,2,0)</f>
        <v>20</v>
      </c>
      <c r="I818" s="137">
        <v>4586400</v>
      </c>
      <c r="J818" s="132">
        <f t="shared" si="25"/>
        <v>229320</v>
      </c>
    </row>
    <row r="819" spans="1:10">
      <c r="A819" s="115" t="s">
        <v>850</v>
      </c>
      <c r="B819" s="115" t="s">
        <v>851</v>
      </c>
      <c r="C819" s="115" t="s">
        <v>2010</v>
      </c>
      <c r="D819" s="115" t="s">
        <v>2011</v>
      </c>
      <c r="E819" s="133" t="str">
        <f t="shared" si="24"/>
        <v>1200000893PUC-54205 AC MA 54 08 PV VN</v>
      </c>
      <c r="F819" s="133" t="s">
        <v>3425</v>
      </c>
      <c r="G819" s="133" t="s">
        <v>3881</v>
      </c>
      <c r="H819" s="133">
        <f>VLOOKUP(G819,'packing mapping'!A:B,2,0)</f>
        <v>20</v>
      </c>
      <c r="I819" s="137">
        <v>4204200</v>
      </c>
      <c r="J819" s="132">
        <f t="shared" si="25"/>
        <v>210210</v>
      </c>
    </row>
    <row r="820" spans="1:10">
      <c r="A820" s="115" t="s">
        <v>850</v>
      </c>
      <c r="B820" s="115" t="s">
        <v>851</v>
      </c>
      <c r="C820" s="115" t="s">
        <v>2012</v>
      </c>
      <c r="D820" s="115" t="s">
        <v>2013</v>
      </c>
      <c r="E820" s="133" t="str">
        <f t="shared" si="24"/>
        <v>1200000893PUC-54205 AC MA 49 08 PV VN</v>
      </c>
      <c r="F820" s="133" t="s">
        <v>3426</v>
      </c>
      <c r="G820" s="133" t="s">
        <v>3881</v>
      </c>
      <c r="H820" s="133">
        <f>VLOOKUP(G820,'packing mapping'!A:B,2,0)</f>
        <v>20</v>
      </c>
      <c r="I820" s="137">
        <v>3318000</v>
      </c>
      <c r="J820" s="132">
        <f t="shared" si="25"/>
        <v>165900</v>
      </c>
    </row>
    <row r="821" spans="1:10">
      <c r="A821" s="115" t="s">
        <v>850</v>
      </c>
      <c r="B821" s="115" t="s">
        <v>851</v>
      </c>
      <c r="C821" s="115" t="s">
        <v>2014</v>
      </c>
      <c r="D821" s="115" t="s">
        <v>2015</v>
      </c>
      <c r="E821" s="133" t="str">
        <f t="shared" si="24"/>
        <v>1200000893PUC-54205 AC MA 57 08 PV VN</v>
      </c>
      <c r="F821" s="133" t="s">
        <v>3427</v>
      </c>
      <c r="G821" s="133" t="s">
        <v>3881</v>
      </c>
      <c r="H821" s="133">
        <f>VLOOKUP(G821,'packing mapping'!A:B,2,0)</f>
        <v>20</v>
      </c>
      <c r="I821" s="137">
        <v>4424800</v>
      </c>
      <c r="J821" s="132">
        <f t="shared" si="25"/>
        <v>221240</v>
      </c>
    </row>
    <row r="822" spans="1:10">
      <c r="A822" s="115" t="s">
        <v>850</v>
      </c>
      <c r="B822" s="115" t="s">
        <v>851</v>
      </c>
      <c r="C822" s="115" t="s">
        <v>2016</v>
      </c>
      <c r="D822" s="115" t="s">
        <v>2017</v>
      </c>
      <c r="E822" s="133" t="str">
        <f t="shared" si="24"/>
        <v>1200000893PUC-54205 AC WH MARC101 90 PV VN</v>
      </c>
      <c r="F822" s="133" t="s">
        <v>3428</v>
      </c>
      <c r="G822" s="133" t="s">
        <v>3881</v>
      </c>
      <c r="H822" s="133">
        <f>VLOOKUP(G822,'packing mapping'!A:B,2,0)</f>
        <v>20</v>
      </c>
      <c r="I822" s="137">
        <v>3639400</v>
      </c>
      <c r="J822" s="132">
        <f t="shared" si="25"/>
        <v>181970</v>
      </c>
    </row>
    <row r="823" spans="1:10">
      <c r="A823" s="115" t="s">
        <v>1023</v>
      </c>
      <c r="B823" s="115" t="s">
        <v>1024</v>
      </c>
      <c r="C823" s="115" t="s">
        <v>1982</v>
      </c>
      <c r="D823" s="115" t="s">
        <v>1983</v>
      </c>
      <c r="E823" s="133" t="str">
        <f t="shared" si="24"/>
        <v>1200001059PUL-51341 CLEAR 05 VN</v>
      </c>
      <c r="F823" s="133" t="s">
        <v>3412</v>
      </c>
      <c r="G823" s="133" t="s">
        <v>3882</v>
      </c>
      <c r="H823" s="133">
        <f>VLOOKUP(G823,'packing mapping'!A:B,2,0)</f>
        <v>18</v>
      </c>
      <c r="I823" s="137">
        <v>2068200</v>
      </c>
      <c r="J823" s="132">
        <f t="shared" si="25"/>
        <v>114900</v>
      </c>
    </row>
    <row r="824" spans="1:10">
      <c r="A824" s="115" t="s">
        <v>1023</v>
      </c>
      <c r="B824" s="115" t="s">
        <v>1024</v>
      </c>
      <c r="C824" s="115" t="s">
        <v>1478</v>
      </c>
      <c r="D824" s="115" t="s">
        <v>1479</v>
      </c>
      <c r="E824" s="133" t="str">
        <f t="shared" si="24"/>
        <v>1200001059PUSS-51241 VN</v>
      </c>
      <c r="F824" s="133" t="s">
        <v>3185</v>
      </c>
      <c r="G824" s="133" t="s">
        <v>3881</v>
      </c>
      <c r="H824" s="133">
        <f>VLOOKUP(G824,'packing mapping'!A:B,2,0)</f>
        <v>20</v>
      </c>
      <c r="I824" s="137">
        <v>1836000</v>
      </c>
      <c r="J824" s="132">
        <f t="shared" si="25"/>
        <v>91800</v>
      </c>
    </row>
    <row r="825" spans="1:10">
      <c r="A825" s="115" t="s">
        <v>1023</v>
      </c>
      <c r="B825" s="115" t="s">
        <v>1024</v>
      </c>
      <c r="C825" s="115" t="s">
        <v>1242</v>
      </c>
      <c r="D825" s="115" t="s">
        <v>1243</v>
      </c>
      <c r="E825" s="133" t="str">
        <f t="shared" si="24"/>
        <v>1200001059THPU-71306 ST VN</v>
      </c>
      <c r="F825" s="133" t="s">
        <v>3039</v>
      </c>
      <c r="G825" s="133" t="s">
        <v>3884</v>
      </c>
      <c r="H825" s="133">
        <f>VLOOKUP(G825,'packing mapping'!A:B,2,0)</f>
        <v>200</v>
      </c>
      <c r="I825" s="137">
        <v>10360000</v>
      </c>
      <c r="J825" s="132">
        <f t="shared" si="25"/>
        <v>51800</v>
      </c>
    </row>
    <row r="826" spans="1:10">
      <c r="A826" s="115" t="s">
        <v>1023</v>
      </c>
      <c r="B826" s="115" t="s">
        <v>1024</v>
      </c>
      <c r="C826" s="115" t="s">
        <v>1496</v>
      </c>
      <c r="D826" s="115" t="s">
        <v>1497</v>
      </c>
      <c r="E826" s="133" t="str">
        <f t="shared" si="24"/>
        <v>1200001059PUH-56141 VN</v>
      </c>
      <c r="F826" s="133" t="s">
        <v>3189</v>
      </c>
      <c r="G826" s="133" t="s">
        <v>3881</v>
      </c>
      <c r="H826" s="133">
        <f>VLOOKUP(G826,'packing mapping'!A:B,2,0)</f>
        <v>20</v>
      </c>
      <c r="I826" s="137">
        <v>1628000</v>
      </c>
      <c r="J826" s="132">
        <f t="shared" si="25"/>
        <v>81400</v>
      </c>
    </row>
    <row r="827" spans="1:10">
      <c r="A827" s="115" t="s">
        <v>968</v>
      </c>
      <c r="B827" s="115" t="s">
        <v>969</v>
      </c>
      <c r="C827" s="115" t="s">
        <v>1188</v>
      </c>
      <c r="D827" s="115" t="s">
        <v>1189</v>
      </c>
      <c r="E827" s="133" t="str">
        <f t="shared" si="24"/>
        <v>1200001015PCA-31100 BLACK PASTE VN</v>
      </c>
      <c r="F827" s="133" t="s">
        <v>3048</v>
      </c>
      <c r="G827" s="133" t="s">
        <v>3883</v>
      </c>
      <c r="H827" s="133">
        <f>VLOOKUP(G827,'packing mapping'!A:B,2,0)</f>
        <v>4</v>
      </c>
      <c r="I827" s="137">
        <v>1170960</v>
      </c>
      <c r="J827" s="132">
        <f t="shared" si="25"/>
        <v>292740</v>
      </c>
    </row>
    <row r="828" spans="1:10">
      <c r="A828" s="115" t="s">
        <v>968</v>
      </c>
      <c r="B828" s="115" t="s">
        <v>969</v>
      </c>
      <c r="C828" s="115" t="s">
        <v>1372</v>
      </c>
      <c r="D828" s="115" t="s">
        <v>1373</v>
      </c>
      <c r="E828" s="133" t="str">
        <f t="shared" si="24"/>
        <v>1200001015PCA-31100 OXIDE RED PASTE VN</v>
      </c>
      <c r="F828" s="133" t="s">
        <v>3136</v>
      </c>
      <c r="G828" s="133" t="s">
        <v>3883</v>
      </c>
      <c r="H828" s="133">
        <f>VLOOKUP(G828,'packing mapping'!A:B,2,0)</f>
        <v>4</v>
      </c>
      <c r="I828" s="137">
        <v>874440</v>
      </c>
      <c r="J828" s="132">
        <f t="shared" si="25"/>
        <v>218610</v>
      </c>
    </row>
    <row r="829" spans="1:10">
      <c r="A829" s="115" t="s">
        <v>968</v>
      </c>
      <c r="B829" s="115" t="s">
        <v>969</v>
      </c>
      <c r="C829" s="115" t="s">
        <v>1378</v>
      </c>
      <c r="D829" s="115" t="s">
        <v>1379</v>
      </c>
      <c r="E829" s="133" t="str">
        <f t="shared" si="24"/>
        <v>1200001015PCA-31100 YELLOW OKER PASTE VN</v>
      </c>
      <c r="F829" s="133" t="s">
        <v>3139</v>
      </c>
      <c r="G829" s="133" t="s">
        <v>3883</v>
      </c>
      <c r="H829" s="133">
        <f>VLOOKUP(G829,'packing mapping'!A:B,2,0)</f>
        <v>4</v>
      </c>
      <c r="I829" s="137">
        <v>706440</v>
      </c>
      <c r="J829" s="132">
        <f t="shared" si="25"/>
        <v>176610</v>
      </c>
    </row>
    <row r="830" spans="1:10">
      <c r="A830" s="115" t="s">
        <v>968</v>
      </c>
      <c r="B830" s="115" t="s">
        <v>969</v>
      </c>
      <c r="C830" s="115" t="s">
        <v>1192</v>
      </c>
      <c r="D830" s="115" t="s">
        <v>1193</v>
      </c>
      <c r="E830" s="133" t="str">
        <f t="shared" si="24"/>
        <v>1200001015PCL-31300 BLACK PASTE</v>
      </c>
      <c r="F830" s="133" t="s">
        <v>3050</v>
      </c>
      <c r="G830" s="133" t="s">
        <v>3883</v>
      </c>
      <c r="H830" s="133">
        <f>VLOOKUP(G830,'packing mapping'!A:B,2,0)</f>
        <v>4</v>
      </c>
      <c r="I830" s="137">
        <v>2077760</v>
      </c>
      <c r="J830" s="132">
        <f t="shared" si="25"/>
        <v>519440</v>
      </c>
    </row>
    <row r="831" spans="1:10">
      <c r="A831" s="115" t="s">
        <v>968</v>
      </c>
      <c r="B831" s="115" t="s">
        <v>969</v>
      </c>
      <c r="C831" s="115" t="s">
        <v>1202</v>
      </c>
      <c r="D831" s="115" t="s">
        <v>1203</v>
      </c>
      <c r="E831" s="133" t="str">
        <f t="shared" si="24"/>
        <v>1200001015PCL-31300 WHITE PASTE</v>
      </c>
      <c r="F831" s="133" t="s">
        <v>3055</v>
      </c>
      <c r="G831" s="133" t="s">
        <v>3883</v>
      </c>
      <c r="H831" s="133">
        <f>VLOOKUP(G831,'packing mapping'!A:B,2,0)</f>
        <v>4</v>
      </c>
      <c r="I831" s="137">
        <v>1047840</v>
      </c>
      <c r="J831" s="132">
        <f t="shared" si="25"/>
        <v>261960</v>
      </c>
    </row>
    <row r="832" spans="1:10">
      <c r="A832" s="115" t="s">
        <v>968</v>
      </c>
      <c r="B832" s="115" t="s">
        <v>969</v>
      </c>
      <c r="C832" s="115" t="s">
        <v>1208</v>
      </c>
      <c r="D832" s="115" t="s">
        <v>1209</v>
      </c>
      <c r="E832" s="133" t="str">
        <f t="shared" si="24"/>
        <v>1200001015PG-13900 WHITE 01 VN</v>
      </c>
      <c r="F832" s="133" t="s">
        <v>3058</v>
      </c>
      <c r="G832" s="133" t="s">
        <v>3881</v>
      </c>
      <c r="H832" s="133">
        <f>VLOOKUP(G832,'packing mapping'!A:B,2,0)</f>
        <v>20</v>
      </c>
      <c r="I832" s="137">
        <v>1463800</v>
      </c>
      <c r="J832" s="132">
        <f t="shared" si="25"/>
        <v>73190</v>
      </c>
    </row>
    <row r="833" spans="1:10">
      <c r="A833" s="115" t="s">
        <v>968</v>
      </c>
      <c r="B833" s="115" t="s">
        <v>969</v>
      </c>
      <c r="C833" s="115" t="s">
        <v>1388</v>
      </c>
      <c r="D833" s="115" t="s">
        <v>1389</v>
      </c>
      <c r="E833" s="133" t="str">
        <f t="shared" si="24"/>
        <v>1200001015PUC-54205 AC WHITE 10 VN</v>
      </c>
      <c r="F833" s="133" t="s">
        <v>3144</v>
      </c>
      <c r="G833" s="133" t="s">
        <v>3881</v>
      </c>
      <c r="H833" s="133">
        <f>VLOOKUP(G833,'packing mapping'!A:B,2,0)</f>
        <v>20</v>
      </c>
      <c r="I833" s="137">
        <v>2914800</v>
      </c>
      <c r="J833" s="132">
        <f t="shared" si="25"/>
        <v>145740</v>
      </c>
    </row>
    <row r="834" spans="1:10">
      <c r="A834" s="115" t="s">
        <v>968</v>
      </c>
      <c r="B834" s="115" t="s">
        <v>969</v>
      </c>
      <c r="C834" s="115" t="s">
        <v>1210</v>
      </c>
      <c r="D834" s="115" t="s">
        <v>1211</v>
      </c>
      <c r="E834" s="133" t="str">
        <f t="shared" si="24"/>
        <v>1200001015PUH-56306 LY VN</v>
      </c>
      <c r="F834" s="133" t="s">
        <v>3059</v>
      </c>
      <c r="G834" s="133" t="s">
        <v>3879</v>
      </c>
      <c r="H834" s="133">
        <f>VLOOKUP(G834,'packing mapping'!A:B,2,0)</f>
        <v>20</v>
      </c>
      <c r="I834" s="137">
        <v>3333400</v>
      </c>
      <c r="J834" s="132">
        <f t="shared" si="25"/>
        <v>166670</v>
      </c>
    </row>
    <row r="835" spans="1:10">
      <c r="A835" s="115" t="s">
        <v>968</v>
      </c>
      <c r="B835" s="115" t="s">
        <v>969</v>
      </c>
      <c r="C835" s="115" t="s">
        <v>1220</v>
      </c>
      <c r="D835" s="115" t="s">
        <v>1221</v>
      </c>
      <c r="E835" s="133" t="str">
        <f t="shared" ref="E835:E898" si="26">A835&amp;F835</f>
        <v>1200001015SST-11100 C10 BLACK</v>
      </c>
      <c r="F835" s="133" t="s">
        <v>3064</v>
      </c>
      <c r="G835" s="133" t="s">
        <v>3883</v>
      </c>
      <c r="H835" s="133">
        <f>VLOOKUP(G835,'packing mapping'!A:B,2,0)</f>
        <v>4</v>
      </c>
      <c r="I835" s="137">
        <v>872600</v>
      </c>
      <c r="J835" s="132">
        <f t="shared" ref="J835:J898" si="27">I835/H835</f>
        <v>218150</v>
      </c>
    </row>
    <row r="836" spans="1:10">
      <c r="A836" s="115" t="s">
        <v>968</v>
      </c>
      <c r="B836" s="115" t="s">
        <v>969</v>
      </c>
      <c r="C836" s="115" t="s">
        <v>1222</v>
      </c>
      <c r="D836" s="115" t="s">
        <v>1223</v>
      </c>
      <c r="E836" s="133" t="str">
        <f t="shared" si="26"/>
        <v>1200001015SST-11100 C10 BLUE</v>
      </c>
      <c r="F836" s="133" t="s">
        <v>3065</v>
      </c>
      <c r="G836" s="133" t="s">
        <v>3883</v>
      </c>
      <c r="H836" s="133">
        <f>VLOOKUP(G836,'packing mapping'!A:B,2,0)</f>
        <v>4</v>
      </c>
      <c r="I836" s="137">
        <v>2336480</v>
      </c>
      <c r="J836" s="132">
        <f t="shared" si="27"/>
        <v>584120</v>
      </c>
    </row>
    <row r="837" spans="1:10">
      <c r="A837" s="115" t="s">
        <v>968</v>
      </c>
      <c r="B837" s="115" t="s">
        <v>969</v>
      </c>
      <c r="C837" s="115" t="s">
        <v>1224</v>
      </c>
      <c r="D837" s="115" t="s">
        <v>1225</v>
      </c>
      <c r="E837" s="133" t="str">
        <f t="shared" si="26"/>
        <v>1200001015SST-11100 C10 ORANGE</v>
      </c>
      <c r="F837" s="133" t="s">
        <v>3066</v>
      </c>
      <c r="G837" s="133" t="s">
        <v>3883</v>
      </c>
      <c r="H837" s="133">
        <f>VLOOKUP(G837,'packing mapping'!A:B,2,0)</f>
        <v>4</v>
      </c>
      <c r="I837" s="137">
        <v>1039560</v>
      </c>
      <c r="J837" s="132">
        <f t="shared" si="27"/>
        <v>259890</v>
      </c>
    </row>
    <row r="838" spans="1:10">
      <c r="A838" s="115" t="s">
        <v>968</v>
      </c>
      <c r="B838" s="115" t="s">
        <v>969</v>
      </c>
      <c r="C838" s="115" t="s">
        <v>1226</v>
      </c>
      <c r="D838" s="115" t="s">
        <v>1227</v>
      </c>
      <c r="E838" s="133" t="str">
        <f t="shared" si="26"/>
        <v>1200001015SST-11100 C10 RED</v>
      </c>
      <c r="F838" s="133" t="s">
        <v>3067</v>
      </c>
      <c r="G838" s="133" t="s">
        <v>3883</v>
      </c>
      <c r="H838" s="133">
        <f>VLOOKUP(G838,'packing mapping'!A:B,2,0)</f>
        <v>4</v>
      </c>
      <c r="I838" s="137">
        <v>1026160</v>
      </c>
      <c r="J838" s="132">
        <f t="shared" si="27"/>
        <v>256540</v>
      </c>
    </row>
    <row r="839" spans="1:10">
      <c r="A839" s="115" t="s">
        <v>968</v>
      </c>
      <c r="B839" s="115" t="s">
        <v>969</v>
      </c>
      <c r="C839" s="115" t="s">
        <v>1228</v>
      </c>
      <c r="D839" s="115" t="s">
        <v>1229</v>
      </c>
      <c r="E839" s="133" t="str">
        <f t="shared" si="26"/>
        <v>1200001015SST-11100 C10 YELLOW</v>
      </c>
      <c r="F839" s="133" t="s">
        <v>3068</v>
      </c>
      <c r="G839" s="133" t="s">
        <v>3883</v>
      </c>
      <c r="H839" s="133">
        <f>VLOOKUP(G839,'packing mapping'!A:B,2,0)</f>
        <v>4</v>
      </c>
      <c r="I839" s="137">
        <v>741040</v>
      </c>
      <c r="J839" s="132">
        <f t="shared" si="27"/>
        <v>185260</v>
      </c>
    </row>
    <row r="840" spans="1:10">
      <c r="A840" s="115" t="s">
        <v>968</v>
      </c>
      <c r="B840" s="115" t="s">
        <v>969</v>
      </c>
      <c r="C840" s="115" t="s">
        <v>1402</v>
      </c>
      <c r="D840" s="115" t="s">
        <v>1403</v>
      </c>
      <c r="E840" s="133" t="str">
        <f t="shared" si="26"/>
        <v>1200001015THC-73100-007 VN</v>
      </c>
      <c r="F840" s="133" t="s">
        <v>3150</v>
      </c>
      <c r="G840" s="133" t="s">
        <v>3880</v>
      </c>
      <c r="H840" s="133">
        <f>VLOOKUP(G840,'packing mapping'!A:B,2,0)</f>
        <v>20</v>
      </c>
      <c r="I840" s="137">
        <v>1297600</v>
      </c>
      <c r="J840" s="132">
        <f t="shared" si="27"/>
        <v>64880</v>
      </c>
    </row>
    <row r="841" spans="1:10">
      <c r="A841" s="115" t="s">
        <v>968</v>
      </c>
      <c r="B841" s="115" t="s">
        <v>969</v>
      </c>
      <c r="C841" s="115" t="s">
        <v>1242</v>
      </c>
      <c r="D841" s="115" t="s">
        <v>1243</v>
      </c>
      <c r="E841" s="133" t="str">
        <f t="shared" si="26"/>
        <v>1200001015THPU-71306 ST VN</v>
      </c>
      <c r="F841" s="133" t="s">
        <v>3039</v>
      </c>
      <c r="G841" s="133" t="s">
        <v>3884</v>
      </c>
      <c r="H841" s="133">
        <f>VLOOKUP(G841,'packing mapping'!A:B,2,0)</f>
        <v>200</v>
      </c>
      <c r="I841" s="137">
        <v>9288000</v>
      </c>
      <c r="J841" s="132">
        <f t="shared" si="27"/>
        <v>46440</v>
      </c>
    </row>
    <row r="842" spans="1:10">
      <c r="A842" s="115" t="s">
        <v>968</v>
      </c>
      <c r="B842" s="115" t="s">
        <v>969</v>
      </c>
      <c r="C842" s="115" t="s">
        <v>1170</v>
      </c>
      <c r="D842" s="115" t="s">
        <v>1171</v>
      </c>
      <c r="E842" s="133" t="str">
        <f t="shared" si="26"/>
        <v>1200001015THPU-71306 ST VN</v>
      </c>
      <c r="F842" s="133" t="s">
        <v>3039</v>
      </c>
      <c r="G842" s="133" t="s">
        <v>3880</v>
      </c>
      <c r="H842" s="133">
        <f>VLOOKUP(G842,'packing mapping'!A:B,2,0)</f>
        <v>20</v>
      </c>
      <c r="I842" s="137">
        <v>1046400</v>
      </c>
      <c r="J842" s="132">
        <f t="shared" si="27"/>
        <v>52320</v>
      </c>
    </row>
    <row r="843" spans="1:10">
      <c r="A843" s="115" t="s">
        <v>968</v>
      </c>
      <c r="B843" s="115" t="s">
        <v>969</v>
      </c>
      <c r="C843" s="115" t="s">
        <v>1172</v>
      </c>
      <c r="D843" s="115" t="s">
        <v>1173</v>
      </c>
      <c r="E843" s="133" t="str">
        <f t="shared" si="26"/>
        <v>1200001015PUH-56135 S VN</v>
      </c>
      <c r="F843" s="133" t="s">
        <v>3040</v>
      </c>
      <c r="G843" s="133" t="s">
        <v>3881</v>
      </c>
      <c r="H843" s="133">
        <f>VLOOKUP(G843,'packing mapping'!A:B,2,0)</f>
        <v>20</v>
      </c>
      <c r="I843" s="137">
        <v>2187000</v>
      </c>
      <c r="J843" s="132">
        <f t="shared" si="27"/>
        <v>109350</v>
      </c>
    </row>
    <row r="844" spans="1:10">
      <c r="A844" s="115" t="s">
        <v>968</v>
      </c>
      <c r="B844" s="115" t="s">
        <v>969</v>
      </c>
      <c r="C844" s="115" t="s">
        <v>1276</v>
      </c>
      <c r="D844" s="115" t="s">
        <v>1277</v>
      </c>
      <c r="E844" s="133" t="str">
        <f t="shared" si="26"/>
        <v>1200001015PUL-51335 CLEAR 10 VN</v>
      </c>
      <c r="F844" s="133" t="s">
        <v>3091</v>
      </c>
      <c r="G844" s="133" t="s">
        <v>3881</v>
      </c>
      <c r="H844" s="133">
        <f>VLOOKUP(G844,'packing mapping'!A:B,2,0)</f>
        <v>20</v>
      </c>
      <c r="I844" s="137">
        <v>1993800</v>
      </c>
      <c r="J844" s="132">
        <f t="shared" si="27"/>
        <v>99690</v>
      </c>
    </row>
    <row r="845" spans="1:10">
      <c r="A845" s="115" t="s">
        <v>968</v>
      </c>
      <c r="B845" s="115" t="s">
        <v>969</v>
      </c>
      <c r="C845" s="115" t="s">
        <v>1292</v>
      </c>
      <c r="D845" s="115" t="s">
        <v>1293</v>
      </c>
      <c r="E845" s="133" t="str">
        <f t="shared" si="26"/>
        <v>1200001015PUP-52135 WHITE VN</v>
      </c>
      <c r="F845" s="133" t="s">
        <v>3098</v>
      </c>
      <c r="G845" s="133" t="s">
        <v>3881</v>
      </c>
      <c r="H845" s="133">
        <f>VLOOKUP(G845,'packing mapping'!A:B,2,0)</f>
        <v>20</v>
      </c>
      <c r="I845" s="137">
        <v>1881600</v>
      </c>
      <c r="J845" s="132">
        <f t="shared" si="27"/>
        <v>94080</v>
      </c>
    </row>
    <row r="846" spans="1:10">
      <c r="A846" s="115" t="s">
        <v>968</v>
      </c>
      <c r="B846" s="115" t="s">
        <v>969</v>
      </c>
      <c r="C846" s="115" t="s">
        <v>1176</v>
      </c>
      <c r="D846" s="115" t="s">
        <v>1177</v>
      </c>
      <c r="E846" s="133" t="str">
        <f t="shared" si="26"/>
        <v>1200001015PUSS-51235 VN</v>
      </c>
      <c r="F846" s="133" t="s">
        <v>3042</v>
      </c>
      <c r="G846" s="133" t="s">
        <v>3881</v>
      </c>
      <c r="H846" s="133">
        <f>VLOOKUP(G846,'packing mapping'!A:B,2,0)</f>
        <v>20</v>
      </c>
      <c r="I846" s="137">
        <v>1778800</v>
      </c>
      <c r="J846" s="132">
        <f t="shared" si="27"/>
        <v>88940</v>
      </c>
    </row>
    <row r="847" spans="1:10">
      <c r="A847" s="115" t="s">
        <v>968</v>
      </c>
      <c r="B847" s="115" t="s">
        <v>969</v>
      </c>
      <c r="C847" s="115" t="s">
        <v>1298</v>
      </c>
      <c r="D847" s="115" t="s">
        <v>1299</v>
      </c>
      <c r="E847" s="133" t="str">
        <f t="shared" si="26"/>
        <v>1200001015PUP-52122 PUTTY VN</v>
      </c>
      <c r="F847" s="133" t="s">
        <v>3100</v>
      </c>
      <c r="G847" s="133" t="s">
        <v>3883</v>
      </c>
      <c r="H847" s="133">
        <f>VLOOKUP(G847,'packing mapping'!A:B,2,0)</f>
        <v>4</v>
      </c>
      <c r="I847" s="137">
        <v>456960</v>
      </c>
      <c r="J847" s="132">
        <f t="shared" si="27"/>
        <v>114240</v>
      </c>
    </row>
    <row r="848" spans="1:10">
      <c r="A848" s="115" t="s">
        <v>968</v>
      </c>
      <c r="B848" s="115" t="s">
        <v>969</v>
      </c>
      <c r="C848" s="115" t="s">
        <v>1300</v>
      </c>
      <c r="D848" s="115" t="s">
        <v>1301</v>
      </c>
      <c r="E848" s="133" t="str">
        <f t="shared" si="26"/>
        <v>1200001015GZPU-21500 BLACK VN</v>
      </c>
      <c r="F848" s="133" t="s">
        <v>3101</v>
      </c>
      <c r="G848" s="133" t="s">
        <v>3883</v>
      </c>
      <c r="H848" s="133">
        <f>VLOOKUP(G848,'packing mapping'!A:B,2,0)</f>
        <v>4</v>
      </c>
      <c r="I848" s="137">
        <v>1630920</v>
      </c>
      <c r="J848" s="132">
        <f t="shared" si="27"/>
        <v>407730</v>
      </c>
    </row>
    <row r="849" spans="1:10">
      <c r="A849" s="115" t="s">
        <v>968</v>
      </c>
      <c r="B849" s="115" t="s">
        <v>969</v>
      </c>
      <c r="C849" s="115" t="s">
        <v>1302</v>
      </c>
      <c r="D849" s="115" t="s">
        <v>1303</v>
      </c>
      <c r="E849" s="133" t="str">
        <f t="shared" si="26"/>
        <v>1200001015GZPU-21500 BROWN VN</v>
      </c>
      <c r="F849" s="133" t="s">
        <v>3102</v>
      </c>
      <c r="G849" s="133" t="s">
        <v>3883</v>
      </c>
      <c r="H849" s="133">
        <f>VLOOKUP(G849,'packing mapping'!A:B,2,0)</f>
        <v>4</v>
      </c>
      <c r="I849" s="137">
        <v>1365680</v>
      </c>
      <c r="J849" s="132">
        <f t="shared" si="27"/>
        <v>341420</v>
      </c>
    </row>
    <row r="850" spans="1:10">
      <c r="A850" s="115" t="s">
        <v>968</v>
      </c>
      <c r="B850" s="115" t="s">
        <v>969</v>
      </c>
      <c r="C850" s="115" t="s">
        <v>1310</v>
      </c>
      <c r="D850" s="115" t="s">
        <v>1311</v>
      </c>
      <c r="E850" s="133" t="str">
        <f t="shared" si="26"/>
        <v>1200001015GZPU-21500 RED VN</v>
      </c>
      <c r="F850" s="133" t="s">
        <v>3106</v>
      </c>
      <c r="G850" s="133" t="s">
        <v>3883</v>
      </c>
      <c r="H850" s="133">
        <f>VLOOKUP(G850,'packing mapping'!A:B,2,0)</f>
        <v>4</v>
      </c>
      <c r="I850" s="137">
        <v>1834520</v>
      </c>
      <c r="J850" s="132">
        <f t="shared" si="27"/>
        <v>458630</v>
      </c>
    </row>
    <row r="851" spans="1:10">
      <c r="A851" s="115" t="s">
        <v>968</v>
      </c>
      <c r="B851" s="115" t="s">
        <v>969</v>
      </c>
      <c r="C851" s="115" t="s">
        <v>1312</v>
      </c>
      <c r="D851" s="115" t="s">
        <v>1313</v>
      </c>
      <c r="E851" s="133" t="str">
        <f t="shared" si="26"/>
        <v>1200001015GZPU-21500 YELLOW VN</v>
      </c>
      <c r="F851" s="133" t="s">
        <v>3107</v>
      </c>
      <c r="G851" s="133" t="s">
        <v>3883</v>
      </c>
      <c r="H851" s="133">
        <f>VLOOKUP(G851,'packing mapping'!A:B,2,0)</f>
        <v>4</v>
      </c>
      <c r="I851" s="137">
        <v>1673160</v>
      </c>
      <c r="J851" s="132">
        <f t="shared" si="27"/>
        <v>418290</v>
      </c>
    </row>
    <row r="852" spans="1:10">
      <c r="A852" s="115" t="s">
        <v>968</v>
      </c>
      <c r="B852" s="115" t="s">
        <v>969</v>
      </c>
      <c r="C852" s="115" t="s">
        <v>1316</v>
      </c>
      <c r="D852" s="115" t="s">
        <v>1317</v>
      </c>
      <c r="E852" s="133" t="str">
        <f t="shared" si="26"/>
        <v>1200001015PCL-31300 YELLOW 170 HR PASTE</v>
      </c>
      <c r="F852" s="133" t="s">
        <v>3109</v>
      </c>
      <c r="G852" s="133" t="s">
        <v>3883</v>
      </c>
      <c r="H852" s="133">
        <f>VLOOKUP(G852,'packing mapping'!A:B,2,0)</f>
        <v>4</v>
      </c>
      <c r="I852" s="137">
        <v>1757720</v>
      </c>
      <c r="J852" s="132">
        <f t="shared" si="27"/>
        <v>439430</v>
      </c>
    </row>
    <row r="853" spans="1:10">
      <c r="A853" s="115" t="s">
        <v>968</v>
      </c>
      <c r="B853" s="115" t="s">
        <v>969</v>
      </c>
      <c r="C853" s="115" t="s">
        <v>1318</v>
      </c>
      <c r="D853" s="115" t="s">
        <v>1319</v>
      </c>
      <c r="E853" s="133" t="str">
        <f t="shared" si="26"/>
        <v>1200001015GZPU-21500 WHITE VN</v>
      </c>
      <c r="F853" s="133" t="s">
        <v>3110</v>
      </c>
      <c r="G853" s="133" t="s">
        <v>3883</v>
      </c>
      <c r="H853" s="133">
        <f>VLOOKUP(G853,'packing mapping'!A:B,2,0)</f>
        <v>4</v>
      </c>
      <c r="I853" s="137">
        <v>1090200</v>
      </c>
      <c r="J853" s="132">
        <f t="shared" si="27"/>
        <v>272550</v>
      </c>
    </row>
    <row r="854" spans="1:10">
      <c r="A854" s="115" t="s">
        <v>968</v>
      </c>
      <c r="B854" s="115" t="s">
        <v>969</v>
      </c>
      <c r="C854" s="115" t="s">
        <v>1422</v>
      </c>
      <c r="D854" s="115" t="s">
        <v>1423</v>
      </c>
      <c r="E854" s="133" t="str">
        <f t="shared" si="26"/>
        <v>1200001015THPU-71306 WP LC VN</v>
      </c>
      <c r="F854" s="133" t="s">
        <v>3159</v>
      </c>
      <c r="G854" s="133" t="s">
        <v>3880</v>
      </c>
      <c r="H854" s="133">
        <f>VLOOKUP(G854,'packing mapping'!A:B,2,0)</f>
        <v>20</v>
      </c>
      <c r="I854" s="137">
        <v>1060800</v>
      </c>
      <c r="J854" s="132">
        <f t="shared" si="27"/>
        <v>53040</v>
      </c>
    </row>
    <row r="855" spans="1:10">
      <c r="A855" s="115" t="s">
        <v>968</v>
      </c>
      <c r="B855" s="115" t="s">
        <v>969</v>
      </c>
      <c r="C855" s="115" t="s">
        <v>2018</v>
      </c>
      <c r="D855" s="115" t="s">
        <v>2019</v>
      </c>
      <c r="E855" s="133" t="str">
        <f t="shared" si="26"/>
        <v>1200001015THPU-71306 WP LC VN</v>
      </c>
      <c r="F855" s="133" t="s">
        <v>3159</v>
      </c>
      <c r="G855" s="133" t="s">
        <v>3884</v>
      </c>
      <c r="H855" s="133">
        <f>VLOOKUP(G855,'packing mapping'!A:B,2,0)</f>
        <v>200</v>
      </c>
      <c r="I855" s="137">
        <v>10248000</v>
      </c>
      <c r="J855" s="132">
        <f t="shared" si="27"/>
        <v>51240</v>
      </c>
    </row>
    <row r="856" spans="1:10">
      <c r="A856" s="115" t="s">
        <v>968</v>
      </c>
      <c r="B856" s="115" t="s">
        <v>969</v>
      </c>
      <c r="C856" s="115" t="s">
        <v>1332</v>
      </c>
      <c r="D856" s="115" t="s">
        <v>1333</v>
      </c>
      <c r="E856" s="133" t="str">
        <f t="shared" si="26"/>
        <v>1200001015WFPU-51000 VN</v>
      </c>
      <c r="F856" s="133" t="s">
        <v>3117</v>
      </c>
      <c r="G856" s="133" t="s">
        <v>3881</v>
      </c>
      <c r="H856" s="133">
        <f>VLOOKUP(G856,'packing mapping'!A:B,2,0)</f>
        <v>20</v>
      </c>
      <c r="I856" s="137">
        <v>1879200</v>
      </c>
      <c r="J856" s="132">
        <f t="shared" si="27"/>
        <v>93960</v>
      </c>
    </row>
    <row r="857" spans="1:10">
      <c r="A857" s="115" t="s">
        <v>475</v>
      </c>
      <c r="B857" s="115" t="s">
        <v>476</v>
      </c>
      <c r="C857" s="115" t="s">
        <v>2020</v>
      </c>
      <c r="D857" s="115" t="s">
        <v>2021</v>
      </c>
      <c r="E857" s="133" t="str">
        <f t="shared" si="26"/>
        <v>1200000195EDP-551 ZINC PHOSPHATE (XÁM) VN</v>
      </c>
      <c r="F857" s="133" t="s">
        <v>3429</v>
      </c>
      <c r="G857" s="133" t="s">
        <v>3882</v>
      </c>
      <c r="H857" s="133">
        <f>VLOOKUP(G857,'packing mapping'!A:B,2,0)</f>
        <v>18</v>
      </c>
      <c r="I857" s="137">
        <v>2050200</v>
      </c>
      <c r="J857" s="132">
        <f t="shared" si="27"/>
        <v>113900</v>
      </c>
    </row>
    <row r="858" spans="1:10">
      <c r="A858" s="115" t="s">
        <v>475</v>
      </c>
      <c r="B858" s="115" t="s">
        <v>476</v>
      </c>
      <c r="C858" s="115" t="s">
        <v>2022</v>
      </c>
      <c r="D858" s="115" t="s">
        <v>2023</v>
      </c>
      <c r="E858" s="133" t="str">
        <f t="shared" si="26"/>
        <v>1200000195EDP-551 BLACK (ĐEN) VN</v>
      </c>
      <c r="F858" s="133" t="s">
        <v>3430</v>
      </c>
      <c r="G858" s="133" t="s">
        <v>3882</v>
      </c>
      <c r="H858" s="133">
        <f>VLOOKUP(G858,'packing mapping'!A:B,2,0)</f>
        <v>18</v>
      </c>
      <c r="I858" s="137">
        <v>2050200</v>
      </c>
      <c r="J858" s="132">
        <f t="shared" si="27"/>
        <v>113900</v>
      </c>
    </row>
    <row r="859" spans="1:10">
      <c r="A859" s="115" t="s">
        <v>475</v>
      </c>
      <c r="B859" s="115" t="s">
        <v>476</v>
      </c>
      <c r="C859" s="115" t="s">
        <v>2024</v>
      </c>
      <c r="D859" s="115" t="s">
        <v>2025</v>
      </c>
      <c r="E859" s="133" t="str">
        <f t="shared" si="26"/>
        <v>1200000195CỨNG EPOXY EDP-551 VN</v>
      </c>
      <c r="F859" s="133" t="s">
        <v>3431</v>
      </c>
      <c r="G859" s="133" t="s">
        <v>3887</v>
      </c>
      <c r="H859" s="133">
        <f>VLOOKUP(G859,'packing mapping'!A:B,2,0)</f>
        <v>2</v>
      </c>
      <c r="I859" s="137">
        <v>471096</v>
      </c>
      <c r="J859" s="132">
        <f t="shared" si="27"/>
        <v>235548</v>
      </c>
    </row>
    <row r="860" spans="1:10">
      <c r="A860" s="115" t="s">
        <v>257</v>
      </c>
      <c r="B860" s="115" t="s">
        <v>258</v>
      </c>
      <c r="C860" s="115" t="s">
        <v>2026</v>
      </c>
      <c r="D860" s="115" t="s">
        <v>2027</v>
      </c>
      <c r="E860" s="133" t="str">
        <f t="shared" si="26"/>
        <v>1200000084WBC-62201 SL XLC GREY 30 VL VN</v>
      </c>
      <c r="F860" s="133" t="s">
        <v>3432</v>
      </c>
      <c r="G860" s="133" t="s">
        <v>3889</v>
      </c>
      <c r="H860" s="133">
        <f>VLOOKUP(G860,'packing mapping'!A:B,2,0)</f>
        <v>200</v>
      </c>
      <c r="I860" s="137">
        <v>11365200</v>
      </c>
      <c r="J860" s="132">
        <f t="shared" si="27"/>
        <v>56826</v>
      </c>
    </row>
    <row r="861" spans="1:10">
      <c r="A861" s="115" t="s">
        <v>257</v>
      </c>
      <c r="B861" s="115" t="s">
        <v>258</v>
      </c>
      <c r="C861" s="115" t="s">
        <v>2028</v>
      </c>
      <c r="D861" s="115" t="s">
        <v>2029</v>
      </c>
      <c r="E861" s="133" t="str">
        <f t="shared" si="26"/>
        <v>1200000084WBL-61202 SL CLEAR 70 VN</v>
      </c>
      <c r="F861" s="133" t="s">
        <v>3433</v>
      </c>
      <c r="G861" s="133" t="s">
        <v>3889</v>
      </c>
      <c r="H861" s="133">
        <f>VLOOKUP(G861,'packing mapping'!A:B,2,0)</f>
        <v>200</v>
      </c>
      <c r="I861" s="137">
        <v>8085000</v>
      </c>
      <c r="J861" s="132">
        <f t="shared" si="27"/>
        <v>40425</v>
      </c>
    </row>
    <row r="862" spans="1:10">
      <c r="A862" s="115" t="s">
        <v>257</v>
      </c>
      <c r="B862" s="115" t="s">
        <v>258</v>
      </c>
      <c r="C862" s="115" t="s">
        <v>2030</v>
      </c>
      <c r="D862" s="115" t="s">
        <v>2031</v>
      </c>
      <c r="E862" s="133" t="str">
        <f t="shared" si="26"/>
        <v>1200000084WBC-62201 SL XLC WHITE 50VLVN</v>
      </c>
      <c r="F862" s="133" t="s">
        <v>3434</v>
      </c>
      <c r="G862" s="133" t="s">
        <v>3889</v>
      </c>
      <c r="H862" s="133">
        <f>VLOOKUP(G862,'packing mapping'!A:B,2,0)</f>
        <v>200</v>
      </c>
      <c r="I862" s="137">
        <v>12427800</v>
      </c>
      <c r="J862" s="132">
        <f t="shared" si="27"/>
        <v>62139</v>
      </c>
    </row>
    <row r="863" spans="1:10">
      <c r="A863" s="115" t="s">
        <v>257</v>
      </c>
      <c r="B863" s="115" t="s">
        <v>258</v>
      </c>
      <c r="C863" s="115" t="s">
        <v>2032</v>
      </c>
      <c r="D863" s="115" t="s">
        <v>2033</v>
      </c>
      <c r="E863" s="133" t="str">
        <f t="shared" si="26"/>
        <v>1200000084WBL-61207 HV CLEAR 70</v>
      </c>
      <c r="F863" s="133" t="s">
        <v>3435</v>
      </c>
      <c r="G863" s="133" t="s">
        <v>3881</v>
      </c>
      <c r="H863" s="133">
        <f>VLOOKUP(G863,'packing mapping'!A:B,2,0)</f>
        <v>20</v>
      </c>
      <c r="I863" s="137">
        <v>1732500</v>
      </c>
      <c r="J863" s="132">
        <f t="shared" si="27"/>
        <v>86625</v>
      </c>
    </row>
    <row r="864" spans="1:10">
      <c r="A864" s="115" t="s">
        <v>706</v>
      </c>
      <c r="B864" s="115" t="s">
        <v>707</v>
      </c>
      <c r="C864" s="115" t="s">
        <v>1462</v>
      </c>
      <c r="D864" s="115" t="s">
        <v>1463</v>
      </c>
      <c r="E864" s="133" t="str">
        <f t="shared" si="26"/>
        <v>120000064964-56 MICRO FILLER VN</v>
      </c>
      <c r="F864" s="133" t="s">
        <v>3178</v>
      </c>
      <c r="G864" s="133" t="s">
        <v>3881</v>
      </c>
      <c r="H864" s="133">
        <f>VLOOKUP(G864,'packing mapping'!A:B,2,0)</f>
        <v>20</v>
      </c>
      <c r="I864" s="137">
        <v>1369600</v>
      </c>
      <c r="J864" s="132">
        <f t="shared" si="27"/>
        <v>68480</v>
      </c>
    </row>
    <row r="865" spans="1:10">
      <c r="A865" s="115" t="s">
        <v>706</v>
      </c>
      <c r="B865" s="115" t="s">
        <v>707</v>
      </c>
      <c r="C865" s="115" t="s">
        <v>1686</v>
      </c>
      <c r="D865" s="115" t="s">
        <v>1687</v>
      </c>
      <c r="E865" s="133" t="str">
        <f t="shared" si="26"/>
        <v>1200000649FLX-66300 WB VN</v>
      </c>
      <c r="F865" s="133" t="s">
        <v>3280</v>
      </c>
      <c r="G865" s="133" t="s">
        <v>3881</v>
      </c>
      <c r="H865" s="133">
        <f>VLOOKUP(G865,'packing mapping'!A:B,2,0)</f>
        <v>20</v>
      </c>
      <c r="I865" s="137">
        <v>1846600</v>
      </c>
      <c r="J865" s="132">
        <f t="shared" si="27"/>
        <v>92330</v>
      </c>
    </row>
    <row r="866" spans="1:10">
      <c r="A866" s="115" t="s">
        <v>706</v>
      </c>
      <c r="B866" s="115" t="s">
        <v>707</v>
      </c>
      <c r="C866" s="115" t="s">
        <v>1182</v>
      </c>
      <c r="D866" s="115" t="s">
        <v>1183</v>
      </c>
      <c r="E866" s="133" t="str">
        <f t="shared" si="26"/>
        <v>1200000649MEP-12003 BROWN KI VN</v>
      </c>
      <c r="F866" s="133" t="s">
        <v>3045</v>
      </c>
      <c r="G866" s="133" t="s">
        <v>3882</v>
      </c>
      <c r="H866" s="133">
        <f>VLOOKUP(G866,'packing mapping'!A:B,2,0)</f>
        <v>18</v>
      </c>
      <c r="I866" s="137">
        <v>1463580</v>
      </c>
      <c r="J866" s="132">
        <f t="shared" si="27"/>
        <v>81310</v>
      </c>
    </row>
    <row r="867" spans="1:10">
      <c r="A867" s="115" t="s">
        <v>706</v>
      </c>
      <c r="B867" s="115" t="s">
        <v>707</v>
      </c>
      <c r="C867" s="115" t="s">
        <v>2034</v>
      </c>
      <c r="D867" s="115" t="s">
        <v>2035</v>
      </c>
      <c r="E867" s="133" t="str">
        <f t="shared" si="26"/>
        <v>1200000649NCSS-30800 LY MOD VN</v>
      </c>
      <c r="F867" s="133" t="s">
        <v>3436</v>
      </c>
      <c r="G867" s="133" t="s">
        <v>3882</v>
      </c>
      <c r="H867" s="133">
        <f>VLOOKUP(G867,'packing mapping'!A:B,2,0)</f>
        <v>18</v>
      </c>
      <c r="I867" s="137">
        <v>2033640</v>
      </c>
      <c r="J867" s="132">
        <f t="shared" si="27"/>
        <v>112980</v>
      </c>
    </row>
    <row r="868" spans="1:10">
      <c r="A868" s="115" t="s">
        <v>706</v>
      </c>
      <c r="B868" s="115" t="s">
        <v>707</v>
      </c>
      <c r="C868" s="115" t="s">
        <v>1522</v>
      </c>
      <c r="D868" s="115" t="s">
        <v>1523</v>
      </c>
      <c r="E868" s="133" t="str">
        <f t="shared" si="26"/>
        <v>1200000649PCA-31102 BLACK OB PASTE</v>
      </c>
      <c r="F868" s="133" t="s">
        <v>3201</v>
      </c>
      <c r="G868" s="133" t="s">
        <v>3883</v>
      </c>
      <c r="H868" s="133">
        <f>VLOOKUP(G868,'packing mapping'!A:B,2,0)</f>
        <v>4</v>
      </c>
      <c r="I868" s="137">
        <v>1512000</v>
      </c>
      <c r="J868" s="132">
        <f t="shared" si="27"/>
        <v>378000</v>
      </c>
    </row>
    <row r="869" spans="1:10">
      <c r="A869" s="115" t="s">
        <v>706</v>
      </c>
      <c r="B869" s="115" t="s">
        <v>707</v>
      </c>
      <c r="C869" s="115" t="s">
        <v>1524</v>
      </c>
      <c r="D869" s="115" t="s">
        <v>1525</v>
      </c>
      <c r="E869" s="133" t="str">
        <f t="shared" si="26"/>
        <v>1200000649PCA-31102 OXIDE RED 45 PASTE</v>
      </c>
      <c r="F869" s="133" t="s">
        <v>3202</v>
      </c>
      <c r="G869" s="133" t="s">
        <v>3883</v>
      </c>
      <c r="H869" s="133">
        <f>VLOOKUP(G869,'packing mapping'!A:B,2,0)</f>
        <v>4</v>
      </c>
      <c r="I869" s="137">
        <v>1009200</v>
      </c>
      <c r="J869" s="132">
        <f t="shared" si="27"/>
        <v>252300</v>
      </c>
    </row>
    <row r="870" spans="1:10">
      <c r="A870" s="115" t="s">
        <v>706</v>
      </c>
      <c r="B870" s="115" t="s">
        <v>707</v>
      </c>
      <c r="C870" s="115" t="s">
        <v>1526</v>
      </c>
      <c r="D870" s="115" t="s">
        <v>1527</v>
      </c>
      <c r="E870" s="133" t="str">
        <f t="shared" si="26"/>
        <v>1200000649PCA-31102 YELLOW OKER 13 PASTE</v>
      </c>
      <c r="F870" s="133" t="s">
        <v>3203</v>
      </c>
      <c r="G870" s="133" t="s">
        <v>3883</v>
      </c>
      <c r="H870" s="133">
        <f>VLOOKUP(G870,'packing mapping'!A:B,2,0)</f>
        <v>4</v>
      </c>
      <c r="I870" s="137">
        <v>896400</v>
      </c>
      <c r="J870" s="132">
        <f t="shared" si="27"/>
        <v>224100</v>
      </c>
    </row>
    <row r="871" spans="1:10">
      <c r="A871" s="115" t="s">
        <v>706</v>
      </c>
      <c r="B871" s="115" t="s">
        <v>707</v>
      </c>
      <c r="C871" s="115" t="s">
        <v>1192</v>
      </c>
      <c r="D871" s="115" t="s">
        <v>1193</v>
      </c>
      <c r="E871" s="133" t="str">
        <f t="shared" si="26"/>
        <v>1200000649PCL-31300 BLACK PASTE</v>
      </c>
      <c r="F871" s="133" t="s">
        <v>3050</v>
      </c>
      <c r="G871" s="133" t="s">
        <v>3883</v>
      </c>
      <c r="H871" s="133">
        <f>VLOOKUP(G871,'packing mapping'!A:B,2,0)</f>
        <v>4</v>
      </c>
      <c r="I871" s="137">
        <v>1718360</v>
      </c>
      <c r="J871" s="132">
        <f t="shared" si="27"/>
        <v>429590</v>
      </c>
    </row>
    <row r="872" spans="1:10">
      <c r="A872" s="115" t="s">
        <v>706</v>
      </c>
      <c r="B872" s="115" t="s">
        <v>707</v>
      </c>
      <c r="C872" s="115" t="s">
        <v>1194</v>
      </c>
      <c r="D872" s="115" t="s">
        <v>1195</v>
      </c>
      <c r="E872" s="133" t="str">
        <f t="shared" si="26"/>
        <v>1200000649PCL-31300 BLUE OG PASTE</v>
      </c>
      <c r="F872" s="133" t="s">
        <v>3051</v>
      </c>
      <c r="G872" s="133" t="s">
        <v>3883</v>
      </c>
      <c r="H872" s="133">
        <f>VLOOKUP(G872,'packing mapping'!A:B,2,0)</f>
        <v>4</v>
      </c>
      <c r="I872" s="137">
        <v>1589840</v>
      </c>
      <c r="J872" s="132">
        <f t="shared" si="27"/>
        <v>397460</v>
      </c>
    </row>
    <row r="873" spans="1:10">
      <c r="A873" s="115" t="s">
        <v>706</v>
      </c>
      <c r="B873" s="115" t="s">
        <v>707</v>
      </c>
      <c r="C873" s="115" t="s">
        <v>1196</v>
      </c>
      <c r="D873" s="115" t="s">
        <v>1197</v>
      </c>
      <c r="E873" s="133" t="str">
        <f t="shared" si="26"/>
        <v>1200000649PCL-31300 BLUE OR 50 PASTE</v>
      </c>
      <c r="F873" s="133" t="s">
        <v>3052</v>
      </c>
      <c r="G873" s="133" t="s">
        <v>3883</v>
      </c>
      <c r="H873" s="133">
        <f>VLOOKUP(G873,'packing mapping'!A:B,2,0)</f>
        <v>4</v>
      </c>
      <c r="I873" s="137">
        <v>2441960</v>
      </c>
      <c r="J873" s="132">
        <f t="shared" si="27"/>
        <v>610490</v>
      </c>
    </row>
    <row r="874" spans="1:10">
      <c r="A874" s="115" t="s">
        <v>706</v>
      </c>
      <c r="B874" s="115" t="s">
        <v>707</v>
      </c>
      <c r="C874" s="115" t="s">
        <v>1198</v>
      </c>
      <c r="D874" s="115" t="s">
        <v>1199</v>
      </c>
      <c r="E874" s="133" t="str">
        <f t="shared" si="26"/>
        <v>1200000649PCL-31300 BROWN PASTE VN</v>
      </c>
      <c r="F874" s="133" t="s">
        <v>3053</v>
      </c>
      <c r="G874" s="133" t="s">
        <v>3883</v>
      </c>
      <c r="H874" s="133">
        <f>VLOOKUP(G874,'packing mapping'!A:B,2,0)</f>
        <v>4</v>
      </c>
      <c r="I874" s="137">
        <v>1240040</v>
      </c>
      <c r="J874" s="132">
        <f t="shared" si="27"/>
        <v>310010</v>
      </c>
    </row>
    <row r="875" spans="1:10">
      <c r="A875" s="115" t="s">
        <v>706</v>
      </c>
      <c r="B875" s="115" t="s">
        <v>707</v>
      </c>
      <c r="C875" s="115" t="s">
        <v>1200</v>
      </c>
      <c r="D875" s="115" t="s">
        <v>1201</v>
      </c>
      <c r="E875" s="133" t="str">
        <f t="shared" si="26"/>
        <v>1200000649PCL-31300 RED OB 35 PASTE</v>
      </c>
      <c r="F875" s="133" t="s">
        <v>3054</v>
      </c>
      <c r="G875" s="133" t="s">
        <v>3883</v>
      </c>
      <c r="H875" s="133">
        <f>VLOOKUP(G875,'packing mapping'!A:B,2,0)</f>
        <v>4</v>
      </c>
      <c r="I875" s="137">
        <v>2339280</v>
      </c>
      <c r="J875" s="132">
        <f t="shared" si="27"/>
        <v>584820</v>
      </c>
    </row>
    <row r="876" spans="1:10">
      <c r="A876" s="115" t="s">
        <v>706</v>
      </c>
      <c r="B876" s="115" t="s">
        <v>707</v>
      </c>
      <c r="C876" s="115" t="s">
        <v>1382</v>
      </c>
      <c r="D876" s="115" t="s">
        <v>1383</v>
      </c>
      <c r="E876" s="133" t="str">
        <f t="shared" si="26"/>
        <v>1200000649PCL-31300 RED PINK PASTE</v>
      </c>
      <c r="F876" s="133" t="s">
        <v>3141</v>
      </c>
      <c r="G876" s="133" t="s">
        <v>3883</v>
      </c>
      <c r="H876" s="133">
        <f>VLOOKUP(G876,'packing mapping'!A:B,2,0)</f>
        <v>4</v>
      </c>
      <c r="I876" s="137">
        <v>3821280</v>
      </c>
      <c r="J876" s="132">
        <f t="shared" si="27"/>
        <v>955320</v>
      </c>
    </row>
    <row r="877" spans="1:10">
      <c r="A877" s="115" t="s">
        <v>706</v>
      </c>
      <c r="B877" s="115" t="s">
        <v>707</v>
      </c>
      <c r="C877" s="115" t="s">
        <v>1202</v>
      </c>
      <c r="D877" s="115" t="s">
        <v>1203</v>
      </c>
      <c r="E877" s="133" t="str">
        <f t="shared" si="26"/>
        <v>1200000649PCL-31300 WHITE PASTE</v>
      </c>
      <c r="F877" s="133" t="s">
        <v>3055</v>
      </c>
      <c r="G877" s="133" t="s">
        <v>3883</v>
      </c>
      <c r="H877" s="133">
        <f>VLOOKUP(G877,'packing mapping'!A:B,2,0)</f>
        <v>4</v>
      </c>
      <c r="I877" s="137">
        <v>879920</v>
      </c>
      <c r="J877" s="132">
        <f t="shared" si="27"/>
        <v>219980</v>
      </c>
    </row>
    <row r="878" spans="1:10">
      <c r="A878" s="115" t="s">
        <v>706</v>
      </c>
      <c r="B878" s="115" t="s">
        <v>707</v>
      </c>
      <c r="C878" s="115" t="s">
        <v>1204</v>
      </c>
      <c r="D878" s="115" t="s">
        <v>1205</v>
      </c>
      <c r="E878" s="133" t="str">
        <f t="shared" si="26"/>
        <v>1200000649PCL-31300 YELLOW OG 16 PASTE</v>
      </c>
      <c r="F878" s="133" t="s">
        <v>3056</v>
      </c>
      <c r="G878" s="133" t="s">
        <v>3883</v>
      </c>
      <c r="H878" s="133">
        <f>VLOOKUP(G878,'packing mapping'!A:B,2,0)</f>
        <v>4</v>
      </c>
      <c r="I878" s="137">
        <v>2900280</v>
      </c>
      <c r="J878" s="132">
        <f t="shared" si="27"/>
        <v>725070</v>
      </c>
    </row>
    <row r="879" spans="1:10">
      <c r="A879" s="115" t="s">
        <v>706</v>
      </c>
      <c r="B879" s="115" t="s">
        <v>707</v>
      </c>
      <c r="C879" s="115" t="s">
        <v>1206</v>
      </c>
      <c r="D879" s="115" t="s">
        <v>1207</v>
      </c>
      <c r="E879" s="133" t="str">
        <f t="shared" si="26"/>
        <v>1200000649PCL-31300 YELLOW OKER PASTE</v>
      </c>
      <c r="F879" s="133" t="s">
        <v>3057</v>
      </c>
      <c r="G879" s="133" t="s">
        <v>3883</v>
      </c>
      <c r="H879" s="133">
        <f>VLOOKUP(G879,'packing mapping'!A:B,2,0)</f>
        <v>4</v>
      </c>
      <c r="I879" s="137">
        <v>1335920</v>
      </c>
      <c r="J879" s="132">
        <f t="shared" si="27"/>
        <v>333980</v>
      </c>
    </row>
    <row r="880" spans="1:10">
      <c r="A880" s="115" t="s">
        <v>706</v>
      </c>
      <c r="B880" s="115" t="s">
        <v>707</v>
      </c>
      <c r="C880" s="115" t="s">
        <v>1530</v>
      </c>
      <c r="D880" s="115" t="s">
        <v>1531</v>
      </c>
      <c r="E880" s="133" t="str">
        <f t="shared" si="26"/>
        <v>1200000649PCU-31400 WHITE PASTE</v>
      </c>
      <c r="F880" s="133" t="s">
        <v>3205</v>
      </c>
      <c r="G880" s="133" t="s">
        <v>3883</v>
      </c>
      <c r="H880" s="133">
        <f>VLOOKUP(G880,'packing mapping'!A:B,2,0)</f>
        <v>4</v>
      </c>
      <c r="I880" s="137">
        <v>1117600</v>
      </c>
      <c r="J880" s="132">
        <f t="shared" si="27"/>
        <v>279400</v>
      </c>
    </row>
    <row r="881" spans="1:10">
      <c r="A881" s="115" t="s">
        <v>706</v>
      </c>
      <c r="B881" s="115" t="s">
        <v>707</v>
      </c>
      <c r="C881" s="115" t="s">
        <v>1866</v>
      </c>
      <c r="D881" s="115" t="s">
        <v>1867</v>
      </c>
      <c r="E881" s="133" t="str">
        <f t="shared" si="26"/>
        <v>1200000649PCWB-31600 WHITE PASTE</v>
      </c>
      <c r="F881" s="133" t="s">
        <v>3356</v>
      </c>
      <c r="G881" s="133" t="s">
        <v>3883</v>
      </c>
      <c r="H881" s="133">
        <f>VLOOKUP(G881,'packing mapping'!A:B,2,0)</f>
        <v>4</v>
      </c>
      <c r="I881" s="137">
        <v>1340640</v>
      </c>
      <c r="J881" s="132">
        <f t="shared" si="27"/>
        <v>335160</v>
      </c>
    </row>
    <row r="882" spans="1:10">
      <c r="A882" s="115" t="s">
        <v>706</v>
      </c>
      <c r="B882" s="115" t="s">
        <v>707</v>
      </c>
      <c r="C882" s="115" t="s">
        <v>1208</v>
      </c>
      <c r="D882" s="115" t="s">
        <v>1209</v>
      </c>
      <c r="E882" s="133" t="str">
        <f t="shared" si="26"/>
        <v>1200000649PG-13900 WHITE 01 VN</v>
      </c>
      <c r="F882" s="133" t="s">
        <v>3058</v>
      </c>
      <c r="G882" s="133" t="s">
        <v>3881</v>
      </c>
      <c r="H882" s="133">
        <f>VLOOKUP(G882,'packing mapping'!A:B,2,0)</f>
        <v>20</v>
      </c>
      <c r="I882" s="137">
        <v>1446600</v>
      </c>
      <c r="J882" s="132">
        <f t="shared" si="27"/>
        <v>72330</v>
      </c>
    </row>
    <row r="883" spans="1:10">
      <c r="A883" s="115" t="s">
        <v>706</v>
      </c>
      <c r="B883" s="115" t="s">
        <v>707</v>
      </c>
      <c r="C883" s="115" t="s">
        <v>1386</v>
      </c>
      <c r="D883" s="115" t="s">
        <v>1387</v>
      </c>
      <c r="E883" s="133" t="str">
        <f t="shared" si="26"/>
        <v>1200000649PUC-54205 AC WHITE 90 VN</v>
      </c>
      <c r="F883" s="133" t="s">
        <v>3143</v>
      </c>
      <c r="G883" s="133" t="s">
        <v>3881</v>
      </c>
      <c r="H883" s="133">
        <f>VLOOKUP(G883,'packing mapping'!A:B,2,0)</f>
        <v>20</v>
      </c>
      <c r="I883" s="137">
        <v>2889000</v>
      </c>
      <c r="J883" s="132">
        <f t="shared" si="27"/>
        <v>144450</v>
      </c>
    </row>
    <row r="884" spans="1:10">
      <c r="A884" s="115" t="s">
        <v>706</v>
      </c>
      <c r="B884" s="115" t="s">
        <v>707</v>
      </c>
      <c r="C884" s="115" t="s">
        <v>1388</v>
      </c>
      <c r="D884" s="115" t="s">
        <v>1389</v>
      </c>
      <c r="E884" s="133" t="str">
        <f t="shared" si="26"/>
        <v>1200000649PUC-54205 AC WHITE 10 VN</v>
      </c>
      <c r="F884" s="133" t="s">
        <v>3144</v>
      </c>
      <c r="G884" s="133" t="s">
        <v>3881</v>
      </c>
      <c r="H884" s="133">
        <f>VLOOKUP(G884,'packing mapping'!A:B,2,0)</f>
        <v>20</v>
      </c>
      <c r="I884" s="137">
        <v>2932000</v>
      </c>
      <c r="J884" s="132">
        <f t="shared" si="27"/>
        <v>146600</v>
      </c>
    </row>
    <row r="885" spans="1:10">
      <c r="A885" s="115" t="s">
        <v>706</v>
      </c>
      <c r="B885" s="115" t="s">
        <v>707</v>
      </c>
      <c r="C885" s="115" t="s">
        <v>1210</v>
      </c>
      <c r="D885" s="115" t="s">
        <v>1211</v>
      </c>
      <c r="E885" s="133" t="str">
        <f t="shared" si="26"/>
        <v>1200000649PUH-56306 LY VN</v>
      </c>
      <c r="F885" s="133" t="s">
        <v>3059</v>
      </c>
      <c r="G885" s="133" t="s">
        <v>3879</v>
      </c>
      <c r="H885" s="133">
        <f>VLOOKUP(G885,'packing mapping'!A:B,2,0)</f>
        <v>20</v>
      </c>
      <c r="I885" s="137">
        <v>3850000</v>
      </c>
      <c r="J885" s="132">
        <f t="shared" si="27"/>
        <v>192500</v>
      </c>
    </row>
    <row r="886" spans="1:10">
      <c r="A886" s="115" t="s">
        <v>706</v>
      </c>
      <c r="B886" s="115" t="s">
        <v>707</v>
      </c>
      <c r="C886" s="115" t="s">
        <v>1474</v>
      </c>
      <c r="D886" s="115" t="s">
        <v>1475</v>
      </c>
      <c r="E886" s="133" t="str">
        <f t="shared" si="26"/>
        <v>1200000649PUL-53306 AC EX CLEAR 30 VN</v>
      </c>
      <c r="F886" s="133" t="s">
        <v>3183</v>
      </c>
      <c r="G886" s="133" t="s">
        <v>3879</v>
      </c>
      <c r="H886" s="133">
        <f>VLOOKUP(G886,'packing mapping'!A:B,2,0)</f>
        <v>20</v>
      </c>
      <c r="I886" s="137">
        <v>3497200</v>
      </c>
      <c r="J886" s="132">
        <f t="shared" si="27"/>
        <v>174860</v>
      </c>
    </row>
    <row r="887" spans="1:10">
      <c r="A887" s="115" t="s">
        <v>706</v>
      </c>
      <c r="B887" s="115" t="s">
        <v>707</v>
      </c>
      <c r="C887" s="115" t="s">
        <v>1216</v>
      </c>
      <c r="D887" s="115" t="s">
        <v>1217</v>
      </c>
      <c r="E887" s="133" t="str">
        <f t="shared" si="26"/>
        <v>1200000649PUL-53306 AC EX CLEAR 90 VN</v>
      </c>
      <c r="F887" s="133" t="s">
        <v>3062</v>
      </c>
      <c r="G887" s="133" t="s">
        <v>3879</v>
      </c>
      <c r="H887" s="133">
        <f>VLOOKUP(G887,'packing mapping'!A:B,2,0)</f>
        <v>20</v>
      </c>
      <c r="I887" s="137">
        <v>2777600</v>
      </c>
      <c r="J887" s="132">
        <f t="shared" si="27"/>
        <v>138880</v>
      </c>
    </row>
    <row r="888" spans="1:10">
      <c r="A888" s="115" t="s">
        <v>706</v>
      </c>
      <c r="B888" s="115" t="s">
        <v>707</v>
      </c>
      <c r="C888" s="115" t="s">
        <v>1218</v>
      </c>
      <c r="D888" s="115" t="s">
        <v>1219</v>
      </c>
      <c r="E888" s="133" t="str">
        <f t="shared" si="26"/>
        <v>1200000649PUSS-53206 AC EX VN</v>
      </c>
      <c r="F888" s="133" t="s">
        <v>3063</v>
      </c>
      <c r="G888" s="133" t="s">
        <v>3881</v>
      </c>
      <c r="H888" s="133">
        <f>VLOOKUP(G888,'packing mapping'!A:B,2,0)</f>
        <v>20</v>
      </c>
      <c r="I888" s="137">
        <v>2398400</v>
      </c>
      <c r="J888" s="132">
        <f t="shared" si="27"/>
        <v>119920</v>
      </c>
    </row>
    <row r="889" spans="1:10">
      <c r="A889" s="115" t="s">
        <v>706</v>
      </c>
      <c r="B889" s="115" t="s">
        <v>707</v>
      </c>
      <c r="C889" s="115" t="s">
        <v>1220</v>
      </c>
      <c r="D889" s="115" t="s">
        <v>1221</v>
      </c>
      <c r="E889" s="133" t="str">
        <f t="shared" si="26"/>
        <v>1200000649SST-11100 C10 BLACK</v>
      </c>
      <c r="F889" s="133" t="s">
        <v>3064</v>
      </c>
      <c r="G889" s="133" t="s">
        <v>3883</v>
      </c>
      <c r="H889" s="133">
        <f>VLOOKUP(G889,'packing mapping'!A:B,2,0)</f>
        <v>4</v>
      </c>
      <c r="I889" s="137">
        <v>916240</v>
      </c>
      <c r="J889" s="132">
        <f t="shared" si="27"/>
        <v>229060</v>
      </c>
    </row>
    <row r="890" spans="1:10">
      <c r="A890" s="115" t="s">
        <v>706</v>
      </c>
      <c r="B890" s="115" t="s">
        <v>707</v>
      </c>
      <c r="C890" s="115" t="s">
        <v>1222</v>
      </c>
      <c r="D890" s="115" t="s">
        <v>1223</v>
      </c>
      <c r="E890" s="133" t="str">
        <f t="shared" si="26"/>
        <v>1200000649SST-11100 C10 BLUE</v>
      </c>
      <c r="F890" s="133" t="s">
        <v>3065</v>
      </c>
      <c r="G890" s="133" t="s">
        <v>3883</v>
      </c>
      <c r="H890" s="133">
        <f>VLOOKUP(G890,'packing mapping'!A:B,2,0)</f>
        <v>4</v>
      </c>
      <c r="I890" s="137">
        <v>1535320</v>
      </c>
      <c r="J890" s="132">
        <f t="shared" si="27"/>
        <v>383830</v>
      </c>
    </row>
    <row r="891" spans="1:10">
      <c r="A891" s="115" t="s">
        <v>706</v>
      </c>
      <c r="B891" s="115" t="s">
        <v>707</v>
      </c>
      <c r="C891" s="115" t="s">
        <v>1224</v>
      </c>
      <c r="D891" s="115" t="s">
        <v>1225</v>
      </c>
      <c r="E891" s="133" t="str">
        <f t="shared" si="26"/>
        <v>1200000649SST-11100 C10 ORANGE</v>
      </c>
      <c r="F891" s="133" t="s">
        <v>3066</v>
      </c>
      <c r="G891" s="133" t="s">
        <v>3883</v>
      </c>
      <c r="H891" s="133">
        <f>VLOOKUP(G891,'packing mapping'!A:B,2,0)</f>
        <v>4</v>
      </c>
      <c r="I891" s="137">
        <v>1091520</v>
      </c>
      <c r="J891" s="132">
        <f t="shared" si="27"/>
        <v>272880</v>
      </c>
    </row>
    <row r="892" spans="1:10">
      <c r="A892" s="115" t="s">
        <v>706</v>
      </c>
      <c r="B892" s="115" t="s">
        <v>707</v>
      </c>
      <c r="C892" s="115" t="s">
        <v>1226</v>
      </c>
      <c r="D892" s="115" t="s">
        <v>1227</v>
      </c>
      <c r="E892" s="133" t="str">
        <f t="shared" si="26"/>
        <v>1200000649SST-11100 C10 RED</v>
      </c>
      <c r="F892" s="133" t="s">
        <v>3067</v>
      </c>
      <c r="G892" s="133" t="s">
        <v>3883</v>
      </c>
      <c r="H892" s="133">
        <f>VLOOKUP(G892,'packing mapping'!A:B,2,0)</f>
        <v>4</v>
      </c>
      <c r="I892" s="137">
        <v>1077480</v>
      </c>
      <c r="J892" s="132">
        <f t="shared" si="27"/>
        <v>269370</v>
      </c>
    </row>
    <row r="893" spans="1:10">
      <c r="A893" s="115" t="s">
        <v>706</v>
      </c>
      <c r="B893" s="115" t="s">
        <v>707</v>
      </c>
      <c r="C893" s="115" t="s">
        <v>1228</v>
      </c>
      <c r="D893" s="115" t="s">
        <v>1229</v>
      </c>
      <c r="E893" s="133" t="str">
        <f t="shared" si="26"/>
        <v>1200000649SST-11100 C10 YELLOW</v>
      </c>
      <c r="F893" s="133" t="s">
        <v>3068</v>
      </c>
      <c r="G893" s="133" t="s">
        <v>3883</v>
      </c>
      <c r="H893" s="133">
        <f>VLOOKUP(G893,'packing mapping'!A:B,2,0)</f>
        <v>4</v>
      </c>
      <c r="I893" s="137">
        <v>778080</v>
      </c>
      <c r="J893" s="132">
        <f t="shared" si="27"/>
        <v>194520</v>
      </c>
    </row>
    <row r="894" spans="1:10">
      <c r="A894" s="115" t="s">
        <v>706</v>
      </c>
      <c r="B894" s="115" t="s">
        <v>707</v>
      </c>
      <c r="C894" s="115" t="s">
        <v>1230</v>
      </c>
      <c r="D894" s="115" t="s">
        <v>1231</v>
      </c>
      <c r="E894" s="133" t="str">
        <f t="shared" si="26"/>
        <v>1200000649THC-73100 201 VN</v>
      </c>
      <c r="F894" s="133" t="s">
        <v>3069</v>
      </c>
      <c r="G894" s="133" t="s">
        <v>3884</v>
      </c>
      <c r="H894" s="133">
        <f>VLOOKUP(G894,'packing mapping'!A:B,2,0)</f>
        <v>200</v>
      </c>
      <c r="I894" s="137">
        <v>8534000</v>
      </c>
      <c r="J894" s="132">
        <f t="shared" si="27"/>
        <v>42670</v>
      </c>
    </row>
    <row r="895" spans="1:10">
      <c r="A895" s="115" t="s">
        <v>706</v>
      </c>
      <c r="B895" s="115" t="s">
        <v>707</v>
      </c>
      <c r="C895" s="115" t="s">
        <v>1402</v>
      </c>
      <c r="D895" s="115" t="s">
        <v>1403</v>
      </c>
      <c r="E895" s="133" t="str">
        <f t="shared" si="26"/>
        <v>1200000649THC-73100-007 VN</v>
      </c>
      <c r="F895" s="133" t="s">
        <v>3150</v>
      </c>
      <c r="G895" s="133" t="s">
        <v>3880</v>
      </c>
      <c r="H895" s="133">
        <f>VLOOKUP(G895,'packing mapping'!A:B,2,0)</f>
        <v>20</v>
      </c>
      <c r="I895" s="137">
        <v>1104400</v>
      </c>
      <c r="J895" s="132">
        <f t="shared" si="27"/>
        <v>55220</v>
      </c>
    </row>
    <row r="896" spans="1:10">
      <c r="A896" s="115" t="s">
        <v>706</v>
      </c>
      <c r="B896" s="115" t="s">
        <v>707</v>
      </c>
      <c r="C896" s="115" t="s">
        <v>2036</v>
      </c>
      <c r="D896" s="115" t="s">
        <v>2037</v>
      </c>
      <c r="E896" s="133" t="str">
        <f t="shared" si="26"/>
        <v>1200000649THC-73100-1103 VN</v>
      </c>
      <c r="F896" s="133" t="s">
        <v>3437</v>
      </c>
      <c r="G896" s="133" t="s">
        <v>3884</v>
      </c>
      <c r="H896" s="133">
        <f>VLOOKUP(G896,'packing mapping'!A:B,2,0)</f>
        <v>200</v>
      </c>
      <c r="I896" s="137">
        <v>8802000</v>
      </c>
      <c r="J896" s="132">
        <f t="shared" si="27"/>
        <v>44010</v>
      </c>
    </row>
    <row r="897" spans="1:10">
      <c r="A897" s="115" t="s">
        <v>706</v>
      </c>
      <c r="B897" s="115" t="s">
        <v>707</v>
      </c>
      <c r="C897" s="115" t="s">
        <v>1232</v>
      </c>
      <c r="D897" s="115" t="s">
        <v>1233</v>
      </c>
      <c r="E897" s="133" t="str">
        <f t="shared" si="26"/>
        <v>1200000649THC-73100-201 VN</v>
      </c>
      <c r="F897" s="133" t="s">
        <v>3070</v>
      </c>
      <c r="G897" s="133" t="s">
        <v>3880</v>
      </c>
      <c r="H897" s="133">
        <f>VLOOKUP(G897,'packing mapping'!A:B,2,0)</f>
        <v>20</v>
      </c>
      <c r="I897" s="137">
        <v>1054400</v>
      </c>
      <c r="J897" s="132">
        <f t="shared" si="27"/>
        <v>52720</v>
      </c>
    </row>
    <row r="898" spans="1:10">
      <c r="A898" s="115" t="s">
        <v>706</v>
      </c>
      <c r="B898" s="115" t="s">
        <v>707</v>
      </c>
      <c r="C898" s="115" t="s">
        <v>1690</v>
      </c>
      <c r="D898" s="115" t="s">
        <v>1691</v>
      </c>
      <c r="E898" s="133" t="str">
        <f t="shared" si="26"/>
        <v>1200000649THGZ-72200 VN</v>
      </c>
      <c r="F898" s="133" t="s">
        <v>3073</v>
      </c>
      <c r="G898" s="133" t="s">
        <v>3884</v>
      </c>
      <c r="H898" s="133">
        <f>VLOOKUP(G898,'packing mapping'!A:B,2,0)</f>
        <v>200</v>
      </c>
      <c r="I898" s="137">
        <v>10626000</v>
      </c>
      <c r="J898" s="132">
        <f t="shared" si="27"/>
        <v>53130</v>
      </c>
    </row>
    <row r="899" spans="1:10">
      <c r="A899" s="115" t="s">
        <v>706</v>
      </c>
      <c r="B899" s="115" t="s">
        <v>707</v>
      </c>
      <c r="C899" s="115" t="s">
        <v>1238</v>
      </c>
      <c r="D899" s="115" t="s">
        <v>1239</v>
      </c>
      <c r="E899" s="133" t="str">
        <f t="shared" ref="E899:E962" si="28">A899&amp;F899</f>
        <v>1200000649THGZ-72200 VN</v>
      </c>
      <c r="F899" s="133" t="s">
        <v>3073</v>
      </c>
      <c r="G899" s="133" t="s">
        <v>3880</v>
      </c>
      <c r="H899" s="133">
        <f>VLOOKUP(G899,'packing mapping'!A:B,2,0)</f>
        <v>20</v>
      </c>
      <c r="I899" s="137">
        <v>1098400</v>
      </c>
      <c r="J899" s="132">
        <f t="shared" ref="J899:J962" si="29">I899/H899</f>
        <v>54920</v>
      </c>
    </row>
    <row r="900" spans="1:10">
      <c r="A900" s="115" t="s">
        <v>706</v>
      </c>
      <c r="B900" s="115" t="s">
        <v>707</v>
      </c>
      <c r="C900" s="115" t="s">
        <v>1240</v>
      </c>
      <c r="D900" s="115" t="s">
        <v>1241</v>
      </c>
      <c r="E900" s="133" t="str">
        <f t="shared" si="28"/>
        <v>1200000649THNC-71100 SD VN</v>
      </c>
      <c r="F900" s="133" t="s">
        <v>3074</v>
      </c>
      <c r="G900" s="133" t="s">
        <v>3884</v>
      </c>
      <c r="H900" s="133">
        <f>VLOOKUP(G900,'packing mapping'!A:B,2,0)</f>
        <v>200</v>
      </c>
      <c r="I900" s="137">
        <v>10350000</v>
      </c>
      <c r="J900" s="132">
        <f t="shared" si="29"/>
        <v>51750</v>
      </c>
    </row>
    <row r="901" spans="1:10">
      <c r="A901" s="115" t="s">
        <v>706</v>
      </c>
      <c r="B901" s="115" t="s">
        <v>707</v>
      </c>
      <c r="C901" s="115" t="s">
        <v>1482</v>
      </c>
      <c r="D901" s="115" t="s">
        <v>1483</v>
      </c>
      <c r="E901" s="133" t="str">
        <f t="shared" si="28"/>
        <v>1200000649THNC-71100 SD VN</v>
      </c>
      <c r="F901" s="133" t="s">
        <v>3074</v>
      </c>
      <c r="G901" s="133" t="s">
        <v>3880</v>
      </c>
      <c r="H901" s="133">
        <f>VLOOKUP(G901,'packing mapping'!A:B,2,0)</f>
        <v>20</v>
      </c>
      <c r="I901" s="137">
        <v>1076400</v>
      </c>
      <c r="J901" s="132">
        <f t="shared" si="29"/>
        <v>53820</v>
      </c>
    </row>
    <row r="902" spans="1:10">
      <c r="A902" s="115" t="s">
        <v>706</v>
      </c>
      <c r="B902" s="115" t="s">
        <v>707</v>
      </c>
      <c r="C902" s="115" t="s">
        <v>1242</v>
      </c>
      <c r="D902" s="115" t="s">
        <v>1243</v>
      </c>
      <c r="E902" s="133" t="str">
        <f t="shared" si="28"/>
        <v>1200000649THPU-71306 ST VN</v>
      </c>
      <c r="F902" s="133" t="s">
        <v>3039</v>
      </c>
      <c r="G902" s="133" t="s">
        <v>3884</v>
      </c>
      <c r="H902" s="133">
        <f>VLOOKUP(G902,'packing mapping'!A:B,2,0)</f>
        <v>200</v>
      </c>
      <c r="I902" s="137">
        <v>10544000</v>
      </c>
      <c r="J902" s="132">
        <f t="shared" si="29"/>
        <v>52720</v>
      </c>
    </row>
    <row r="903" spans="1:10">
      <c r="A903" s="115" t="s">
        <v>706</v>
      </c>
      <c r="B903" s="115" t="s">
        <v>707</v>
      </c>
      <c r="C903" s="115" t="s">
        <v>1244</v>
      </c>
      <c r="D903" s="115" t="s">
        <v>1245</v>
      </c>
      <c r="E903" s="133" t="str">
        <f t="shared" si="28"/>
        <v>1200000649TOL-76114 W VN</v>
      </c>
      <c r="F903" s="133" t="s">
        <v>3075</v>
      </c>
      <c r="G903" s="133" t="s">
        <v>3880</v>
      </c>
      <c r="H903" s="133">
        <f>VLOOKUP(G903,'packing mapping'!A:B,2,0)</f>
        <v>20</v>
      </c>
      <c r="I903" s="137">
        <v>2684000</v>
      </c>
      <c r="J903" s="132">
        <f t="shared" si="29"/>
        <v>134200</v>
      </c>
    </row>
    <row r="904" spans="1:10">
      <c r="A904" s="115" t="s">
        <v>706</v>
      </c>
      <c r="B904" s="115" t="s">
        <v>707</v>
      </c>
      <c r="C904" s="115" t="s">
        <v>1546</v>
      </c>
      <c r="D904" s="115" t="s">
        <v>1547</v>
      </c>
      <c r="E904" s="133" t="str">
        <f t="shared" si="28"/>
        <v>1200000649TOL-76301 N CLEAR BASE VN</v>
      </c>
      <c r="F904" s="133" t="s">
        <v>3213</v>
      </c>
      <c r="G904" s="133" t="s">
        <v>3880</v>
      </c>
      <c r="H904" s="133">
        <f>VLOOKUP(G904,'packing mapping'!A:B,2,0)</f>
        <v>20</v>
      </c>
      <c r="I904" s="137">
        <v>1674400</v>
      </c>
      <c r="J904" s="132">
        <f t="shared" si="29"/>
        <v>83720</v>
      </c>
    </row>
    <row r="905" spans="1:10">
      <c r="A905" s="115" t="s">
        <v>706</v>
      </c>
      <c r="B905" s="115" t="s">
        <v>707</v>
      </c>
      <c r="C905" s="115" t="s">
        <v>2038</v>
      </c>
      <c r="D905" s="115" t="s">
        <v>2039</v>
      </c>
      <c r="E905" s="133" t="str">
        <f t="shared" si="28"/>
        <v>1200000649EL-501 CLASSIC TEAK 8305 VN</v>
      </c>
      <c r="F905" s="133" t="s">
        <v>3438</v>
      </c>
      <c r="G905" s="133" t="s">
        <v>3888</v>
      </c>
      <c r="H905" s="133">
        <f>VLOOKUP(G905,'packing mapping'!A:B,2,0)</f>
        <v>4</v>
      </c>
      <c r="I905" s="137">
        <v>937240</v>
      </c>
      <c r="J905" s="132">
        <f t="shared" si="29"/>
        <v>234310</v>
      </c>
    </row>
    <row r="906" spans="1:10">
      <c r="A906" s="115" t="s">
        <v>706</v>
      </c>
      <c r="B906" s="115" t="s">
        <v>707</v>
      </c>
      <c r="C906" s="115" t="s">
        <v>2040</v>
      </c>
      <c r="D906" s="115" t="s">
        <v>2041</v>
      </c>
      <c r="E906" s="133" t="str">
        <f t="shared" si="28"/>
        <v>1200000649AP-98200 SILVER 210 S VN</v>
      </c>
      <c r="F906" s="133" t="s">
        <v>3439</v>
      </c>
      <c r="G906" s="133" t="s">
        <v>3894</v>
      </c>
      <c r="H906" s="133">
        <f>VLOOKUP(G906,'packing mapping'!A:B,2,0)</f>
        <v>1</v>
      </c>
      <c r="I906" s="137">
        <v>1225230</v>
      </c>
      <c r="J906" s="132">
        <f t="shared" si="29"/>
        <v>1225230</v>
      </c>
    </row>
    <row r="907" spans="1:10">
      <c r="A907" s="115" t="s">
        <v>706</v>
      </c>
      <c r="B907" s="115" t="s">
        <v>707</v>
      </c>
      <c r="C907" s="115" t="s">
        <v>1486</v>
      </c>
      <c r="D907" s="115" t="s">
        <v>1487</v>
      </c>
      <c r="E907" s="133" t="str">
        <f t="shared" si="28"/>
        <v>1200000649AP-98200 SILVER 2107 VN</v>
      </c>
      <c r="F907" s="133" t="s">
        <v>3187</v>
      </c>
      <c r="G907" s="133" t="s">
        <v>3894</v>
      </c>
      <c r="H907" s="133">
        <f>VLOOKUP(G907,'packing mapping'!A:B,2,0)</f>
        <v>1</v>
      </c>
      <c r="I907" s="137">
        <v>2844450</v>
      </c>
      <c r="J907" s="132">
        <f t="shared" si="29"/>
        <v>2844450</v>
      </c>
    </row>
    <row r="908" spans="1:10">
      <c r="A908" s="115" t="s">
        <v>706</v>
      </c>
      <c r="B908" s="115" t="s">
        <v>707</v>
      </c>
      <c r="C908" s="115" t="s">
        <v>1248</v>
      </c>
      <c r="D908" s="115" t="s">
        <v>1249</v>
      </c>
      <c r="E908" s="133" t="str">
        <f t="shared" si="28"/>
        <v>1200000649MEPH-12003 PS VN</v>
      </c>
      <c r="F908" s="133" t="s">
        <v>3077</v>
      </c>
      <c r="G908" s="133" t="s">
        <v>3887</v>
      </c>
      <c r="H908" s="133">
        <f>VLOOKUP(G908,'packing mapping'!A:B,2,0)</f>
        <v>2</v>
      </c>
      <c r="I908" s="137">
        <v>303880</v>
      </c>
      <c r="J908" s="132">
        <f t="shared" si="29"/>
        <v>151940</v>
      </c>
    </row>
    <row r="909" spans="1:10">
      <c r="A909" s="115" t="s">
        <v>706</v>
      </c>
      <c r="B909" s="115" t="s">
        <v>707</v>
      </c>
      <c r="C909" s="115" t="s">
        <v>1250</v>
      </c>
      <c r="D909" s="115" t="s">
        <v>1251</v>
      </c>
      <c r="E909" s="133" t="str">
        <f t="shared" si="28"/>
        <v>1200000649MPULH-13700 PS VN</v>
      </c>
      <c r="F909" s="133" t="s">
        <v>3078</v>
      </c>
      <c r="G909" s="133" t="s">
        <v>3883</v>
      </c>
      <c r="H909" s="133">
        <f>VLOOKUP(G909,'packing mapping'!A:B,2,0)</f>
        <v>4</v>
      </c>
      <c r="I909" s="137">
        <v>1209600</v>
      </c>
      <c r="J909" s="132">
        <f t="shared" si="29"/>
        <v>302400</v>
      </c>
    </row>
    <row r="910" spans="1:10">
      <c r="A910" s="115" t="s">
        <v>706</v>
      </c>
      <c r="B910" s="115" t="s">
        <v>707</v>
      </c>
      <c r="C910" s="115" t="s">
        <v>1252</v>
      </c>
      <c r="D910" s="115" t="s">
        <v>1253</v>
      </c>
      <c r="E910" s="133" t="str">
        <f t="shared" si="28"/>
        <v>1200000649SPE-9110 CRACKING VN</v>
      </c>
      <c r="F910" s="133" t="s">
        <v>3079</v>
      </c>
      <c r="G910" s="133" t="s">
        <v>3888</v>
      </c>
      <c r="H910" s="133">
        <f>VLOOKUP(G910,'packing mapping'!A:B,2,0)</f>
        <v>4</v>
      </c>
      <c r="I910" s="137">
        <v>532320</v>
      </c>
      <c r="J910" s="132">
        <f t="shared" si="29"/>
        <v>133080</v>
      </c>
    </row>
    <row r="911" spans="1:10">
      <c r="A911" s="115" t="s">
        <v>706</v>
      </c>
      <c r="B911" s="115" t="s">
        <v>707</v>
      </c>
      <c r="C911" s="115" t="s">
        <v>1260</v>
      </c>
      <c r="D911" s="115" t="s">
        <v>1261</v>
      </c>
      <c r="E911" s="133" t="str">
        <f t="shared" si="28"/>
        <v>1200000649NCL-11329 LC CLEAR 05 VN</v>
      </c>
      <c r="F911" s="133" t="s">
        <v>3083</v>
      </c>
      <c r="G911" s="133" t="s">
        <v>3879</v>
      </c>
      <c r="H911" s="133">
        <f>VLOOKUP(G911,'packing mapping'!A:B,2,0)</f>
        <v>20</v>
      </c>
      <c r="I911" s="137">
        <v>1899600</v>
      </c>
      <c r="J911" s="132">
        <f t="shared" si="29"/>
        <v>94980</v>
      </c>
    </row>
    <row r="912" spans="1:10">
      <c r="A912" s="115" t="s">
        <v>706</v>
      </c>
      <c r="B912" s="115" t="s">
        <v>707</v>
      </c>
      <c r="C912" s="115" t="s">
        <v>1262</v>
      </c>
      <c r="D912" s="115" t="s">
        <v>1263</v>
      </c>
      <c r="E912" s="133" t="str">
        <f t="shared" si="28"/>
        <v>1200000649NCL-11329 LC CLEAR 10 VN</v>
      </c>
      <c r="F912" s="133" t="s">
        <v>3084</v>
      </c>
      <c r="G912" s="133" t="s">
        <v>3879</v>
      </c>
      <c r="H912" s="133">
        <f>VLOOKUP(G912,'packing mapping'!A:B,2,0)</f>
        <v>20</v>
      </c>
      <c r="I912" s="137">
        <v>1956800</v>
      </c>
      <c r="J912" s="132">
        <f t="shared" si="29"/>
        <v>97840</v>
      </c>
    </row>
    <row r="913" spans="1:10">
      <c r="A913" s="115" t="s">
        <v>706</v>
      </c>
      <c r="B913" s="115" t="s">
        <v>707</v>
      </c>
      <c r="C913" s="115" t="s">
        <v>1272</v>
      </c>
      <c r="D913" s="115" t="s">
        <v>1273</v>
      </c>
      <c r="E913" s="133" t="str">
        <f t="shared" si="28"/>
        <v>1200000649NCSS-11229 LC VN</v>
      </c>
      <c r="F913" s="133" t="s">
        <v>3089</v>
      </c>
      <c r="G913" s="133" t="s">
        <v>3879</v>
      </c>
      <c r="H913" s="133">
        <f>VLOOKUP(G913,'packing mapping'!A:B,2,0)</f>
        <v>20</v>
      </c>
      <c r="I913" s="137">
        <v>1888800</v>
      </c>
      <c r="J913" s="132">
        <f t="shared" si="29"/>
        <v>94440</v>
      </c>
    </row>
    <row r="914" spans="1:10">
      <c r="A914" s="115" t="s">
        <v>706</v>
      </c>
      <c r="B914" s="115" t="s">
        <v>707</v>
      </c>
      <c r="C914" s="115" t="s">
        <v>1274</v>
      </c>
      <c r="D914" s="115" t="s">
        <v>1275</v>
      </c>
      <c r="E914" s="133" t="str">
        <f t="shared" si="28"/>
        <v>1200000649PSV-76000 SB HC MY VN</v>
      </c>
      <c r="F914" s="133" t="s">
        <v>3090</v>
      </c>
      <c r="G914" s="133" t="s">
        <v>3880</v>
      </c>
      <c r="H914" s="133">
        <f>VLOOKUP(G914,'packing mapping'!A:B,2,0)</f>
        <v>20</v>
      </c>
      <c r="I914" s="137">
        <v>8346600</v>
      </c>
      <c r="J914" s="132">
        <f t="shared" si="29"/>
        <v>417330</v>
      </c>
    </row>
    <row r="915" spans="1:10">
      <c r="A915" s="115" t="s">
        <v>706</v>
      </c>
      <c r="B915" s="115" t="s">
        <v>707</v>
      </c>
      <c r="C915" s="115" t="s">
        <v>1172</v>
      </c>
      <c r="D915" s="115" t="s">
        <v>1173</v>
      </c>
      <c r="E915" s="133" t="str">
        <f t="shared" si="28"/>
        <v>1200000649PUH-56135 S VN</v>
      </c>
      <c r="F915" s="133" t="s">
        <v>3040</v>
      </c>
      <c r="G915" s="133" t="s">
        <v>3881</v>
      </c>
      <c r="H915" s="133">
        <f>VLOOKUP(G915,'packing mapping'!A:B,2,0)</f>
        <v>20</v>
      </c>
      <c r="I915" s="137">
        <v>2526000</v>
      </c>
      <c r="J915" s="132">
        <f t="shared" si="29"/>
        <v>126300</v>
      </c>
    </row>
    <row r="916" spans="1:10">
      <c r="A916" s="115" t="s">
        <v>706</v>
      </c>
      <c r="B916" s="115" t="s">
        <v>707</v>
      </c>
      <c r="C916" s="115" t="s">
        <v>1276</v>
      </c>
      <c r="D916" s="115" t="s">
        <v>1277</v>
      </c>
      <c r="E916" s="133" t="str">
        <f t="shared" si="28"/>
        <v>1200000649PUL-51335 CLEAR 10 VN</v>
      </c>
      <c r="F916" s="133" t="s">
        <v>3091</v>
      </c>
      <c r="G916" s="133" t="s">
        <v>3881</v>
      </c>
      <c r="H916" s="133">
        <f>VLOOKUP(G916,'packing mapping'!A:B,2,0)</f>
        <v>20</v>
      </c>
      <c r="I916" s="137">
        <v>1546800</v>
      </c>
      <c r="J916" s="132">
        <f t="shared" si="29"/>
        <v>77340</v>
      </c>
    </row>
    <row r="917" spans="1:10">
      <c r="A917" s="115" t="s">
        <v>706</v>
      </c>
      <c r="B917" s="115" t="s">
        <v>707</v>
      </c>
      <c r="C917" s="115" t="s">
        <v>1286</v>
      </c>
      <c r="D917" s="115" t="s">
        <v>1287</v>
      </c>
      <c r="E917" s="133" t="str">
        <f t="shared" si="28"/>
        <v>1200000649PUL-51335 CLEAR 90 AA VN</v>
      </c>
      <c r="F917" s="133" t="s">
        <v>3096</v>
      </c>
      <c r="G917" s="133" t="s">
        <v>3879</v>
      </c>
      <c r="H917" s="133">
        <f>VLOOKUP(G917,'packing mapping'!A:B,2,0)</f>
        <v>20</v>
      </c>
      <c r="I917" s="137">
        <v>1565000</v>
      </c>
      <c r="J917" s="132">
        <f t="shared" si="29"/>
        <v>78250</v>
      </c>
    </row>
    <row r="918" spans="1:10">
      <c r="A918" s="115" t="s">
        <v>706</v>
      </c>
      <c r="B918" s="115" t="s">
        <v>707</v>
      </c>
      <c r="C918" s="115" t="s">
        <v>1290</v>
      </c>
      <c r="D918" s="115" t="s">
        <v>1291</v>
      </c>
      <c r="E918" s="133" t="str">
        <f t="shared" si="28"/>
        <v>1200000649PUP-52135 WHITE VN</v>
      </c>
      <c r="F918" s="133" t="s">
        <v>3098</v>
      </c>
      <c r="G918" s="133" t="s">
        <v>3889</v>
      </c>
      <c r="H918" s="133">
        <f>VLOOKUP(G918,'packing mapping'!A:B,2,0)</f>
        <v>200</v>
      </c>
      <c r="I918" s="137">
        <v>17852000</v>
      </c>
      <c r="J918" s="132">
        <f t="shared" si="29"/>
        <v>89260</v>
      </c>
    </row>
    <row r="919" spans="1:10">
      <c r="A919" s="115" t="s">
        <v>706</v>
      </c>
      <c r="B919" s="115" t="s">
        <v>707</v>
      </c>
      <c r="C919" s="115" t="s">
        <v>1558</v>
      </c>
      <c r="D919" s="115" t="s">
        <v>1559</v>
      </c>
      <c r="E919" s="133" t="str">
        <f t="shared" si="28"/>
        <v>1200000649PUP-54111 AC WHITE VN</v>
      </c>
      <c r="F919" s="133" t="s">
        <v>3218</v>
      </c>
      <c r="G919" s="133" t="s">
        <v>3881</v>
      </c>
      <c r="H919" s="133">
        <f>VLOOKUP(G919,'packing mapping'!A:B,2,0)</f>
        <v>20</v>
      </c>
      <c r="I919" s="137">
        <v>2886600</v>
      </c>
      <c r="J919" s="132">
        <f t="shared" si="29"/>
        <v>144330</v>
      </c>
    </row>
    <row r="920" spans="1:10">
      <c r="A920" s="115" t="s">
        <v>706</v>
      </c>
      <c r="B920" s="115" t="s">
        <v>707</v>
      </c>
      <c r="C920" s="115" t="s">
        <v>1294</v>
      </c>
      <c r="D920" s="115" t="s">
        <v>1295</v>
      </c>
      <c r="E920" s="133" t="str">
        <f t="shared" si="28"/>
        <v>1200000649PUSS-51235 VN</v>
      </c>
      <c r="F920" s="133" t="s">
        <v>3042</v>
      </c>
      <c r="G920" s="133" t="s">
        <v>3889</v>
      </c>
      <c r="H920" s="133">
        <f>VLOOKUP(G920,'packing mapping'!A:B,2,0)</f>
        <v>200</v>
      </c>
      <c r="I920" s="137">
        <v>11994000</v>
      </c>
      <c r="J920" s="132">
        <f t="shared" si="29"/>
        <v>59970</v>
      </c>
    </row>
    <row r="921" spans="1:10">
      <c r="A921" s="115" t="s">
        <v>706</v>
      </c>
      <c r="B921" s="115" t="s">
        <v>707</v>
      </c>
      <c r="C921" s="115" t="s">
        <v>2042</v>
      </c>
      <c r="D921" s="115" t="s">
        <v>2043</v>
      </c>
      <c r="E921" s="133" t="str">
        <f t="shared" si="28"/>
        <v>1200000649RD-74106 VN</v>
      </c>
      <c r="F921" s="133" t="s">
        <v>3099</v>
      </c>
      <c r="G921" s="133" t="s">
        <v>3884</v>
      </c>
      <c r="H921" s="133">
        <f>VLOOKUP(G921,'packing mapping'!A:B,2,0)</f>
        <v>200</v>
      </c>
      <c r="I921" s="137">
        <v>9982000</v>
      </c>
      <c r="J921" s="132">
        <f t="shared" si="29"/>
        <v>49910</v>
      </c>
    </row>
    <row r="922" spans="1:10">
      <c r="A922" s="115" t="s">
        <v>706</v>
      </c>
      <c r="B922" s="115" t="s">
        <v>707</v>
      </c>
      <c r="C922" s="115" t="s">
        <v>1300</v>
      </c>
      <c r="D922" s="115" t="s">
        <v>1301</v>
      </c>
      <c r="E922" s="133" t="str">
        <f t="shared" si="28"/>
        <v>1200000649GZPU-21500 BLACK VN</v>
      </c>
      <c r="F922" s="133" t="s">
        <v>3101</v>
      </c>
      <c r="G922" s="133" t="s">
        <v>3883</v>
      </c>
      <c r="H922" s="133">
        <f>VLOOKUP(G922,'packing mapping'!A:B,2,0)</f>
        <v>4</v>
      </c>
      <c r="I922" s="137">
        <v>1712480</v>
      </c>
      <c r="J922" s="132">
        <f t="shared" si="29"/>
        <v>428120</v>
      </c>
    </row>
    <row r="923" spans="1:10">
      <c r="A923" s="115" t="s">
        <v>706</v>
      </c>
      <c r="B923" s="115" t="s">
        <v>707</v>
      </c>
      <c r="C923" s="115" t="s">
        <v>1302</v>
      </c>
      <c r="D923" s="115" t="s">
        <v>1303</v>
      </c>
      <c r="E923" s="133" t="str">
        <f t="shared" si="28"/>
        <v>1200000649GZPU-21500 BROWN VN</v>
      </c>
      <c r="F923" s="133" t="s">
        <v>3102</v>
      </c>
      <c r="G923" s="133" t="s">
        <v>3883</v>
      </c>
      <c r="H923" s="133">
        <f>VLOOKUP(G923,'packing mapping'!A:B,2,0)</f>
        <v>4</v>
      </c>
      <c r="I923" s="137">
        <v>1309560</v>
      </c>
      <c r="J923" s="132">
        <f t="shared" si="29"/>
        <v>327390</v>
      </c>
    </row>
    <row r="924" spans="1:10">
      <c r="A924" s="115" t="s">
        <v>706</v>
      </c>
      <c r="B924" s="115" t="s">
        <v>707</v>
      </c>
      <c r="C924" s="115" t="s">
        <v>1304</v>
      </c>
      <c r="D924" s="115" t="s">
        <v>1305</v>
      </c>
      <c r="E924" s="133" t="str">
        <f t="shared" si="28"/>
        <v>1200000649GZ-12700 N BLACK VN</v>
      </c>
      <c r="F924" s="133" t="s">
        <v>3103</v>
      </c>
      <c r="G924" s="133" t="s">
        <v>3883</v>
      </c>
      <c r="H924" s="133">
        <f>VLOOKUP(G924,'packing mapping'!A:B,2,0)</f>
        <v>4</v>
      </c>
      <c r="I924" s="137">
        <v>1035920</v>
      </c>
      <c r="J924" s="132">
        <f t="shared" si="29"/>
        <v>258980</v>
      </c>
    </row>
    <row r="925" spans="1:10">
      <c r="A925" s="115" t="s">
        <v>706</v>
      </c>
      <c r="B925" s="115" t="s">
        <v>707</v>
      </c>
      <c r="C925" s="115" t="s">
        <v>1308</v>
      </c>
      <c r="D925" s="115" t="s">
        <v>1309</v>
      </c>
      <c r="E925" s="133" t="str">
        <f t="shared" si="28"/>
        <v>1200000649GZ-12700 N YELLOW</v>
      </c>
      <c r="F925" s="133" t="s">
        <v>3105</v>
      </c>
      <c r="G925" s="133" t="s">
        <v>3883</v>
      </c>
      <c r="H925" s="133">
        <f>VLOOKUP(G925,'packing mapping'!A:B,2,0)</f>
        <v>4</v>
      </c>
      <c r="I925" s="137">
        <v>1014760</v>
      </c>
      <c r="J925" s="132">
        <f t="shared" si="29"/>
        <v>253690</v>
      </c>
    </row>
    <row r="926" spans="1:10">
      <c r="A926" s="115" t="s">
        <v>706</v>
      </c>
      <c r="B926" s="115" t="s">
        <v>707</v>
      </c>
      <c r="C926" s="115" t="s">
        <v>1310</v>
      </c>
      <c r="D926" s="115" t="s">
        <v>1311</v>
      </c>
      <c r="E926" s="133" t="str">
        <f t="shared" si="28"/>
        <v>1200000649GZPU-21500 RED VN</v>
      </c>
      <c r="F926" s="133" t="s">
        <v>3106</v>
      </c>
      <c r="G926" s="133" t="s">
        <v>3883</v>
      </c>
      <c r="H926" s="133">
        <f>VLOOKUP(G926,'packing mapping'!A:B,2,0)</f>
        <v>4</v>
      </c>
      <c r="I926" s="137">
        <v>1674760</v>
      </c>
      <c r="J926" s="132">
        <f t="shared" si="29"/>
        <v>418690</v>
      </c>
    </row>
    <row r="927" spans="1:10">
      <c r="A927" s="115" t="s">
        <v>706</v>
      </c>
      <c r="B927" s="115" t="s">
        <v>707</v>
      </c>
      <c r="C927" s="115" t="s">
        <v>1312</v>
      </c>
      <c r="D927" s="115" t="s">
        <v>1313</v>
      </c>
      <c r="E927" s="133" t="str">
        <f t="shared" si="28"/>
        <v>1200000649GZPU-21500 YELLOW VN</v>
      </c>
      <c r="F927" s="133" t="s">
        <v>3107</v>
      </c>
      <c r="G927" s="133" t="s">
        <v>3883</v>
      </c>
      <c r="H927" s="133">
        <f>VLOOKUP(G927,'packing mapping'!A:B,2,0)</f>
        <v>4</v>
      </c>
      <c r="I927" s="137">
        <v>1445600</v>
      </c>
      <c r="J927" s="132">
        <f t="shared" si="29"/>
        <v>361400</v>
      </c>
    </row>
    <row r="928" spans="1:10">
      <c r="A928" s="115" t="s">
        <v>706</v>
      </c>
      <c r="B928" s="115" t="s">
        <v>707</v>
      </c>
      <c r="C928" s="115" t="s">
        <v>1798</v>
      </c>
      <c r="D928" s="115" t="s">
        <v>1799</v>
      </c>
      <c r="E928" s="133" t="str">
        <f t="shared" si="28"/>
        <v>1200000649GZ-12700 N VAN DYKE BROWN VN</v>
      </c>
      <c r="F928" s="133" t="s">
        <v>3324</v>
      </c>
      <c r="G928" s="133" t="s">
        <v>3883</v>
      </c>
      <c r="H928" s="133">
        <f>VLOOKUP(G928,'packing mapping'!A:B,2,0)</f>
        <v>4</v>
      </c>
      <c r="I928" s="137">
        <v>877160</v>
      </c>
      <c r="J928" s="132">
        <f t="shared" si="29"/>
        <v>219290</v>
      </c>
    </row>
    <row r="929" spans="1:10">
      <c r="A929" s="115" t="s">
        <v>706</v>
      </c>
      <c r="B929" s="115" t="s">
        <v>707</v>
      </c>
      <c r="C929" s="115" t="s">
        <v>1314</v>
      </c>
      <c r="D929" s="115" t="s">
        <v>1315</v>
      </c>
      <c r="E929" s="133" t="str">
        <f t="shared" si="28"/>
        <v>1200000649PCL-31300 RED 31701 PASTE</v>
      </c>
      <c r="F929" s="133" t="s">
        <v>3108</v>
      </c>
      <c r="G929" s="133" t="s">
        <v>3883</v>
      </c>
      <c r="H929" s="133">
        <f>VLOOKUP(G929,'packing mapping'!A:B,2,0)</f>
        <v>4</v>
      </c>
      <c r="I929" s="137">
        <v>3068480</v>
      </c>
      <c r="J929" s="132">
        <f t="shared" si="29"/>
        <v>767120</v>
      </c>
    </row>
    <row r="930" spans="1:10">
      <c r="A930" s="115" t="s">
        <v>706</v>
      </c>
      <c r="B930" s="115" t="s">
        <v>707</v>
      </c>
      <c r="C930" s="115" t="s">
        <v>1316</v>
      </c>
      <c r="D930" s="115" t="s">
        <v>1317</v>
      </c>
      <c r="E930" s="133" t="str">
        <f t="shared" si="28"/>
        <v>1200000649PCL-31300 YELLOW 170 HR PASTE</v>
      </c>
      <c r="F930" s="133" t="s">
        <v>3109</v>
      </c>
      <c r="G930" s="133" t="s">
        <v>3883</v>
      </c>
      <c r="H930" s="133">
        <f>VLOOKUP(G930,'packing mapping'!A:B,2,0)</f>
        <v>4</v>
      </c>
      <c r="I930" s="137">
        <v>2178480</v>
      </c>
      <c r="J930" s="132">
        <f t="shared" si="29"/>
        <v>544620</v>
      </c>
    </row>
    <row r="931" spans="1:10">
      <c r="A931" s="115" t="s">
        <v>706</v>
      </c>
      <c r="B931" s="115" t="s">
        <v>707</v>
      </c>
      <c r="C931" s="115" t="s">
        <v>1318</v>
      </c>
      <c r="D931" s="115" t="s">
        <v>1319</v>
      </c>
      <c r="E931" s="133" t="str">
        <f t="shared" si="28"/>
        <v>1200000649GZPU-21500 WHITE VN</v>
      </c>
      <c r="F931" s="133" t="s">
        <v>3110</v>
      </c>
      <c r="G931" s="133" t="s">
        <v>3883</v>
      </c>
      <c r="H931" s="133">
        <f>VLOOKUP(G931,'packing mapping'!A:B,2,0)</f>
        <v>4</v>
      </c>
      <c r="I931" s="137">
        <v>933440</v>
      </c>
      <c r="J931" s="132">
        <f t="shared" si="29"/>
        <v>233360</v>
      </c>
    </row>
    <row r="932" spans="1:10">
      <c r="A932" s="115" t="s">
        <v>706</v>
      </c>
      <c r="B932" s="115" t="s">
        <v>707</v>
      </c>
      <c r="C932" s="115" t="s">
        <v>1420</v>
      </c>
      <c r="D932" s="115" t="s">
        <v>1421</v>
      </c>
      <c r="E932" s="133" t="str">
        <f t="shared" si="28"/>
        <v>1200000649WBSS-61104 VN</v>
      </c>
      <c r="F932" s="133" t="s">
        <v>3158</v>
      </c>
      <c r="G932" s="133" t="s">
        <v>3881</v>
      </c>
      <c r="H932" s="133">
        <f>VLOOKUP(G932,'packing mapping'!A:B,2,0)</f>
        <v>20</v>
      </c>
      <c r="I932" s="137">
        <v>2782800</v>
      </c>
      <c r="J932" s="132">
        <f t="shared" si="29"/>
        <v>139140</v>
      </c>
    </row>
    <row r="933" spans="1:10">
      <c r="A933" s="115" t="s">
        <v>706</v>
      </c>
      <c r="B933" s="115" t="s">
        <v>707</v>
      </c>
      <c r="C933" s="115" t="s">
        <v>1322</v>
      </c>
      <c r="D933" s="115" t="s">
        <v>1323</v>
      </c>
      <c r="E933" s="133" t="str">
        <f t="shared" si="28"/>
        <v>1200000649MPUL-13700 90 VN</v>
      </c>
      <c r="F933" s="133" t="s">
        <v>3112</v>
      </c>
      <c r="G933" s="133" t="s">
        <v>3890</v>
      </c>
      <c r="H933" s="133">
        <f>VLOOKUP(G933,'packing mapping'!A:B,2,0)</f>
        <v>16</v>
      </c>
      <c r="I933" s="137">
        <v>2392800</v>
      </c>
      <c r="J933" s="132">
        <f t="shared" si="29"/>
        <v>149550</v>
      </c>
    </row>
    <row r="934" spans="1:10">
      <c r="A934" s="115" t="s">
        <v>706</v>
      </c>
      <c r="B934" s="115" t="s">
        <v>707</v>
      </c>
      <c r="C934" s="115" t="s">
        <v>1326</v>
      </c>
      <c r="D934" s="115" t="s">
        <v>1327</v>
      </c>
      <c r="E934" s="133" t="str">
        <f t="shared" si="28"/>
        <v>1200000649PUL-53306 AC EX CLEAR 10 AA VN</v>
      </c>
      <c r="F934" s="133" t="s">
        <v>3114</v>
      </c>
      <c r="G934" s="133" t="s">
        <v>3879</v>
      </c>
      <c r="H934" s="133">
        <f>VLOOKUP(G934,'packing mapping'!A:B,2,0)</f>
        <v>20</v>
      </c>
      <c r="I934" s="137">
        <v>3073000</v>
      </c>
      <c r="J934" s="132">
        <f t="shared" si="29"/>
        <v>153650</v>
      </c>
    </row>
    <row r="935" spans="1:10">
      <c r="A935" s="115" t="s">
        <v>706</v>
      </c>
      <c r="B935" s="115" t="s">
        <v>707</v>
      </c>
      <c r="C935" s="115" t="s">
        <v>1328</v>
      </c>
      <c r="D935" s="115" t="s">
        <v>1329</v>
      </c>
      <c r="E935" s="133" t="str">
        <f t="shared" si="28"/>
        <v>1200000649NCL-11329 LC CLEAR 80 VN</v>
      </c>
      <c r="F935" s="133" t="s">
        <v>3115</v>
      </c>
      <c r="G935" s="133" t="s">
        <v>3879</v>
      </c>
      <c r="H935" s="133">
        <f>VLOOKUP(G935,'packing mapping'!A:B,2,0)</f>
        <v>20</v>
      </c>
      <c r="I935" s="137">
        <v>1839800</v>
      </c>
      <c r="J935" s="132">
        <f t="shared" si="29"/>
        <v>91990</v>
      </c>
    </row>
    <row r="936" spans="1:10">
      <c r="A936" s="115" t="s">
        <v>706</v>
      </c>
      <c r="B936" s="115" t="s">
        <v>707</v>
      </c>
      <c r="C936" s="115" t="s">
        <v>1330</v>
      </c>
      <c r="D936" s="115" t="s">
        <v>1331</v>
      </c>
      <c r="E936" s="133" t="str">
        <f t="shared" si="28"/>
        <v>1200000649SST-11100 BROWN AA VN</v>
      </c>
      <c r="F936" s="133" t="s">
        <v>3116</v>
      </c>
      <c r="G936" s="133" t="s">
        <v>3883</v>
      </c>
      <c r="H936" s="133">
        <f>VLOOKUP(G936,'packing mapping'!A:B,2,0)</f>
        <v>4</v>
      </c>
      <c r="I936" s="137">
        <v>575960</v>
      </c>
      <c r="J936" s="132">
        <f t="shared" si="29"/>
        <v>143990</v>
      </c>
    </row>
    <row r="937" spans="1:10">
      <c r="A937" s="115" t="s">
        <v>706</v>
      </c>
      <c r="B937" s="115" t="s">
        <v>707</v>
      </c>
      <c r="C937" s="115" t="s">
        <v>2044</v>
      </c>
      <c r="D937" s="115" t="s">
        <v>2045</v>
      </c>
      <c r="E937" s="133" t="str">
        <f t="shared" si="28"/>
        <v>1200000649THC-73100-SBP VN</v>
      </c>
      <c r="F937" s="133" t="s">
        <v>3440</v>
      </c>
      <c r="G937" s="133" t="s">
        <v>3901</v>
      </c>
      <c r="H937" s="133">
        <f>VLOOKUP(G937,'packing mapping'!A:B,2,0)</f>
        <v>20</v>
      </c>
      <c r="I937" s="137">
        <v>1656000</v>
      </c>
      <c r="J937" s="132">
        <f t="shared" si="29"/>
        <v>82800</v>
      </c>
    </row>
    <row r="938" spans="1:10">
      <c r="A938" s="115" t="s">
        <v>706</v>
      </c>
      <c r="B938" s="115" t="s">
        <v>707</v>
      </c>
      <c r="C938" s="115" t="s">
        <v>1780</v>
      </c>
      <c r="D938" s="115" t="s">
        <v>1781</v>
      </c>
      <c r="E938" s="133" t="str">
        <f t="shared" si="28"/>
        <v>1200000649MEP-12003 GLASS VN</v>
      </c>
      <c r="F938" s="133" t="s">
        <v>3318</v>
      </c>
      <c r="G938" s="133" t="s">
        <v>3882</v>
      </c>
      <c r="H938" s="133">
        <f>VLOOKUP(G938,'packing mapping'!A:B,2,0)</f>
        <v>18</v>
      </c>
      <c r="I938" s="137">
        <v>2637540</v>
      </c>
      <c r="J938" s="132">
        <f t="shared" si="29"/>
        <v>146530</v>
      </c>
    </row>
    <row r="939" spans="1:10">
      <c r="A939" s="115" t="s">
        <v>706</v>
      </c>
      <c r="B939" s="115" t="s">
        <v>707</v>
      </c>
      <c r="C939" s="115" t="s">
        <v>1806</v>
      </c>
      <c r="D939" s="115" t="s">
        <v>1807</v>
      </c>
      <c r="E939" s="133" t="str">
        <f t="shared" si="28"/>
        <v>1200000649UVSS-40104 VN</v>
      </c>
      <c r="F939" s="133" t="s">
        <v>3327</v>
      </c>
      <c r="G939" s="133" t="s">
        <v>3881</v>
      </c>
      <c r="H939" s="133">
        <f>VLOOKUP(G939,'packing mapping'!A:B,2,0)</f>
        <v>20</v>
      </c>
      <c r="I939" s="137">
        <v>3686800</v>
      </c>
      <c r="J939" s="132">
        <f t="shared" si="29"/>
        <v>184340</v>
      </c>
    </row>
    <row r="940" spans="1:10">
      <c r="A940" s="115" t="s">
        <v>706</v>
      </c>
      <c r="B940" s="115" t="s">
        <v>707</v>
      </c>
      <c r="C940" s="115" t="s">
        <v>1332</v>
      </c>
      <c r="D940" s="115" t="s">
        <v>1333</v>
      </c>
      <c r="E940" s="133" t="str">
        <f t="shared" si="28"/>
        <v>1200000649WFPU-51000 VN</v>
      </c>
      <c r="F940" s="133" t="s">
        <v>3117</v>
      </c>
      <c r="G940" s="133" t="s">
        <v>3881</v>
      </c>
      <c r="H940" s="133">
        <f>VLOOKUP(G940,'packing mapping'!A:B,2,0)</f>
        <v>20</v>
      </c>
      <c r="I940" s="137">
        <v>1874200</v>
      </c>
      <c r="J940" s="132">
        <f t="shared" si="29"/>
        <v>93710</v>
      </c>
    </row>
    <row r="941" spans="1:10">
      <c r="A941" s="115" t="s">
        <v>706</v>
      </c>
      <c r="B941" s="115" t="s">
        <v>707</v>
      </c>
      <c r="C941" s="115" t="s">
        <v>2046</v>
      </c>
      <c r="D941" s="115" t="s">
        <v>2047</v>
      </c>
      <c r="E941" s="133" t="str">
        <f t="shared" si="28"/>
        <v>1200000649PUC-54205 AC BLUE K11948 30 AT VN</v>
      </c>
      <c r="F941" s="133" t="s">
        <v>3441</v>
      </c>
      <c r="G941" s="133" t="s">
        <v>3881</v>
      </c>
      <c r="H941" s="133">
        <f>VLOOKUP(G941,'packing mapping'!A:B,2,0)</f>
        <v>20</v>
      </c>
      <c r="I941" s="137">
        <v>4025400</v>
      </c>
      <c r="J941" s="132">
        <f t="shared" si="29"/>
        <v>201270</v>
      </c>
    </row>
    <row r="942" spans="1:10">
      <c r="A942" s="115" t="s">
        <v>706</v>
      </c>
      <c r="B942" s="115" t="s">
        <v>707</v>
      </c>
      <c r="C942" s="115" t="s">
        <v>2048</v>
      </c>
      <c r="D942" s="115" t="s">
        <v>2049</v>
      </c>
      <c r="E942" s="133" t="str">
        <f t="shared" si="28"/>
        <v>1200000649PUC-54205 AC WHITE K11415 10 AT VN</v>
      </c>
      <c r="F942" s="133" t="s">
        <v>3442</v>
      </c>
      <c r="G942" s="133" t="s">
        <v>3881</v>
      </c>
      <c r="H942" s="133">
        <f>VLOOKUP(G942,'packing mapping'!A:B,2,0)</f>
        <v>20</v>
      </c>
      <c r="I942" s="137">
        <v>3643200</v>
      </c>
      <c r="J942" s="132">
        <f t="shared" si="29"/>
        <v>182160</v>
      </c>
    </row>
    <row r="943" spans="1:10">
      <c r="A943" s="115" t="s">
        <v>706</v>
      </c>
      <c r="B943" s="115" t="s">
        <v>707</v>
      </c>
      <c r="C943" s="115" t="s">
        <v>2050</v>
      </c>
      <c r="D943" s="115" t="s">
        <v>2051</v>
      </c>
      <c r="E943" s="133" t="str">
        <f t="shared" si="28"/>
        <v>1200000649PUC-54206 AC EX GRN K11947 30 ATVN</v>
      </c>
      <c r="F943" s="133" t="s">
        <v>3443</v>
      </c>
      <c r="G943" s="133" t="s">
        <v>3882</v>
      </c>
      <c r="H943" s="133">
        <f>VLOOKUP(G943,'packing mapping'!A:B,2,0)</f>
        <v>18</v>
      </c>
      <c r="I943" s="137">
        <v>4221720</v>
      </c>
      <c r="J943" s="132">
        <f t="shared" si="29"/>
        <v>234540</v>
      </c>
    </row>
    <row r="944" spans="1:10">
      <c r="A944" s="115" t="s">
        <v>706</v>
      </c>
      <c r="B944" s="115" t="s">
        <v>707</v>
      </c>
      <c r="C944" s="115" t="s">
        <v>1334</v>
      </c>
      <c r="D944" s="115" t="s">
        <v>1335</v>
      </c>
      <c r="E944" s="133" t="str">
        <f t="shared" si="28"/>
        <v>1200000649MEP-12003 HC VN</v>
      </c>
      <c r="F944" s="133" t="s">
        <v>3118</v>
      </c>
      <c r="G944" s="133" t="s">
        <v>3882</v>
      </c>
      <c r="H944" s="133">
        <f>VLOOKUP(G944,'packing mapping'!A:B,2,0)</f>
        <v>18</v>
      </c>
      <c r="I944" s="137">
        <v>2931120</v>
      </c>
      <c r="J944" s="132">
        <f t="shared" si="29"/>
        <v>162840</v>
      </c>
    </row>
    <row r="945" spans="1:10">
      <c r="A945" s="115" t="s">
        <v>706</v>
      </c>
      <c r="B945" s="115" t="s">
        <v>707</v>
      </c>
      <c r="C945" s="115" t="s">
        <v>2052</v>
      </c>
      <c r="D945" s="115" t="s">
        <v>2053</v>
      </c>
      <c r="E945" s="133" t="str">
        <f t="shared" si="28"/>
        <v>1200000649PUC-54205 AC TRANG12284 10 AT VN</v>
      </c>
      <c r="F945" s="133" t="s">
        <v>3444</v>
      </c>
      <c r="G945" s="133" t="s">
        <v>3881</v>
      </c>
      <c r="H945" s="133">
        <f>VLOOKUP(G945,'packing mapping'!A:B,2,0)</f>
        <v>20</v>
      </c>
      <c r="I945" s="137">
        <v>3744000</v>
      </c>
      <c r="J945" s="132">
        <f t="shared" si="29"/>
        <v>187200</v>
      </c>
    </row>
    <row r="946" spans="1:10">
      <c r="A946" s="115" t="s">
        <v>706</v>
      </c>
      <c r="B946" s="115" t="s">
        <v>707</v>
      </c>
      <c r="C946" s="115" t="s">
        <v>2054</v>
      </c>
      <c r="D946" s="115" t="s">
        <v>2055</v>
      </c>
      <c r="E946" s="133" t="str">
        <f t="shared" si="28"/>
        <v>1200000649PUC-54205 AC WHITE10595 10 AT VN</v>
      </c>
      <c r="F946" s="133" t="s">
        <v>3445</v>
      </c>
      <c r="G946" s="133" t="s">
        <v>3881</v>
      </c>
      <c r="H946" s="133">
        <f>VLOOKUP(G946,'packing mapping'!A:B,2,0)</f>
        <v>20</v>
      </c>
      <c r="I946" s="137">
        <v>3737600</v>
      </c>
      <c r="J946" s="132">
        <f t="shared" si="29"/>
        <v>186880</v>
      </c>
    </row>
    <row r="947" spans="1:10">
      <c r="A947" s="115" t="s">
        <v>706</v>
      </c>
      <c r="B947" s="115" t="s">
        <v>707</v>
      </c>
      <c r="C947" s="115" t="s">
        <v>2056</v>
      </c>
      <c r="D947" s="115" t="s">
        <v>2057</v>
      </c>
      <c r="E947" s="133" t="str">
        <f t="shared" si="28"/>
        <v>1200000649PUC-54205 AC BEACH DAY 08 AT VN</v>
      </c>
      <c r="F947" s="133" t="s">
        <v>3446</v>
      </c>
      <c r="G947" s="133" t="s">
        <v>3881</v>
      </c>
      <c r="H947" s="133">
        <f>VLOOKUP(G947,'packing mapping'!A:B,2,0)</f>
        <v>20</v>
      </c>
      <c r="I947" s="137">
        <v>3964600</v>
      </c>
      <c r="J947" s="132">
        <f t="shared" si="29"/>
        <v>198230</v>
      </c>
    </row>
    <row r="948" spans="1:10">
      <c r="A948" s="115" t="s">
        <v>706</v>
      </c>
      <c r="B948" s="115" t="s">
        <v>707</v>
      </c>
      <c r="C948" s="115" t="s">
        <v>2058</v>
      </c>
      <c r="D948" s="115" t="s">
        <v>2059</v>
      </c>
      <c r="E948" s="133" t="str">
        <f t="shared" si="28"/>
        <v>1200000649PUC-54205 AC XAMK11758 10 AT VN</v>
      </c>
      <c r="F948" s="133" t="s">
        <v>3447</v>
      </c>
      <c r="G948" s="133" t="s">
        <v>3881</v>
      </c>
      <c r="H948" s="133">
        <f>VLOOKUP(G948,'packing mapping'!A:B,2,0)</f>
        <v>20</v>
      </c>
      <c r="I948" s="137">
        <v>3929400</v>
      </c>
      <c r="J948" s="132">
        <f t="shared" si="29"/>
        <v>196470</v>
      </c>
    </row>
    <row r="949" spans="1:10">
      <c r="A949" s="115" t="s">
        <v>706</v>
      </c>
      <c r="B949" s="115" t="s">
        <v>707</v>
      </c>
      <c r="C949" s="115" t="s">
        <v>2060</v>
      </c>
      <c r="D949" s="115" t="s">
        <v>2061</v>
      </c>
      <c r="E949" s="133" t="str">
        <f t="shared" si="28"/>
        <v>1200000649PUC-54205 AC KEMK11392 10 AT VN</v>
      </c>
      <c r="F949" s="133" t="s">
        <v>3448</v>
      </c>
      <c r="G949" s="133" t="s">
        <v>3881</v>
      </c>
      <c r="H949" s="133">
        <f>VLOOKUP(G949,'packing mapping'!A:B,2,0)</f>
        <v>20</v>
      </c>
      <c r="I949" s="137">
        <v>3958000</v>
      </c>
      <c r="J949" s="132">
        <f t="shared" si="29"/>
        <v>197900</v>
      </c>
    </row>
    <row r="950" spans="1:10">
      <c r="A950" s="115" t="s">
        <v>706</v>
      </c>
      <c r="B950" s="115" t="s">
        <v>707</v>
      </c>
      <c r="C950" s="115" t="s">
        <v>2062</v>
      </c>
      <c r="D950" s="115" t="s">
        <v>2063</v>
      </c>
      <c r="E950" s="133" t="str">
        <f t="shared" si="28"/>
        <v>1200000649PUC-54205 AC XAMK14075 10 AT VN</v>
      </c>
      <c r="F950" s="133" t="s">
        <v>3449</v>
      </c>
      <c r="G950" s="133" t="s">
        <v>3881</v>
      </c>
      <c r="H950" s="133">
        <f>VLOOKUP(G950,'packing mapping'!A:B,2,0)</f>
        <v>20</v>
      </c>
      <c r="I950" s="137">
        <v>3936000</v>
      </c>
      <c r="J950" s="132">
        <f t="shared" si="29"/>
        <v>196800</v>
      </c>
    </row>
    <row r="951" spans="1:10">
      <c r="A951" s="115" t="s">
        <v>706</v>
      </c>
      <c r="B951" s="115" t="s">
        <v>707</v>
      </c>
      <c r="C951" s="115" t="s">
        <v>2064</v>
      </c>
      <c r="D951" s="115" t="s">
        <v>2065</v>
      </c>
      <c r="E951" s="133" t="str">
        <f t="shared" si="28"/>
        <v>1200000649PUC-54206 AC EX XAM15710 50 ATVN</v>
      </c>
      <c r="F951" s="133" t="s">
        <v>3450</v>
      </c>
      <c r="G951" s="133" t="s">
        <v>3882</v>
      </c>
      <c r="H951" s="133">
        <f>VLOOKUP(G951,'packing mapping'!A:B,2,0)</f>
        <v>18</v>
      </c>
      <c r="I951" s="137">
        <v>3881700</v>
      </c>
      <c r="J951" s="132">
        <f t="shared" si="29"/>
        <v>215650</v>
      </c>
    </row>
    <row r="952" spans="1:10">
      <c r="A952" s="115" t="s">
        <v>706</v>
      </c>
      <c r="B952" s="115" t="s">
        <v>707</v>
      </c>
      <c r="C952" s="115" t="s">
        <v>2066</v>
      </c>
      <c r="D952" s="115" t="s">
        <v>2067</v>
      </c>
      <c r="E952" s="133" t="str">
        <f t="shared" si="28"/>
        <v>1200000649PUC-54206 AC EX DO15709 50 AT VN</v>
      </c>
      <c r="F952" s="133" t="s">
        <v>3451</v>
      </c>
      <c r="G952" s="133" t="s">
        <v>3882</v>
      </c>
      <c r="H952" s="133">
        <f>VLOOKUP(G952,'packing mapping'!A:B,2,0)</f>
        <v>18</v>
      </c>
      <c r="I952" s="137">
        <v>3947220</v>
      </c>
      <c r="J952" s="132">
        <f t="shared" si="29"/>
        <v>219290</v>
      </c>
    </row>
    <row r="953" spans="1:10">
      <c r="A953" s="115" t="s">
        <v>706</v>
      </c>
      <c r="B953" s="115" t="s">
        <v>707</v>
      </c>
      <c r="C953" s="115" t="s">
        <v>1944</v>
      </c>
      <c r="D953" s="115" t="s">
        <v>1945</v>
      </c>
      <c r="E953" s="133" t="str">
        <f t="shared" si="28"/>
        <v>1200000649WBL-61204 CLEAR 10 VN</v>
      </c>
      <c r="F953" s="133" t="s">
        <v>3393</v>
      </c>
      <c r="G953" s="133" t="s">
        <v>3881</v>
      </c>
      <c r="H953" s="133">
        <f>VLOOKUP(G953,'packing mapping'!A:B,2,0)</f>
        <v>20</v>
      </c>
      <c r="I953" s="137">
        <v>3080400</v>
      </c>
      <c r="J953" s="132">
        <f t="shared" si="29"/>
        <v>154020</v>
      </c>
    </row>
    <row r="954" spans="1:10">
      <c r="A954" s="115" t="s">
        <v>706</v>
      </c>
      <c r="B954" s="115" t="s">
        <v>707</v>
      </c>
      <c r="C954" s="115" t="s">
        <v>2068</v>
      </c>
      <c r="D954" s="115" t="s">
        <v>2069</v>
      </c>
      <c r="E954" s="133" t="str">
        <f t="shared" si="28"/>
        <v>1200000649PUC-54205 AC KEM TULIP 10 AT VN</v>
      </c>
      <c r="F954" s="133" t="s">
        <v>3452</v>
      </c>
      <c r="G954" s="133" t="s">
        <v>3881</v>
      </c>
      <c r="H954" s="133">
        <f>VLOOKUP(G954,'packing mapping'!A:B,2,0)</f>
        <v>20</v>
      </c>
      <c r="I954" s="137">
        <v>3766200</v>
      </c>
      <c r="J954" s="132">
        <f t="shared" si="29"/>
        <v>188310</v>
      </c>
    </row>
    <row r="955" spans="1:10">
      <c r="A955" s="115" t="s">
        <v>706</v>
      </c>
      <c r="B955" s="115" t="s">
        <v>707</v>
      </c>
      <c r="C955" s="115" t="s">
        <v>2070</v>
      </c>
      <c r="D955" s="115" t="s">
        <v>2071</v>
      </c>
      <c r="E955" s="133" t="str">
        <f t="shared" si="28"/>
        <v>1200000649PUC-54205 AC KEMLANGTAY 10 AA VN</v>
      </c>
      <c r="F955" s="133" t="s">
        <v>3453</v>
      </c>
      <c r="G955" s="133" t="s">
        <v>3881</v>
      </c>
      <c r="H955" s="133">
        <f>VLOOKUP(G955,'packing mapping'!A:B,2,0)</f>
        <v>20</v>
      </c>
      <c r="I955" s="137">
        <v>3876400</v>
      </c>
      <c r="J955" s="132">
        <f t="shared" si="29"/>
        <v>193820</v>
      </c>
    </row>
    <row r="956" spans="1:10">
      <c r="A956" s="115" t="s">
        <v>706</v>
      </c>
      <c r="B956" s="115" t="s">
        <v>707</v>
      </c>
      <c r="C956" s="115" t="s">
        <v>2072</v>
      </c>
      <c r="D956" s="115" t="s">
        <v>2073</v>
      </c>
      <c r="E956" s="133" t="str">
        <f t="shared" si="28"/>
        <v>1200000649PUC-54205 AC GRN 19465 30 AT VN</v>
      </c>
      <c r="F956" s="133" t="s">
        <v>3454</v>
      </c>
      <c r="G956" s="133" t="s">
        <v>3881</v>
      </c>
      <c r="H956" s="133">
        <f>VLOOKUP(G956,'packing mapping'!A:B,2,0)</f>
        <v>20</v>
      </c>
      <c r="I956" s="137">
        <v>4103600</v>
      </c>
      <c r="J956" s="132">
        <f t="shared" si="29"/>
        <v>205180</v>
      </c>
    </row>
    <row r="957" spans="1:10">
      <c r="A957" s="115" t="s">
        <v>916</v>
      </c>
      <c r="B957" s="115" t="s">
        <v>917</v>
      </c>
      <c r="C957" s="115" t="s">
        <v>1188</v>
      </c>
      <c r="D957" s="115" t="s">
        <v>1189</v>
      </c>
      <c r="E957" s="133" t="str">
        <f t="shared" si="28"/>
        <v>1200000973PCA-31100 BLACK PASTE VN</v>
      </c>
      <c r="F957" s="133" t="s">
        <v>3048</v>
      </c>
      <c r="G957" s="133" t="s">
        <v>3883</v>
      </c>
      <c r="H957" s="133">
        <f>VLOOKUP(G957,'packing mapping'!A:B,2,0)</f>
        <v>4</v>
      </c>
      <c r="I957" s="137">
        <v>1402400</v>
      </c>
      <c r="J957" s="132">
        <f t="shared" si="29"/>
        <v>350600</v>
      </c>
    </row>
    <row r="958" spans="1:10">
      <c r="A958" s="115" t="s">
        <v>916</v>
      </c>
      <c r="B958" s="115" t="s">
        <v>917</v>
      </c>
      <c r="C958" s="115" t="s">
        <v>1726</v>
      </c>
      <c r="D958" s="115" t="s">
        <v>1727</v>
      </c>
      <c r="E958" s="133" t="str">
        <f t="shared" si="28"/>
        <v>1200000973PCA-31100 BROWN 645 PASTE VN</v>
      </c>
      <c r="F958" s="133" t="s">
        <v>3298</v>
      </c>
      <c r="G958" s="133" t="s">
        <v>3883</v>
      </c>
      <c r="H958" s="133">
        <f>VLOOKUP(G958,'packing mapping'!A:B,2,0)</f>
        <v>4</v>
      </c>
      <c r="I958" s="137">
        <v>1278920</v>
      </c>
      <c r="J958" s="132">
        <f t="shared" si="29"/>
        <v>319730</v>
      </c>
    </row>
    <row r="959" spans="1:10">
      <c r="A959" s="115" t="s">
        <v>916</v>
      </c>
      <c r="B959" s="115" t="s">
        <v>917</v>
      </c>
      <c r="C959" s="115" t="s">
        <v>1190</v>
      </c>
      <c r="D959" s="115" t="s">
        <v>1191</v>
      </c>
      <c r="E959" s="133" t="str">
        <f t="shared" si="28"/>
        <v>1200000973PCA-31100 WHITE PASTE VN</v>
      </c>
      <c r="F959" s="133" t="s">
        <v>3049</v>
      </c>
      <c r="G959" s="133" t="s">
        <v>3883</v>
      </c>
      <c r="H959" s="133">
        <f>VLOOKUP(G959,'packing mapping'!A:B,2,0)</f>
        <v>4</v>
      </c>
      <c r="I959" s="137">
        <v>1062600</v>
      </c>
      <c r="J959" s="132">
        <f t="shared" si="29"/>
        <v>265650</v>
      </c>
    </row>
    <row r="960" spans="1:10">
      <c r="A960" s="115" t="s">
        <v>916</v>
      </c>
      <c r="B960" s="115" t="s">
        <v>917</v>
      </c>
      <c r="C960" s="115" t="s">
        <v>1208</v>
      </c>
      <c r="D960" s="115" t="s">
        <v>1209</v>
      </c>
      <c r="E960" s="133" t="str">
        <f t="shared" si="28"/>
        <v>1200000973PG-13900 WHITE 01 VN</v>
      </c>
      <c r="F960" s="133" t="s">
        <v>3058</v>
      </c>
      <c r="G960" s="133" t="s">
        <v>3881</v>
      </c>
      <c r="H960" s="133">
        <f>VLOOKUP(G960,'packing mapping'!A:B,2,0)</f>
        <v>20</v>
      </c>
      <c r="I960" s="137">
        <v>1915200</v>
      </c>
      <c r="J960" s="132">
        <f t="shared" si="29"/>
        <v>95760</v>
      </c>
    </row>
    <row r="961" spans="1:10">
      <c r="A961" s="115" t="s">
        <v>916</v>
      </c>
      <c r="B961" s="115" t="s">
        <v>917</v>
      </c>
      <c r="C961" s="115" t="s">
        <v>1718</v>
      </c>
      <c r="D961" s="115" t="s">
        <v>1719</v>
      </c>
      <c r="E961" s="133" t="str">
        <f t="shared" si="28"/>
        <v>1200000973PUL-51341 CLEAR 10 VN</v>
      </c>
      <c r="F961" s="133" t="s">
        <v>3294</v>
      </c>
      <c r="G961" s="133" t="s">
        <v>3882</v>
      </c>
      <c r="H961" s="133">
        <f>VLOOKUP(G961,'packing mapping'!A:B,2,0)</f>
        <v>18</v>
      </c>
      <c r="I961" s="137">
        <v>2186100</v>
      </c>
      <c r="J961" s="132">
        <f t="shared" si="29"/>
        <v>121450</v>
      </c>
    </row>
    <row r="962" spans="1:10">
      <c r="A962" s="115" t="s">
        <v>916</v>
      </c>
      <c r="B962" s="115" t="s">
        <v>917</v>
      </c>
      <c r="C962" s="115" t="s">
        <v>1478</v>
      </c>
      <c r="D962" s="115" t="s">
        <v>1479</v>
      </c>
      <c r="E962" s="133" t="str">
        <f t="shared" si="28"/>
        <v>1200000973PUSS-51241 VN</v>
      </c>
      <c r="F962" s="133" t="s">
        <v>3185</v>
      </c>
      <c r="G962" s="133" t="s">
        <v>3881</v>
      </c>
      <c r="H962" s="133">
        <f>VLOOKUP(G962,'packing mapping'!A:B,2,0)</f>
        <v>20</v>
      </c>
      <c r="I962" s="137">
        <v>2068600</v>
      </c>
      <c r="J962" s="132">
        <f t="shared" si="29"/>
        <v>103430</v>
      </c>
    </row>
    <row r="963" spans="1:10">
      <c r="A963" s="115" t="s">
        <v>916</v>
      </c>
      <c r="B963" s="115" t="s">
        <v>917</v>
      </c>
      <c r="C963" s="115" t="s">
        <v>1220</v>
      </c>
      <c r="D963" s="115" t="s">
        <v>1221</v>
      </c>
      <c r="E963" s="133" t="str">
        <f t="shared" ref="E963:E1026" si="30">A963&amp;F963</f>
        <v>1200000973SST-11100 C10 BLACK</v>
      </c>
      <c r="F963" s="133" t="s">
        <v>3064</v>
      </c>
      <c r="G963" s="133" t="s">
        <v>3883</v>
      </c>
      <c r="H963" s="133">
        <f>VLOOKUP(G963,'packing mapping'!A:B,2,0)</f>
        <v>4</v>
      </c>
      <c r="I963" s="137">
        <v>927360</v>
      </c>
      <c r="J963" s="132">
        <f t="shared" ref="J963:J1026" si="31">I963/H963</f>
        <v>231840</v>
      </c>
    </row>
    <row r="964" spans="1:10">
      <c r="A964" s="115" t="s">
        <v>916</v>
      </c>
      <c r="B964" s="115" t="s">
        <v>917</v>
      </c>
      <c r="C964" s="115" t="s">
        <v>1222</v>
      </c>
      <c r="D964" s="115" t="s">
        <v>1223</v>
      </c>
      <c r="E964" s="133" t="str">
        <f t="shared" si="30"/>
        <v>1200000973SST-11100 C10 BLUE</v>
      </c>
      <c r="F964" s="133" t="s">
        <v>3065</v>
      </c>
      <c r="G964" s="133" t="s">
        <v>3883</v>
      </c>
      <c r="H964" s="133">
        <f>VLOOKUP(G964,'packing mapping'!A:B,2,0)</f>
        <v>4</v>
      </c>
      <c r="I964" s="137">
        <v>1892120</v>
      </c>
      <c r="J964" s="132">
        <f t="shared" si="31"/>
        <v>473030</v>
      </c>
    </row>
    <row r="965" spans="1:10">
      <c r="A965" s="115" t="s">
        <v>916</v>
      </c>
      <c r="B965" s="115" t="s">
        <v>917</v>
      </c>
      <c r="C965" s="115" t="s">
        <v>1226</v>
      </c>
      <c r="D965" s="115" t="s">
        <v>1227</v>
      </c>
      <c r="E965" s="133" t="str">
        <f t="shared" si="30"/>
        <v>1200000973SST-11100 C10 RED</v>
      </c>
      <c r="F965" s="133" t="s">
        <v>3067</v>
      </c>
      <c r="G965" s="133" t="s">
        <v>3883</v>
      </c>
      <c r="H965" s="133">
        <f>VLOOKUP(G965,'packing mapping'!A:B,2,0)</f>
        <v>4</v>
      </c>
      <c r="I965" s="137">
        <v>1107120</v>
      </c>
      <c r="J965" s="132">
        <f t="shared" si="31"/>
        <v>276780</v>
      </c>
    </row>
    <row r="966" spans="1:10">
      <c r="A966" s="115" t="s">
        <v>916</v>
      </c>
      <c r="B966" s="115" t="s">
        <v>917</v>
      </c>
      <c r="C966" s="115" t="s">
        <v>1228</v>
      </c>
      <c r="D966" s="115" t="s">
        <v>1229</v>
      </c>
      <c r="E966" s="133" t="str">
        <f t="shared" si="30"/>
        <v>1200000973SST-11100 C10 YELLOW</v>
      </c>
      <c r="F966" s="133" t="s">
        <v>3068</v>
      </c>
      <c r="G966" s="133" t="s">
        <v>3883</v>
      </c>
      <c r="H966" s="133">
        <f>VLOOKUP(G966,'packing mapping'!A:B,2,0)</f>
        <v>4</v>
      </c>
      <c r="I966" s="137">
        <v>823200</v>
      </c>
      <c r="J966" s="132">
        <f t="shared" si="31"/>
        <v>205800</v>
      </c>
    </row>
    <row r="967" spans="1:10">
      <c r="A967" s="115" t="s">
        <v>916</v>
      </c>
      <c r="B967" s="115" t="s">
        <v>917</v>
      </c>
      <c r="C967" s="115" t="s">
        <v>1402</v>
      </c>
      <c r="D967" s="115" t="s">
        <v>1403</v>
      </c>
      <c r="E967" s="133" t="str">
        <f t="shared" si="30"/>
        <v>1200000973THC-73100-007 VN</v>
      </c>
      <c r="F967" s="133" t="s">
        <v>3150</v>
      </c>
      <c r="G967" s="133" t="s">
        <v>3880</v>
      </c>
      <c r="H967" s="133">
        <f>VLOOKUP(G967,'packing mapping'!A:B,2,0)</f>
        <v>20</v>
      </c>
      <c r="I967" s="137">
        <v>1334400</v>
      </c>
      <c r="J967" s="132">
        <f t="shared" si="31"/>
        <v>66720</v>
      </c>
    </row>
    <row r="968" spans="1:10">
      <c r="A968" s="115" t="s">
        <v>916</v>
      </c>
      <c r="B968" s="115" t="s">
        <v>917</v>
      </c>
      <c r="C968" s="115" t="s">
        <v>1240</v>
      </c>
      <c r="D968" s="115" t="s">
        <v>1241</v>
      </c>
      <c r="E968" s="133" t="str">
        <f t="shared" si="30"/>
        <v>1200000973THNC-71100 SD VN</v>
      </c>
      <c r="F968" s="133" t="s">
        <v>3074</v>
      </c>
      <c r="G968" s="133" t="s">
        <v>3884</v>
      </c>
      <c r="H968" s="133">
        <f>VLOOKUP(G968,'packing mapping'!A:B,2,0)</f>
        <v>200</v>
      </c>
      <c r="I968" s="137">
        <v>9936000</v>
      </c>
      <c r="J968" s="132">
        <f t="shared" si="31"/>
        <v>49680</v>
      </c>
    </row>
    <row r="969" spans="1:10">
      <c r="A969" s="115" t="s">
        <v>916</v>
      </c>
      <c r="B969" s="115" t="s">
        <v>917</v>
      </c>
      <c r="C969" s="115" t="s">
        <v>1482</v>
      </c>
      <c r="D969" s="115" t="s">
        <v>1483</v>
      </c>
      <c r="E969" s="133" t="str">
        <f t="shared" si="30"/>
        <v>1200000973THNC-71100 SD VN</v>
      </c>
      <c r="F969" s="133" t="s">
        <v>3074</v>
      </c>
      <c r="G969" s="133" t="s">
        <v>3880</v>
      </c>
      <c r="H969" s="133">
        <f>VLOOKUP(G969,'packing mapping'!A:B,2,0)</f>
        <v>20</v>
      </c>
      <c r="I969" s="137">
        <v>1036800</v>
      </c>
      <c r="J969" s="132">
        <f t="shared" si="31"/>
        <v>51840</v>
      </c>
    </row>
    <row r="970" spans="1:10">
      <c r="A970" s="115" t="s">
        <v>916</v>
      </c>
      <c r="B970" s="115" t="s">
        <v>917</v>
      </c>
      <c r="C970" s="115" t="s">
        <v>1242</v>
      </c>
      <c r="D970" s="115" t="s">
        <v>1243</v>
      </c>
      <c r="E970" s="133" t="str">
        <f t="shared" si="30"/>
        <v>1200000973THPU-71306 ST VN</v>
      </c>
      <c r="F970" s="133" t="s">
        <v>3039</v>
      </c>
      <c r="G970" s="133" t="s">
        <v>3884</v>
      </c>
      <c r="H970" s="133">
        <f>VLOOKUP(G970,'packing mapping'!A:B,2,0)</f>
        <v>200</v>
      </c>
      <c r="I970" s="137">
        <v>10368000</v>
      </c>
      <c r="J970" s="132">
        <f t="shared" si="31"/>
        <v>51840</v>
      </c>
    </row>
    <row r="971" spans="1:10">
      <c r="A971" s="115" t="s">
        <v>916</v>
      </c>
      <c r="B971" s="115" t="s">
        <v>917</v>
      </c>
      <c r="C971" s="115" t="s">
        <v>1170</v>
      </c>
      <c r="D971" s="115" t="s">
        <v>1171</v>
      </c>
      <c r="E971" s="133" t="str">
        <f t="shared" si="30"/>
        <v>1200000973THPU-71306 ST VN</v>
      </c>
      <c r="F971" s="133" t="s">
        <v>3039</v>
      </c>
      <c r="G971" s="133" t="s">
        <v>3880</v>
      </c>
      <c r="H971" s="133">
        <f>VLOOKUP(G971,'packing mapping'!A:B,2,0)</f>
        <v>20</v>
      </c>
      <c r="I971" s="137">
        <v>1149600</v>
      </c>
      <c r="J971" s="132">
        <f t="shared" si="31"/>
        <v>57480</v>
      </c>
    </row>
    <row r="972" spans="1:10">
      <c r="A972" s="115" t="s">
        <v>916</v>
      </c>
      <c r="B972" s="115" t="s">
        <v>917</v>
      </c>
      <c r="C972" s="115" t="s">
        <v>1244</v>
      </c>
      <c r="D972" s="115" t="s">
        <v>1245</v>
      </c>
      <c r="E972" s="133" t="str">
        <f t="shared" si="30"/>
        <v>1200000973TOL-76114 W VN</v>
      </c>
      <c r="F972" s="133" t="s">
        <v>3075</v>
      </c>
      <c r="G972" s="133" t="s">
        <v>3880</v>
      </c>
      <c r="H972" s="133">
        <f>VLOOKUP(G972,'packing mapping'!A:B,2,0)</f>
        <v>20</v>
      </c>
      <c r="I972" s="137">
        <v>1369200</v>
      </c>
      <c r="J972" s="132">
        <f t="shared" si="31"/>
        <v>68460</v>
      </c>
    </row>
    <row r="973" spans="1:10">
      <c r="A973" s="115" t="s">
        <v>916</v>
      </c>
      <c r="B973" s="115" t="s">
        <v>917</v>
      </c>
      <c r="C973" s="115" t="s">
        <v>1260</v>
      </c>
      <c r="D973" s="115" t="s">
        <v>1261</v>
      </c>
      <c r="E973" s="133" t="str">
        <f t="shared" si="30"/>
        <v>1200000973NCL-11329 LC CLEAR 05 VN</v>
      </c>
      <c r="F973" s="133" t="s">
        <v>3083</v>
      </c>
      <c r="G973" s="133" t="s">
        <v>3879</v>
      </c>
      <c r="H973" s="133">
        <f>VLOOKUP(G973,'packing mapping'!A:B,2,0)</f>
        <v>20</v>
      </c>
      <c r="I973" s="137">
        <v>2783600</v>
      </c>
      <c r="J973" s="132">
        <f t="shared" si="31"/>
        <v>139180</v>
      </c>
    </row>
    <row r="974" spans="1:10">
      <c r="A974" s="115" t="s">
        <v>916</v>
      </c>
      <c r="B974" s="115" t="s">
        <v>917</v>
      </c>
      <c r="C974" s="115" t="s">
        <v>1266</v>
      </c>
      <c r="D974" s="115" t="s">
        <v>1267</v>
      </c>
      <c r="E974" s="133" t="str">
        <f t="shared" si="30"/>
        <v>1200000973NCL-11329 LC CLEAR 30 VN</v>
      </c>
      <c r="F974" s="133" t="s">
        <v>3086</v>
      </c>
      <c r="G974" s="133" t="s">
        <v>3879</v>
      </c>
      <c r="H974" s="133">
        <f>VLOOKUP(G974,'packing mapping'!A:B,2,0)</f>
        <v>20</v>
      </c>
      <c r="I974" s="137">
        <v>2349600</v>
      </c>
      <c r="J974" s="132">
        <f t="shared" si="31"/>
        <v>117480</v>
      </c>
    </row>
    <row r="975" spans="1:10">
      <c r="A975" s="115" t="s">
        <v>916</v>
      </c>
      <c r="B975" s="115" t="s">
        <v>917</v>
      </c>
      <c r="C975" s="115" t="s">
        <v>1272</v>
      </c>
      <c r="D975" s="115" t="s">
        <v>1273</v>
      </c>
      <c r="E975" s="133" t="str">
        <f t="shared" si="30"/>
        <v>1200000973NCSS-11229 LC VN</v>
      </c>
      <c r="F975" s="133" t="s">
        <v>3089</v>
      </c>
      <c r="G975" s="133" t="s">
        <v>3879</v>
      </c>
      <c r="H975" s="133">
        <f>VLOOKUP(G975,'packing mapping'!A:B,2,0)</f>
        <v>20</v>
      </c>
      <c r="I975" s="137">
        <v>2434400</v>
      </c>
      <c r="J975" s="132">
        <f t="shared" si="31"/>
        <v>121720</v>
      </c>
    </row>
    <row r="976" spans="1:10">
      <c r="A976" s="115" t="s">
        <v>916</v>
      </c>
      <c r="B976" s="115" t="s">
        <v>917</v>
      </c>
      <c r="C976" s="115" t="s">
        <v>1296</v>
      </c>
      <c r="D976" s="115" t="s">
        <v>1297</v>
      </c>
      <c r="E976" s="133" t="str">
        <f t="shared" si="30"/>
        <v>1200000973RD-74106 VN</v>
      </c>
      <c r="F976" s="133" t="s">
        <v>3099</v>
      </c>
      <c r="G976" s="133" t="s">
        <v>3880</v>
      </c>
      <c r="H976" s="133">
        <f>VLOOKUP(G976,'packing mapping'!A:B,2,0)</f>
        <v>20</v>
      </c>
      <c r="I976" s="137">
        <v>1329600</v>
      </c>
      <c r="J976" s="132">
        <f t="shared" si="31"/>
        <v>66480</v>
      </c>
    </row>
    <row r="977" spans="1:10">
      <c r="A977" s="115" t="s">
        <v>916</v>
      </c>
      <c r="B977" s="115" t="s">
        <v>917</v>
      </c>
      <c r="C977" s="115" t="s">
        <v>1300</v>
      </c>
      <c r="D977" s="115" t="s">
        <v>1301</v>
      </c>
      <c r="E977" s="133" t="str">
        <f t="shared" si="30"/>
        <v>1200000973GZPU-21500 BLACK VN</v>
      </c>
      <c r="F977" s="133" t="s">
        <v>3101</v>
      </c>
      <c r="G977" s="133" t="s">
        <v>3883</v>
      </c>
      <c r="H977" s="133">
        <f>VLOOKUP(G977,'packing mapping'!A:B,2,0)</f>
        <v>4</v>
      </c>
      <c r="I977" s="137">
        <v>1416680</v>
      </c>
      <c r="J977" s="132">
        <f t="shared" si="31"/>
        <v>354170</v>
      </c>
    </row>
    <row r="978" spans="1:10">
      <c r="A978" s="115" t="s">
        <v>916</v>
      </c>
      <c r="B978" s="115" t="s">
        <v>917</v>
      </c>
      <c r="C978" s="115" t="s">
        <v>1302</v>
      </c>
      <c r="D978" s="115" t="s">
        <v>1303</v>
      </c>
      <c r="E978" s="133" t="str">
        <f t="shared" si="30"/>
        <v>1200000973GZPU-21500 BROWN VN</v>
      </c>
      <c r="F978" s="133" t="s">
        <v>3102</v>
      </c>
      <c r="G978" s="133" t="s">
        <v>3883</v>
      </c>
      <c r="H978" s="133">
        <f>VLOOKUP(G978,'packing mapping'!A:B,2,0)</f>
        <v>4</v>
      </c>
      <c r="I978" s="137">
        <v>1265880</v>
      </c>
      <c r="J978" s="132">
        <f t="shared" si="31"/>
        <v>316470</v>
      </c>
    </row>
    <row r="979" spans="1:10">
      <c r="A979" s="115" t="s">
        <v>916</v>
      </c>
      <c r="B979" s="115" t="s">
        <v>917</v>
      </c>
      <c r="C979" s="115" t="s">
        <v>1310</v>
      </c>
      <c r="D979" s="115" t="s">
        <v>1311</v>
      </c>
      <c r="E979" s="133" t="str">
        <f t="shared" si="30"/>
        <v>1200000973GZPU-21500 RED VN</v>
      </c>
      <c r="F979" s="133" t="s">
        <v>3106</v>
      </c>
      <c r="G979" s="133" t="s">
        <v>3883</v>
      </c>
      <c r="H979" s="133">
        <f>VLOOKUP(G979,'packing mapping'!A:B,2,0)</f>
        <v>4</v>
      </c>
      <c r="I979" s="137">
        <v>1724520</v>
      </c>
      <c r="J979" s="132">
        <f t="shared" si="31"/>
        <v>431130</v>
      </c>
    </row>
    <row r="980" spans="1:10">
      <c r="A980" s="115" t="s">
        <v>916</v>
      </c>
      <c r="B980" s="115" t="s">
        <v>917</v>
      </c>
      <c r="C980" s="115" t="s">
        <v>1312</v>
      </c>
      <c r="D980" s="115" t="s">
        <v>1313</v>
      </c>
      <c r="E980" s="133" t="str">
        <f t="shared" si="30"/>
        <v>1200000973GZPU-21500 YELLOW VN</v>
      </c>
      <c r="F980" s="133" t="s">
        <v>3107</v>
      </c>
      <c r="G980" s="133" t="s">
        <v>3883</v>
      </c>
      <c r="H980" s="133">
        <f>VLOOKUP(G980,'packing mapping'!A:B,2,0)</f>
        <v>4</v>
      </c>
      <c r="I980" s="137">
        <v>1557360</v>
      </c>
      <c r="J980" s="132">
        <f t="shared" si="31"/>
        <v>389340</v>
      </c>
    </row>
    <row r="981" spans="1:10">
      <c r="A981" s="115" t="s">
        <v>916</v>
      </c>
      <c r="B981" s="115" t="s">
        <v>917</v>
      </c>
      <c r="C981" s="115" t="s">
        <v>1496</v>
      </c>
      <c r="D981" s="115" t="s">
        <v>1497</v>
      </c>
      <c r="E981" s="133" t="str">
        <f t="shared" si="30"/>
        <v>1200000973PUH-56141 VN</v>
      </c>
      <c r="F981" s="133" t="s">
        <v>3189</v>
      </c>
      <c r="G981" s="133" t="s">
        <v>3881</v>
      </c>
      <c r="H981" s="133">
        <f>VLOOKUP(G981,'packing mapping'!A:B,2,0)</f>
        <v>20</v>
      </c>
      <c r="I981" s="137">
        <v>2774000</v>
      </c>
      <c r="J981" s="132">
        <f t="shared" si="31"/>
        <v>138700</v>
      </c>
    </row>
    <row r="982" spans="1:10">
      <c r="A982" s="115" t="s">
        <v>938</v>
      </c>
      <c r="B982" s="115" t="s">
        <v>939</v>
      </c>
      <c r="C982" s="115" t="s">
        <v>1210</v>
      </c>
      <c r="D982" s="115" t="s">
        <v>1211</v>
      </c>
      <c r="E982" s="133" t="str">
        <f t="shared" si="30"/>
        <v>1200000993PUH-56306 LY VN</v>
      </c>
      <c r="F982" s="133" t="s">
        <v>3059</v>
      </c>
      <c r="G982" s="133" t="s">
        <v>3879</v>
      </c>
      <c r="H982" s="133">
        <f>VLOOKUP(G982,'packing mapping'!A:B,2,0)</f>
        <v>20</v>
      </c>
      <c r="I982" s="137">
        <v>3541600</v>
      </c>
      <c r="J982" s="132">
        <f t="shared" si="31"/>
        <v>177080</v>
      </c>
    </row>
    <row r="983" spans="1:10">
      <c r="A983" s="115" t="s">
        <v>938</v>
      </c>
      <c r="B983" s="115" t="s">
        <v>939</v>
      </c>
      <c r="C983" s="115" t="s">
        <v>1352</v>
      </c>
      <c r="D983" s="115" t="s">
        <v>1353</v>
      </c>
      <c r="E983" s="133" t="str">
        <f t="shared" si="30"/>
        <v>1200000993PRCC-40233 GOLD LACQUER SDW VN</v>
      </c>
      <c r="F983" s="133" t="s">
        <v>3127</v>
      </c>
      <c r="G983" s="133" t="s">
        <v>3893</v>
      </c>
      <c r="H983" s="133">
        <f>VLOOKUP(G983,'packing mapping'!A:B,2,0)</f>
        <v>180</v>
      </c>
      <c r="I983" s="137">
        <v>29638800</v>
      </c>
      <c r="J983" s="132">
        <f t="shared" si="31"/>
        <v>164660</v>
      </c>
    </row>
    <row r="984" spans="1:10">
      <c r="A984" s="115" t="s">
        <v>938</v>
      </c>
      <c r="B984" s="115" t="s">
        <v>939</v>
      </c>
      <c r="C984" s="115" t="s">
        <v>1354</v>
      </c>
      <c r="D984" s="115" t="s">
        <v>1355</v>
      </c>
      <c r="E984" s="133" t="str">
        <f t="shared" si="30"/>
        <v>1200000993PRCC-20310 POLYESTER VARNISH II VN</v>
      </c>
      <c r="F984" s="133" t="s">
        <v>3128</v>
      </c>
      <c r="G984" s="133" t="s">
        <v>3891</v>
      </c>
      <c r="H984" s="133">
        <f>VLOOKUP(G984,'packing mapping'!A:B,2,0)</f>
        <v>200</v>
      </c>
      <c r="I984" s="137">
        <v>33212000</v>
      </c>
      <c r="J984" s="132">
        <f t="shared" si="31"/>
        <v>166060</v>
      </c>
    </row>
    <row r="985" spans="1:10">
      <c r="A985" s="115" t="s">
        <v>938</v>
      </c>
      <c r="B985" s="115" t="s">
        <v>939</v>
      </c>
      <c r="C985" s="115" t="s">
        <v>1356</v>
      </c>
      <c r="D985" s="115" t="s">
        <v>1357</v>
      </c>
      <c r="E985" s="133" t="str">
        <f t="shared" si="30"/>
        <v>1200000993PRCC-20324 POLYESTER CN VARNISH VN</v>
      </c>
      <c r="F985" s="133" t="s">
        <v>3129</v>
      </c>
      <c r="G985" s="133" t="s">
        <v>3891</v>
      </c>
      <c r="H985" s="133">
        <f>VLOOKUP(G985,'packing mapping'!A:B,2,0)</f>
        <v>200</v>
      </c>
      <c r="I985" s="137">
        <v>32506000</v>
      </c>
      <c r="J985" s="132">
        <f t="shared" si="31"/>
        <v>162530</v>
      </c>
    </row>
    <row r="986" spans="1:10">
      <c r="A986" s="115" t="s">
        <v>938</v>
      </c>
      <c r="B986" s="115" t="s">
        <v>939</v>
      </c>
      <c r="C986" s="115" t="s">
        <v>2074</v>
      </c>
      <c r="D986" s="115" t="s">
        <v>2075</v>
      </c>
      <c r="E986" s="133" t="str">
        <f t="shared" si="30"/>
        <v>1200000993PRCC-20310 POLYESTER VARNISH MB VN</v>
      </c>
      <c r="F986" s="133" t="s">
        <v>3455</v>
      </c>
      <c r="G986" s="133" t="s">
        <v>3891</v>
      </c>
      <c r="H986" s="133">
        <f>VLOOKUP(G986,'packing mapping'!A:B,2,0)</f>
        <v>200</v>
      </c>
      <c r="I986" s="137">
        <v>31534000</v>
      </c>
      <c r="J986" s="132">
        <f t="shared" si="31"/>
        <v>157670</v>
      </c>
    </row>
    <row r="987" spans="1:10">
      <c r="A987" s="115" t="s">
        <v>938</v>
      </c>
      <c r="B987" s="115" t="s">
        <v>939</v>
      </c>
      <c r="C987" s="115" t="s">
        <v>1360</v>
      </c>
      <c r="D987" s="115" t="s">
        <v>1361</v>
      </c>
      <c r="E987" s="133" t="str">
        <f t="shared" si="30"/>
        <v>1200000993MPUL-13700 CL VN</v>
      </c>
      <c r="F987" s="133" t="s">
        <v>3131</v>
      </c>
      <c r="G987" s="133" t="s">
        <v>3890</v>
      </c>
      <c r="H987" s="133">
        <f>VLOOKUP(G987,'packing mapping'!A:B,2,0)</f>
        <v>16</v>
      </c>
      <c r="I987" s="137">
        <v>2476000</v>
      </c>
      <c r="J987" s="132">
        <f t="shared" si="31"/>
        <v>154750</v>
      </c>
    </row>
    <row r="988" spans="1:10">
      <c r="A988" s="115" t="s">
        <v>938</v>
      </c>
      <c r="B988" s="115" t="s">
        <v>939</v>
      </c>
      <c r="C988" s="115" t="s">
        <v>2076</v>
      </c>
      <c r="D988" s="115" t="s">
        <v>2077</v>
      </c>
      <c r="E988" s="133" t="str">
        <f t="shared" si="30"/>
        <v>1200000993PRCC-10358 WBC POLY V2600 SDW VN</v>
      </c>
      <c r="F988" s="133" t="s">
        <v>3456</v>
      </c>
      <c r="G988" s="133" t="s">
        <v>3892</v>
      </c>
      <c r="H988" s="133">
        <f>VLOOKUP(G988,'packing mapping'!A:B,2,0)</f>
        <v>250</v>
      </c>
      <c r="I988" s="137">
        <v>42752500</v>
      </c>
      <c r="J988" s="132">
        <f t="shared" si="31"/>
        <v>171010</v>
      </c>
    </row>
    <row r="989" spans="1:10">
      <c r="A989" s="115" t="s">
        <v>938</v>
      </c>
      <c r="B989" s="115" t="s">
        <v>939</v>
      </c>
      <c r="C989" s="115" t="s">
        <v>2078</v>
      </c>
      <c r="D989" s="115" t="s">
        <v>2079</v>
      </c>
      <c r="E989" s="133" t="str">
        <f t="shared" si="30"/>
        <v>1200000993PRCC-40233 GOLD LACQUER SDW VN</v>
      </c>
      <c r="F989" s="133" t="s">
        <v>3127</v>
      </c>
      <c r="G989" s="133" t="s">
        <v>3882</v>
      </c>
      <c r="H989" s="133">
        <f>VLOOKUP(G989,'packing mapping'!A:B,2,0)</f>
        <v>18</v>
      </c>
      <c r="I989" s="137">
        <v>2963880</v>
      </c>
      <c r="J989" s="132">
        <f t="shared" si="31"/>
        <v>164660</v>
      </c>
    </row>
    <row r="990" spans="1:10">
      <c r="A990" s="115" t="s">
        <v>938</v>
      </c>
      <c r="B990" s="115" t="s">
        <v>939</v>
      </c>
      <c r="C990" s="115" t="s">
        <v>2080</v>
      </c>
      <c r="D990" s="115" t="s">
        <v>2081</v>
      </c>
      <c r="E990" s="133" t="str">
        <f t="shared" si="30"/>
        <v>1200000993PRCC-40301 A SIDE STRIPE LACQUER</v>
      </c>
      <c r="F990" s="133" t="s">
        <v>3457</v>
      </c>
      <c r="G990" s="133" t="s">
        <v>3883</v>
      </c>
      <c r="H990" s="133">
        <f>VLOOKUP(G990,'packing mapping'!A:B,2,0)</f>
        <v>4</v>
      </c>
      <c r="I990" s="137">
        <v>615920</v>
      </c>
      <c r="J990" s="132">
        <f t="shared" si="31"/>
        <v>153980</v>
      </c>
    </row>
    <row r="991" spans="1:10">
      <c r="A991" s="115" t="s">
        <v>938</v>
      </c>
      <c r="B991" s="115" t="s">
        <v>939</v>
      </c>
      <c r="C991" s="115" t="s">
        <v>2082</v>
      </c>
      <c r="D991" s="115" t="s">
        <v>2083</v>
      </c>
      <c r="E991" s="133" t="str">
        <f t="shared" si="30"/>
        <v>1200000993PRCC-40301 B SIDE STRIPE LACQUER</v>
      </c>
      <c r="F991" s="133" t="s">
        <v>3458</v>
      </c>
      <c r="G991" s="133" t="s">
        <v>3887</v>
      </c>
      <c r="H991" s="133">
        <f>VLOOKUP(G991,'packing mapping'!A:B,2,0)</f>
        <v>2</v>
      </c>
      <c r="I991" s="137">
        <v>400720</v>
      </c>
      <c r="J991" s="132">
        <f t="shared" si="31"/>
        <v>200360</v>
      </c>
    </row>
    <row r="992" spans="1:10">
      <c r="A992" s="115" t="s">
        <v>129</v>
      </c>
      <c r="B992" s="115" t="s">
        <v>130</v>
      </c>
      <c r="C992" s="115" t="s">
        <v>1398</v>
      </c>
      <c r="D992" s="115" t="s">
        <v>1399</v>
      </c>
      <c r="E992" s="133" t="str">
        <f t="shared" si="30"/>
        <v>1200000020THC-73100 402 VN</v>
      </c>
      <c r="F992" s="133" t="s">
        <v>3149</v>
      </c>
      <c r="G992" s="133" t="s">
        <v>3884</v>
      </c>
      <c r="H992" s="133">
        <f>VLOOKUP(G992,'packing mapping'!A:B,2,0)</f>
        <v>200</v>
      </c>
      <c r="I992" s="137">
        <v>13088000</v>
      </c>
      <c r="J992" s="132">
        <f t="shared" si="31"/>
        <v>65440</v>
      </c>
    </row>
    <row r="993" spans="1:10">
      <c r="A993" s="115" t="s">
        <v>129</v>
      </c>
      <c r="B993" s="115" t="s">
        <v>130</v>
      </c>
      <c r="C993" s="115" t="s">
        <v>2084</v>
      </c>
      <c r="D993" s="115" t="s">
        <v>2085</v>
      </c>
      <c r="E993" s="133" t="str">
        <f t="shared" si="30"/>
        <v>1200000020PRCC-20312 POL VARNISH CANPAC</v>
      </c>
      <c r="F993" s="133" t="s">
        <v>3459</v>
      </c>
      <c r="G993" s="133" t="s">
        <v>3891</v>
      </c>
      <c r="H993" s="133">
        <f>VLOOKUP(G993,'packing mapping'!A:B,2,0)</f>
        <v>200</v>
      </c>
      <c r="I993" s="137">
        <v>26316000</v>
      </c>
      <c r="J993" s="132">
        <f t="shared" si="31"/>
        <v>131580</v>
      </c>
    </row>
    <row r="994" spans="1:10">
      <c r="A994" s="115" t="s">
        <v>129</v>
      </c>
      <c r="B994" s="115" t="s">
        <v>130</v>
      </c>
      <c r="C994" s="115" t="s">
        <v>2086</v>
      </c>
      <c r="D994" s="115" t="s">
        <v>2087</v>
      </c>
      <c r="E994" s="133" t="str">
        <f t="shared" si="30"/>
        <v>1200000020PRCC-20101 ACRYLIC VARNISH</v>
      </c>
      <c r="F994" s="133" t="s">
        <v>3460</v>
      </c>
      <c r="G994" s="133" t="s">
        <v>3891</v>
      </c>
      <c r="H994" s="133">
        <f>VLOOKUP(G994,'packing mapping'!A:B,2,0)</f>
        <v>200</v>
      </c>
      <c r="I994" s="137">
        <v>26140000</v>
      </c>
      <c r="J994" s="132">
        <f t="shared" si="31"/>
        <v>130700</v>
      </c>
    </row>
    <row r="995" spans="1:10">
      <c r="A995" s="115" t="s">
        <v>129</v>
      </c>
      <c r="B995" s="115" t="s">
        <v>130</v>
      </c>
      <c r="C995" s="115" t="s">
        <v>2088</v>
      </c>
      <c r="D995" s="115" t="s">
        <v>2089</v>
      </c>
      <c r="E995" s="133" t="str">
        <f t="shared" si="30"/>
        <v>1200000020PRCC-10351 WBC POLYESTER TOA</v>
      </c>
      <c r="F995" s="133" t="s">
        <v>3461</v>
      </c>
      <c r="G995" s="133" t="s">
        <v>3892</v>
      </c>
      <c r="H995" s="133">
        <f>VLOOKUP(G995,'packing mapping'!A:B,2,0)</f>
        <v>250</v>
      </c>
      <c r="I995" s="137">
        <v>37795000</v>
      </c>
      <c r="J995" s="132">
        <f t="shared" si="31"/>
        <v>151180</v>
      </c>
    </row>
    <row r="996" spans="1:10">
      <c r="A996" s="115" t="s">
        <v>129</v>
      </c>
      <c r="B996" s="115" t="s">
        <v>130</v>
      </c>
      <c r="C996" s="115" t="s">
        <v>2090</v>
      </c>
      <c r="D996" s="115" t="s">
        <v>2091</v>
      </c>
      <c r="E996" s="133" t="str">
        <f t="shared" si="30"/>
        <v>1200000020PRCC-10357 WBC POLYESTER BMC</v>
      </c>
      <c r="F996" s="133" t="s">
        <v>3462</v>
      </c>
      <c r="G996" s="133" t="s">
        <v>3892</v>
      </c>
      <c r="H996" s="133">
        <f>VLOOKUP(G996,'packing mapping'!A:B,2,0)</f>
        <v>250</v>
      </c>
      <c r="I996" s="137">
        <v>37477500</v>
      </c>
      <c r="J996" s="132">
        <f t="shared" si="31"/>
        <v>149910</v>
      </c>
    </row>
    <row r="997" spans="1:10">
      <c r="A997" s="115" t="s">
        <v>129</v>
      </c>
      <c r="B997" s="115" t="s">
        <v>130</v>
      </c>
      <c r="C997" s="115" t="s">
        <v>1344</v>
      </c>
      <c r="D997" s="115" t="s">
        <v>1345</v>
      </c>
      <c r="E997" s="133" t="str">
        <f t="shared" si="30"/>
        <v>1200000020PRCC-20324 POLYESTER VARNISH</v>
      </c>
      <c r="F997" s="133" t="s">
        <v>3123</v>
      </c>
      <c r="G997" s="133" t="s">
        <v>3891</v>
      </c>
      <c r="H997" s="133">
        <f>VLOOKUP(G997,'packing mapping'!A:B,2,0)</f>
        <v>200</v>
      </c>
      <c r="I997" s="137">
        <v>25562000</v>
      </c>
      <c r="J997" s="132">
        <f t="shared" si="31"/>
        <v>127810</v>
      </c>
    </row>
    <row r="998" spans="1:10">
      <c r="A998" s="115" t="s">
        <v>129</v>
      </c>
      <c r="B998" s="115" t="s">
        <v>130</v>
      </c>
      <c r="C998" s="115" t="s">
        <v>2092</v>
      </c>
      <c r="D998" s="115" t="s">
        <v>2093</v>
      </c>
      <c r="E998" s="133" t="str">
        <f t="shared" si="30"/>
        <v>1200000020PRCC-40233 GOLD LACQUER MUDA</v>
      </c>
      <c r="F998" s="133" t="s">
        <v>3463</v>
      </c>
      <c r="G998" s="133" t="s">
        <v>3893</v>
      </c>
      <c r="H998" s="133">
        <f>VLOOKUP(G998,'packing mapping'!A:B,2,0)</f>
        <v>180</v>
      </c>
      <c r="I998" s="137">
        <v>25605000</v>
      </c>
      <c r="J998" s="132">
        <f t="shared" si="31"/>
        <v>142250</v>
      </c>
    </row>
    <row r="999" spans="1:10">
      <c r="A999" s="115" t="s">
        <v>129</v>
      </c>
      <c r="B999" s="115" t="s">
        <v>130</v>
      </c>
      <c r="C999" s="115" t="s">
        <v>2094</v>
      </c>
      <c r="D999" s="115" t="s">
        <v>2095</v>
      </c>
      <c r="E999" s="133" t="str">
        <f t="shared" si="30"/>
        <v>1200000020PRCC-20616 EPOXY SIZE CL</v>
      </c>
      <c r="F999" s="133" t="s">
        <v>3464</v>
      </c>
      <c r="G999" s="133" t="s">
        <v>3893</v>
      </c>
      <c r="H999" s="133">
        <f>VLOOKUP(G999,'packing mapping'!A:B,2,0)</f>
        <v>180</v>
      </c>
      <c r="I999" s="137">
        <v>26004600</v>
      </c>
      <c r="J999" s="132">
        <f t="shared" si="31"/>
        <v>144470</v>
      </c>
    </row>
    <row r="1000" spans="1:10">
      <c r="A1000" s="115" t="s">
        <v>129</v>
      </c>
      <c r="B1000" s="115" t="s">
        <v>130</v>
      </c>
      <c r="C1000" s="115" t="s">
        <v>2096</v>
      </c>
      <c r="D1000" s="115" t="s">
        <v>2097</v>
      </c>
      <c r="E1000" s="133" t="str">
        <f t="shared" si="30"/>
        <v>1200000020PRCC-20508 VCV LINH KY</v>
      </c>
      <c r="F1000" s="133" t="s">
        <v>3465</v>
      </c>
      <c r="G1000" s="133" t="s">
        <v>3882</v>
      </c>
      <c r="H1000" s="133">
        <f>VLOOKUP(G1000,'packing mapping'!A:B,2,0)</f>
        <v>18</v>
      </c>
      <c r="I1000" s="137">
        <v>2236680</v>
      </c>
      <c r="J1000" s="132">
        <f t="shared" si="31"/>
        <v>124260</v>
      </c>
    </row>
    <row r="1001" spans="1:10">
      <c r="A1001" s="115" t="s">
        <v>129</v>
      </c>
      <c r="B1001" s="115" t="s">
        <v>130</v>
      </c>
      <c r="C1001" s="115" t="s">
        <v>2098</v>
      </c>
      <c r="D1001" s="115" t="s">
        <v>2099</v>
      </c>
      <c r="E1001" s="133" t="str">
        <f t="shared" si="30"/>
        <v>1200000020PRCC-20502 VINYL SIZE</v>
      </c>
      <c r="F1001" s="133" t="s">
        <v>3466</v>
      </c>
      <c r="G1001" s="133" t="s">
        <v>3882</v>
      </c>
      <c r="H1001" s="133">
        <f>VLOOKUP(G1001,'packing mapping'!A:B,2,0)</f>
        <v>18</v>
      </c>
      <c r="I1001" s="137">
        <v>2029140</v>
      </c>
      <c r="J1001" s="132">
        <f t="shared" si="31"/>
        <v>112730</v>
      </c>
    </row>
    <row r="1002" spans="1:10">
      <c r="A1002" s="115" t="s">
        <v>129</v>
      </c>
      <c r="B1002" s="115" t="s">
        <v>130</v>
      </c>
      <c r="C1002" s="115" t="s">
        <v>2100</v>
      </c>
      <c r="D1002" s="115" t="s">
        <v>2101</v>
      </c>
      <c r="E1002" s="133" t="str">
        <f t="shared" si="30"/>
        <v>1200000020PRCC-20102 SSV</v>
      </c>
      <c r="F1002" s="133" t="s">
        <v>3467</v>
      </c>
      <c r="G1002" s="133" t="s">
        <v>3902</v>
      </c>
      <c r="H1002" s="133">
        <f>VLOOKUP(G1002,'packing mapping'!A:B,2,0)</f>
        <v>3.8</v>
      </c>
      <c r="I1002" s="137">
        <v>445018</v>
      </c>
      <c r="J1002" s="132">
        <f t="shared" si="31"/>
        <v>117110</v>
      </c>
    </row>
    <row r="1003" spans="1:10">
      <c r="A1003" s="115" t="s">
        <v>129</v>
      </c>
      <c r="B1003" s="115" t="s">
        <v>130</v>
      </c>
      <c r="C1003" s="115" t="s">
        <v>1358</v>
      </c>
      <c r="D1003" s="115" t="s">
        <v>1359</v>
      </c>
      <c r="E1003" s="133" t="str">
        <f t="shared" si="30"/>
        <v>1200000020PRCC-40102 HV CLEAR LACQUER CL VN</v>
      </c>
      <c r="F1003" s="133" t="s">
        <v>3130</v>
      </c>
      <c r="G1003" s="133" t="s">
        <v>3891</v>
      </c>
      <c r="H1003" s="133">
        <f>VLOOKUP(G1003,'packing mapping'!A:B,2,0)</f>
        <v>200</v>
      </c>
      <c r="I1003" s="137">
        <v>22934000</v>
      </c>
      <c r="J1003" s="132">
        <f t="shared" si="31"/>
        <v>114670</v>
      </c>
    </row>
    <row r="1004" spans="1:10">
      <c r="A1004" s="115" t="s">
        <v>129</v>
      </c>
      <c r="B1004" s="115" t="s">
        <v>130</v>
      </c>
      <c r="C1004" s="115" t="s">
        <v>2102</v>
      </c>
      <c r="D1004" s="115" t="s">
        <v>2103</v>
      </c>
      <c r="E1004" s="133" t="str">
        <f t="shared" si="30"/>
        <v>1200000020PRCC-20312 POL VARNISH CV VN</v>
      </c>
      <c r="F1004" s="133" t="s">
        <v>3468</v>
      </c>
      <c r="G1004" s="133" t="s">
        <v>3891</v>
      </c>
      <c r="H1004" s="133">
        <f>VLOOKUP(G1004,'packing mapping'!A:B,2,0)</f>
        <v>200</v>
      </c>
      <c r="I1004" s="137">
        <v>27960000</v>
      </c>
      <c r="J1004" s="132">
        <f t="shared" si="31"/>
        <v>139800</v>
      </c>
    </row>
    <row r="1005" spans="1:10">
      <c r="A1005" s="115" t="s">
        <v>858</v>
      </c>
      <c r="B1005" s="115" t="s">
        <v>859</v>
      </c>
      <c r="C1005" s="115" t="s">
        <v>1722</v>
      </c>
      <c r="D1005" s="115" t="s">
        <v>1723</v>
      </c>
      <c r="E1005" s="133" t="str">
        <f t="shared" si="30"/>
        <v>120000090311-260 AF PU THINNER</v>
      </c>
      <c r="F1005" s="133" t="s">
        <v>3296</v>
      </c>
      <c r="G1005" s="133" t="s">
        <v>3884</v>
      </c>
      <c r="H1005" s="133">
        <f>VLOOKUP(G1005,'packing mapping'!A:B,2,0)</f>
        <v>200</v>
      </c>
      <c r="I1005" s="137">
        <v>11481600</v>
      </c>
      <c r="J1005" s="132">
        <f t="shared" si="31"/>
        <v>57408</v>
      </c>
    </row>
    <row r="1006" spans="1:10">
      <c r="A1006" s="115" t="s">
        <v>858</v>
      </c>
      <c r="B1006" s="115" t="s">
        <v>859</v>
      </c>
      <c r="C1006" s="115" t="s">
        <v>2104</v>
      </c>
      <c r="D1006" s="115" t="s">
        <v>2105</v>
      </c>
      <c r="E1006" s="133" t="str">
        <f t="shared" si="30"/>
        <v>120000090311-260 AF PU THINNER</v>
      </c>
      <c r="F1006" s="133" t="s">
        <v>3296</v>
      </c>
      <c r="G1006" s="133" t="s">
        <v>3880</v>
      </c>
      <c r="H1006" s="133">
        <f>VLOOKUP(G1006,'packing mapping'!A:B,2,0)</f>
        <v>20</v>
      </c>
      <c r="I1006" s="137">
        <v>1192320</v>
      </c>
      <c r="J1006" s="132">
        <f t="shared" si="31"/>
        <v>59616</v>
      </c>
    </row>
    <row r="1007" spans="1:10">
      <c r="A1007" s="115" t="s">
        <v>858</v>
      </c>
      <c r="B1007" s="115" t="s">
        <v>859</v>
      </c>
      <c r="C1007" s="115" t="s">
        <v>2106</v>
      </c>
      <c r="D1007" s="115" t="s">
        <v>2107</v>
      </c>
      <c r="E1007" s="133" t="str">
        <f t="shared" si="30"/>
        <v>120000090311-260 AF PU THINNER HD</v>
      </c>
      <c r="F1007" s="133" t="s">
        <v>3469</v>
      </c>
      <c r="G1007" s="133" t="s">
        <v>3880</v>
      </c>
      <c r="H1007" s="133">
        <f>VLOOKUP(G1007,'packing mapping'!A:B,2,0)</f>
        <v>20</v>
      </c>
      <c r="I1007" s="137">
        <v>1297200</v>
      </c>
      <c r="J1007" s="132">
        <f t="shared" si="31"/>
        <v>64860</v>
      </c>
    </row>
    <row r="1008" spans="1:10">
      <c r="A1008" s="115" t="s">
        <v>858</v>
      </c>
      <c r="B1008" s="115" t="s">
        <v>859</v>
      </c>
      <c r="C1008" s="115" t="s">
        <v>1462</v>
      </c>
      <c r="D1008" s="115" t="s">
        <v>1463</v>
      </c>
      <c r="E1008" s="133" t="str">
        <f t="shared" si="30"/>
        <v>120000090364-56 MICRO FILLER VN</v>
      </c>
      <c r="F1008" s="133" t="s">
        <v>3178</v>
      </c>
      <c r="G1008" s="133" t="s">
        <v>3881</v>
      </c>
      <c r="H1008" s="133">
        <f>VLOOKUP(G1008,'packing mapping'!A:B,2,0)</f>
        <v>20</v>
      </c>
      <c r="I1008" s="137">
        <v>1517300</v>
      </c>
      <c r="J1008" s="132">
        <f t="shared" si="31"/>
        <v>75865</v>
      </c>
    </row>
    <row r="1009" spans="1:10">
      <c r="A1009" s="115" t="s">
        <v>858</v>
      </c>
      <c r="B1009" s="115" t="s">
        <v>859</v>
      </c>
      <c r="C1009" s="115" t="s">
        <v>1184</v>
      </c>
      <c r="D1009" s="115" t="s">
        <v>1185</v>
      </c>
      <c r="E1009" s="133" t="str">
        <f t="shared" si="30"/>
        <v>1200000903MEP-12003 CLEAR BASE VN</v>
      </c>
      <c r="F1009" s="133" t="s">
        <v>3046</v>
      </c>
      <c r="G1009" s="133" t="s">
        <v>3882</v>
      </c>
      <c r="H1009" s="133">
        <f>VLOOKUP(G1009,'packing mapping'!A:B,2,0)</f>
        <v>18</v>
      </c>
      <c r="I1009" s="137">
        <v>1604376</v>
      </c>
      <c r="J1009" s="132">
        <f t="shared" si="31"/>
        <v>89132</v>
      </c>
    </row>
    <row r="1010" spans="1:10">
      <c r="A1010" s="115" t="s">
        <v>858</v>
      </c>
      <c r="B1010" s="115" t="s">
        <v>859</v>
      </c>
      <c r="C1010" s="115" t="s">
        <v>1220</v>
      </c>
      <c r="D1010" s="115" t="s">
        <v>1221</v>
      </c>
      <c r="E1010" s="133" t="str">
        <f t="shared" si="30"/>
        <v>1200000903SST-11100 C10 BLACK</v>
      </c>
      <c r="F1010" s="133" t="s">
        <v>3064</v>
      </c>
      <c r="G1010" s="133" t="s">
        <v>3883</v>
      </c>
      <c r="H1010" s="133">
        <f>VLOOKUP(G1010,'packing mapping'!A:B,2,0)</f>
        <v>4</v>
      </c>
      <c r="I1010" s="137">
        <v>1187524</v>
      </c>
      <c r="J1010" s="132">
        <f t="shared" si="31"/>
        <v>296881</v>
      </c>
    </row>
    <row r="1011" spans="1:10">
      <c r="A1011" s="115" t="s">
        <v>858</v>
      </c>
      <c r="B1011" s="115" t="s">
        <v>859</v>
      </c>
      <c r="C1011" s="115" t="s">
        <v>1226</v>
      </c>
      <c r="D1011" s="115" t="s">
        <v>1227</v>
      </c>
      <c r="E1011" s="133" t="str">
        <f t="shared" si="30"/>
        <v>1200000903SST-11100 C10 RED</v>
      </c>
      <c r="F1011" s="133" t="s">
        <v>3067</v>
      </c>
      <c r="G1011" s="133" t="s">
        <v>3883</v>
      </c>
      <c r="H1011" s="133">
        <f>VLOOKUP(G1011,'packing mapping'!A:B,2,0)</f>
        <v>4</v>
      </c>
      <c r="I1011" s="137">
        <v>1608920</v>
      </c>
      <c r="J1011" s="132">
        <f t="shared" si="31"/>
        <v>402230</v>
      </c>
    </row>
    <row r="1012" spans="1:10">
      <c r="A1012" s="115" t="s">
        <v>858</v>
      </c>
      <c r="B1012" s="115" t="s">
        <v>859</v>
      </c>
      <c r="C1012" s="115" t="s">
        <v>1228</v>
      </c>
      <c r="D1012" s="115" t="s">
        <v>1229</v>
      </c>
      <c r="E1012" s="133" t="str">
        <f t="shared" si="30"/>
        <v>1200000903SST-11100 C10 YELLOW</v>
      </c>
      <c r="F1012" s="133" t="s">
        <v>3068</v>
      </c>
      <c r="G1012" s="133" t="s">
        <v>3883</v>
      </c>
      <c r="H1012" s="133">
        <f>VLOOKUP(G1012,'packing mapping'!A:B,2,0)</f>
        <v>4</v>
      </c>
      <c r="I1012" s="137">
        <v>1206576</v>
      </c>
      <c r="J1012" s="132">
        <f t="shared" si="31"/>
        <v>301644</v>
      </c>
    </row>
    <row r="1013" spans="1:10">
      <c r="A1013" s="115" t="s">
        <v>858</v>
      </c>
      <c r="B1013" s="115" t="s">
        <v>859</v>
      </c>
      <c r="C1013" s="115" t="s">
        <v>1402</v>
      </c>
      <c r="D1013" s="115" t="s">
        <v>1403</v>
      </c>
      <c r="E1013" s="133" t="str">
        <f t="shared" si="30"/>
        <v>1200000903THC-73100-007 VN</v>
      </c>
      <c r="F1013" s="133" t="s">
        <v>3150</v>
      </c>
      <c r="G1013" s="133" t="s">
        <v>3880</v>
      </c>
      <c r="H1013" s="133">
        <f>VLOOKUP(G1013,'packing mapping'!A:B,2,0)</f>
        <v>20</v>
      </c>
      <c r="I1013" s="137">
        <v>1863000</v>
      </c>
      <c r="J1013" s="132">
        <f t="shared" si="31"/>
        <v>93150</v>
      </c>
    </row>
    <row r="1014" spans="1:10">
      <c r="A1014" s="115" t="s">
        <v>858</v>
      </c>
      <c r="B1014" s="115" t="s">
        <v>859</v>
      </c>
      <c r="C1014" s="115" t="s">
        <v>1882</v>
      </c>
      <c r="D1014" s="115" t="s">
        <v>1883</v>
      </c>
      <c r="E1014" s="133" t="str">
        <f t="shared" si="30"/>
        <v>1200000903WBL-61201 CLEAR 10 VN</v>
      </c>
      <c r="F1014" s="133" t="s">
        <v>3363</v>
      </c>
      <c r="G1014" s="133" t="s">
        <v>3881</v>
      </c>
      <c r="H1014" s="133">
        <f>VLOOKUP(G1014,'packing mapping'!A:B,2,0)</f>
        <v>20</v>
      </c>
      <c r="I1014" s="137">
        <v>2272540</v>
      </c>
      <c r="J1014" s="132">
        <f t="shared" si="31"/>
        <v>113627</v>
      </c>
    </row>
    <row r="1015" spans="1:10">
      <c r="A1015" s="115" t="s">
        <v>858</v>
      </c>
      <c r="B1015" s="115" t="s">
        <v>859</v>
      </c>
      <c r="C1015" s="115" t="s">
        <v>1740</v>
      </c>
      <c r="D1015" s="115" t="s">
        <v>1741</v>
      </c>
      <c r="E1015" s="133" t="str">
        <f t="shared" si="30"/>
        <v>1200000903THPU-71300 SB VN</v>
      </c>
      <c r="F1015" s="133" t="s">
        <v>3303</v>
      </c>
      <c r="G1015" s="133" t="s">
        <v>3884</v>
      </c>
      <c r="H1015" s="133">
        <f>VLOOKUP(G1015,'packing mapping'!A:B,2,0)</f>
        <v>200</v>
      </c>
      <c r="I1015" s="137">
        <v>12512000</v>
      </c>
      <c r="J1015" s="132">
        <f t="shared" si="31"/>
        <v>62560</v>
      </c>
    </row>
    <row r="1016" spans="1:10">
      <c r="A1016" s="115" t="s">
        <v>858</v>
      </c>
      <c r="B1016" s="115" t="s">
        <v>859</v>
      </c>
      <c r="C1016" s="115" t="s">
        <v>2108</v>
      </c>
      <c r="D1016" s="115" t="s">
        <v>2109</v>
      </c>
      <c r="E1016" s="133" t="str">
        <f t="shared" si="30"/>
        <v>120000090382-4020 UE AF URT WHITE A</v>
      </c>
      <c r="F1016" s="133" t="s">
        <v>3470</v>
      </c>
      <c r="G1016" s="133" t="s">
        <v>3890</v>
      </c>
      <c r="H1016" s="133">
        <f>VLOOKUP(G1016,'packing mapping'!A:B,2,0)</f>
        <v>16</v>
      </c>
      <c r="I1016" s="137">
        <v>2273440</v>
      </c>
      <c r="J1016" s="132">
        <f t="shared" si="31"/>
        <v>142090</v>
      </c>
    </row>
    <row r="1017" spans="1:10">
      <c r="A1017" s="115" t="s">
        <v>858</v>
      </c>
      <c r="B1017" s="115" t="s">
        <v>859</v>
      </c>
      <c r="C1017" s="115" t="s">
        <v>1248</v>
      </c>
      <c r="D1017" s="115" t="s">
        <v>1249</v>
      </c>
      <c r="E1017" s="133" t="str">
        <f t="shared" si="30"/>
        <v>1200000903MEPH-12003 PS VN</v>
      </c>
      <c r="F1017" s="133" t="s">
        <v>3077</v>
      </c>
      <c r="G1017" s="133" t="s">
        <v>3887</v>
      </c>
      <c r="H1017" s="133">
        <f>VLOOKUP(G1017,'packing mapping'!A:B,2,0)</f>
        <v>2</v>
      </c>
      <c r="I1017" s="137">
        <v>371044</v>
      </c>
      <c r="J1017" s="132">
        <f t="shared" si="31"/>
        <v>185522</v>
      </c>
    </row>
    <row r="1018" spans="1:10">
      <c r="A1018" s="115" t="s">
        <v>858</v>
      </c>
      <c r="B1018" s="115" t="s">
        <v>859</v>
      </c>
      <c r="C1018" s="115" t="s">
        <v>1754</v>
      </c>
      <c r="D1018" s="115" t="s">
        <v>1755</v>
      </c>
      <c r="E1018" s="133" t="str">
        <f t="shared" si="30"/>
        <v>1200000903AL-088 VN</v>
      </c>
      <c r="F1018" s="133" t="s">
        <v>3310</v>
      </c>
      <c r="G1018" s="133" t="s">
        <v>3888</v>
      </c>
      <c r="H1018" s="133">
        <f>VLOOKUP(G1018,'packing mapping'!A:B,2,0)</f>
        <v>4</v>
      </c>
      <c r="I1018" s="137">
        <v>801512</v>
      </c>
      <c r="J1018" s="132">
        <f t="shared" si="31"/>
        <v>200378</v>
      </c>
    </row>
    <row r="1019" spans="1:10">
      <c r="A1019" s="115" t="s">
        <v>858</v>
      </c>
      <c r="B1019" s="115" t="s">
        <v>859</v>
      </c>
      <c r="C1019" s="115" t="s">
        <v>1758</v>
      </c>
      <c r="D1019" s="115" t="s">
        <v>1759</v>
      </c>
      <c r="E1019" s="133" t="str">
        <f t="shared" si="30"/>
        <v>1200000903AL-089 VN</v>
      </c>
      <c r="F1019" s="133" t="s">
        <v>3311</v>
      </c>
      <c r="G1019" s="133" t="s">
        <v>3883</v>
      </c>
      <c r="H1019" s="133">
        <f>VLOOKUP(G1019,'packing mapping'!A:B,2,0)</f>
        <v>4</v>
      </c>
      <c r="I1019" s="137">
        <v>473104</v>
      </c>
      <c r="J1019" s="132">
        <f t="shared" si="31"/>
        <v>118276</v>
      </c>
    </row>
    <row r="1020" spans="1:10">
      <c r="A1020" s="115" t="s">
        <v>858</v>
      </c>
      <c r="B1020" s="115" t="s">
        <v>859</v>
      </c>
      <c r="C1020" s="115" t="s">
        <v>1298</v>
      </c>
      <c r="D1020" s="115" t="s">
        <v>1299</v>
      </c>
      <c r="E1020" s="133" t="str">
        <f t="shared" si="30"/>
        <v>1200000903PUP-52122 PUTTY VN</v>
      </c>
      <c r="F1020" s="133" t="s">
        <v>3100</v>
      </c>
      <c r="G1020" s="133" t="s">
        <v>3883</v>
      </c>
      <c r="H1020" s="133">
        <f>VLOOKUP(G1020,'packing mapping'!A:B,2,0)</f>
        <v>4</v>
      </c>
      <c r="I1020" s="137">
        <v>226800</v>
      </c>
      <c r="J1020" s="132">
        <f t="shared" si="31"/>
        <v>56700</v>
      </c>
    </row>
    <row r="1021" spans="1:10">
      <c r="A1021" s="115" t="s">
        <v>858</v>
      </c>
      <c r="B1021" s="115" t="s">
        <v>859</v>
      </c>
      <c r="C1021" s="115" t="s">
        <v>1300</v>
      </c>
      <c r="D1021" s="115" t="s">
        <v>1301</v>
      </c>
      <c r="E1021" s="133" t="str">
        <f t="shared" si="30"/>
        <v>1200000903GZPU-21500 BLACK VN</v>
      </c>
      <c r="F1021" s="133" t="s">
        <v>3101</v>
      </c>
      <c r="G1021" s="133" t="s">
        <v>3883</v>
      </c>
      <c r="H1021" s="133">
        <f>VLOOKUP(G1021,'packing mapping'!A:B,2,0)</f>
        <v>4</v>
      </c>
      <c r="I1021" s="137">
        <v>1384840</v>
      </c>
      <c r="J1021" s="132">
        <f t="shared" si="31"/>
        <v>346210</v>
      </c>
    </row>
    <row r="1022" spans="1:10">
      <c r="A1022" s="115" t="s">
        <v>858</v>
      </c>
      <c r="B1022" s="115" t="s">
        <v>859</v>
      </c>
      <c r="C1022" s="115" t="s">
        <v>1302</v>
      </c>
      <c r="D1022" s="115" t="s">
        <v>1303</v>
      </c>
      <c r="E1022" s="133" t="str">
        <f t="shared" si="30"/>
        <v>1200000903GZPU-21500 BROWN VN</v>
      </c>
      <c r="F1022" s="133" t="s">
        <v>3102</v>
      </c>
      <c r="G1022" s="133" t="s">
        <v>3883</v>
      </c>
      <c r="H1022" s="133">
        <f>VLOOKUP(G1022,'packing mapping'!A:B,2,0)</f>
        <v>4</v>
      </c>
      <c r="I1022" s="137">
        <v>1058704</v>
      </c>
      <c r="J1022" s="132">
        <f t="shared" si="31"/>
        <v>264676</v>
      </c>
    </row>
    <row r="1023" spans="1:10">
      <c r="A1023" s="115" t="s">
        <v>858</v>
      </c>
      <c r="B1023" s="115" t="s">
        <v>859</v>
      </c>
      <c r="C1023" s="115" t="s">
        <v>2110</v>
      </c>
      <c r="D1023" s="115" t="s">
        <v>2111</v>
      </c>
      <c r="E1023" s="133" t="str">
        <f t="shared" si="30"/>
        <v>120000090382-2027 UE AF URT SANDING A</v>
      </c>
      <c r="F1023" s="133" t="s">
        <v>3471</v>
      </c>
      <c r="G1023" s="133" t="s">
        <v>3890</v>
      </c>
      <c r="H1023" s="133">
        <f>VLOOKUP(G1023,'packing mapping'!A:B,2,0)</f>
        <v>16</v>
      </c>
      <c r="I1023" s="137">
        <v>1115856</v>
      </c>
      <c r="J1023" s="132">
        <f t="shared" si="31"/>
        <v>69741</v>
      </c>
    </row>
    <row r="1024" spans="1:10">
      <c r="A1024" s="115" t="s">
        <v>858</v>
      </c>
      <c r="B1024" s="115" t="s">
        <v>859</v>
      </c>
      <c r="C1024" s="115" t="s">
        <v>1764</v>
      </c>
      <c r="D1024" s="115" t="s">
        <v>1765</v>
      </c>
      <c r="E1024" s="133" t="str">
        <f t="shared" si="30"/>
        <v>120000090382-1099 UE AF URT FLAT A</v>
      </c>
      <c r="F1024" s="133" t="s">
        <v>3313</v>
      </c>
      <c r="G1024" s="133" t="s">
        <v>3890</v>
      </c>
      <c r="H1024" s="133">
        <f>VLOOKUP(G1024,'packing mapping'!A:B,2,0)</f>
        <v>16</v>
      </c>
      <c r="I1024" s="137">
        <v>1476928</v>
      </c>
      <c r="J1024" s="132">
        <f t="shared" si="31"/>
        <v>92308</v>
      </c>
    </row>
    <row r="1025" spans="1:10">
      <c r="A1025" s="115" t="s">
        <v>858</v>
      </c>
      <c r="B1025" s="115" t="s">
        <v>859</v>
      </c>
      <c r="C1025" s="115" t="s">
        <v>2112</v>
      </c>
      <c r="D1025" s="115" t="s">
        <v>2113</v>
      </c>
      <c r="E1025" s="133" t="str">
        <f t="shared" si="30"/>
        <v>120000090311-260-1 AF PU THINNER</v>
      </c>
      <c r="F1025" s="133" t="s">
        <v>3472</v>
      </c>
      <c r="G1025" s="133" t="s">
        <v>3884</v>
      </c>
      <c r="H1025" s="133">
        <f>VLOOKUP(G1025,'packing mapping'!A:B,2,0)</f>
        <v>200</v>
      </c>
      <c r="I1025" s="137">
        <v>11481600</v>
      </c>
      <c r="J1025" s="132">
        <f t="shared" si="31"/>
        <v>57408</v>
      </c>
    </row>
    <row r="1026" spans="1:10">
      <c r="A1026" s="115" t="s">
        <v>858</v>
      </c>
      <c r="B1026" s="115" t="s">
        <v>859</v>
      </c>
      <c r="C1026" s="115" t="s">
        <v>2114</v>
      </c>
      <c r="D1026" s="115" t="s">
        <v>2115</v>
      </c>
      <c r="E1026" s="133" t="str">
        <f t="shared" si="30"/>
        <v>120000090382-5001 UE AF URT SFC WHITE A</v>
      </c>
      <c r="F1026" s="133" t="s">
        <v>3473</v>
      </c>
      <c r="G1026" s="133" t="s">
        <v>3890</v>
      </c>
      <c r="H1026" s="133">
        <f>VLOOKUP(G1026,'packing mapping'!A:B,2,0)</f>
        <v>16</v>
      </c>
      <c r="I1026" s="137">
        <v>1622080</v>
      </c>
      <c r="J1026" s="132">
        <f t="shared" si="31"/>
        <v>101380</v>
      </c>
    </row>
    <row r="1027" spans="1:10">
      <c r="A1027" s="115" t="s">
        <v>858</v>
      </c>
      <c r="B1027" s="115" t="s">
        <v>859</v>
      </c>
      <c r="C1027" s="115" t="s">
        <v>2116</v>
      </c>
      <c r="D1027" s="115" t="s">
        <v>2117</v>
      </c>
      <c r="E1027" s="133" t="str">
        <f t="shared" ref="E1027:E1090" si="32">A1027&amp;F1027</f>
        <v>120000090382-4029 UE AF URT WHITE A</v>
      </c>
      <c r="F1027" s="133" t="s">
        <v>3474</v>
      </c>
      <c r="G1027" s="133" t="s">
        <v>3890</v>
      </c>
      <c r="H1027" s="133">
        <f>VLOOKUP(G1027,'packing mapping'!A:B,2,0)</f>
        <v>16</v>
      </c>
      <c r="I1027" s="137">
        <v>2329696</v>
      </c>
      <c r="J1027" s="132">
        <f t="shared" ref="J1027:J1090" si="33">I1027/H1027</f>
        <v>145606</v>
      </c>
    </row>
    <row r="1028" spans="1:10">
      <c r="A1028" s="115" t="s">
        <v>858</v>
      </c>
      <c r="B1028" s="115" t="s">
        <v>859</v>
      </c>
      <c r="C1028" s="115" t="s">
        <v>2118</v>
      </c>
      <c r="D1028" s="115" t="s">
        <v>2119</v>
      </c>
      <c r="E1028" s="133" t="str">
        <f t="shared" si="32"/>
        <v>1200000903PCA-31100 BLACK OB PASTE AF VN</v>
      </c>
      <c r="F1028" s="133" t="s">
        <v>3475</v>
      </c>
      <c r="G1028" s="133" t="s">
        <v>3883</v>
      </c>
      <c r="H1028" s="133">
        <f>VLOOKUP(G1028,'packing mapping'!A:B,2,0)</f>
        <v>4</v>
      </c>
      <c r="I1028" s="137">
        <v>1464220</v>
      </c>
      <c r="J1028" s="132">
        <f t="shared" si="33"/>
        <v>366055</v>
      </c>
    </row>
    <row r="1029" spans="1:10">
      <c r="A1029" s="115" t="s">
        <v>858</v>
      </c>
      <c r="B1029" s="115" t="s">
        <v>859</v>
      </c>
      <c r="C1029" s="115" t="s">
        <v>2120</v>
      </c>
      <c r="D1029" s="115" t="s">
        <v>2121</v>
      </c>
      <c r="E1029" s="133" t="str">
        <f t="shared" si="32"/>
        <v>1200000903PCA-31100 BROWN 645 PASTE AF VN</v>
      </c>
      <c r="F1029" s="133" t="s">
        <v>3476</v>
      </c>
      <c r="G1029" s="133" t="s">
        <v>3883</v>
      </c>
      <c r="H1029" s="133">
        <f>VLOOKUP(G1029,'packing mapping'!A:B,2,0)</f>
        <v>4</v>
      </c>
      <c r="I1029" s="137">
        <v>797428</v>
      </c>
      <c r="J1029" s="132">
        <f t="shared" si="33"/>
        <v>199357</v>
      </c>
    </row>
    <row r="1030" spans="1:10">
      <c r="A1030" s="115" t="s">
        <v>858</v>
      </c>
      <c r="B1030" s="115" t="s">
        <v>859</v>
      </c>
      <c r="C1030" s="115" t="s">
        <v>2122</v>
      </c>
      <c r="D1030" s="115" t="s">
        <v>2123</v>
      </c>
      <c r="E1030" s="133" t="str">
        <f t="shared" si="32"/>
        <v>1200000903PCA-31100 RED OB 35 PASTE AF VN</v>
      </c>
      <c r="F1030" s="133" t="s">
        <v>3477</v>
      </c>
      <c r="G1030" s="133" t="s">
        <v>3883</v>
      </c>
      <c r="H1030" s="133">
        <f>VLOOKUP(G1030,'packing mapping'!A:B,2,0)</f>
        <v>4</v>
      </c>
      <c r="I1030" s="137">
        <v>1314988</v>
      </c>
      <c r="J1030" s="132">
        <f t="shared" si="33"/>
        <v>328747</v>
      </c>
    </row>
    <row r="1031" spans="1:10">
      <c r="A1031" s="115" t="s">
        <v>858</v>
      </c>
      <c r="B1031" s="115" t="s">
        <v>859</v>
      </c>
      <c r="C1031" s="115" t="s">
        <v>2124</v>
      </c>
      <c r="D1031" s="115" t="s">
        <v>2125</v>
      </c>
      <c r="E1031" s="133" t="str">
        <f t="shared" si="32"/>
        <v>1200000903PCA-31100 WHITE PASTE AF VN</v>
      </c>
      <c r="F1031" s="133" t="s">
        <v>3478</v>
      </c>
      <c r="G1031" s="133" t="s">
        <v>3883</v>
      </c>
      <c r="H1031" s="133">
        <f>VLOOKUP(G1031,'packing mapping'!A:B,2,0)</f>
        <v>4</v>
      </c>
      <c r="I1031" s="137">
        <v>927612</v>
      </c>
      <c r="J1031" s="132">
        <f t="shared" si="33"/>
        <v>231903</v>
      </c>
    </row>
    <row r="1032" spans="1:10">
      <c r="A1032" s="115" t="s">
        <v>858</v>
      </c>
      <c r="B1032" s="115" t="s">
        <v>859</v>
      </c>
      <c r="C1032" s="115" t="s">
        <v>2126</v>
      </c>
      <c r="D1032" s="115" t="s">
        <v>2127</v>
      </c>
      <c r="E1032" s="133" t="str">
        <f t="shared" si="32"/>
        <v>1200000903PCA-31100 YELLOW HR PASTE AF VN</v>
      </c>
      <c r="F1032" s="133" t="s">
        <v>3479</v>
      </c>
      <c r="G1032" s="133" t="s">
        <v>3883</v>
      </c>
      <c r="H1032" s="133">
        <f>VLOOKUP(G1032,'packing mapping'!A:B,2,0)</f>
        <v>4</v>
      </c>
      <c r="I1032" s="137">
        <v>1064144</v>
      </c>
      <c r="J1032" s="132">
        <f t="shared" si="33"/>
        <v>266036</v>
      </c>
    </row>
    <row r="1033" spans="1:10">
      <c r="A1033" s="115" t="s">
        <v>858</v>
      </c>
      <c r="B1033" s="115" t="s">
        <v>859</v>
      </c>
      <c r="C1033" s="115" t="s">
        <v>2128</v>
      </c>
      <c r="D1033" s="115" t="s">
        <v>2129</v>
      </c>
      <c r="E1033" s="133" t="str">
        <f t="shared" si="32"/>
        <v>1200000903PCA-31100 YELLOW OG 16 PASTE AF VN</v>
      </c>
      <c r="F1033" s="133" t="s">
        <v>3480</v>
      </c>
      <c r="G1033" s="133" t="s">
        <v>3883</v>
      </c>
      <c r="H1033" s="133">
        <f>VLOOKUP(G1033,'packing mapping'!A:B,2,0)</f>
        <v>4</v>
      </c>
      <c r="I1033" s="137">
        <v>2053448</v>
      </c>
      <c r="J1033" s="132">
        <f t="shared" si="33"/>
        <v>513362</v>
      </c>
    </row>
    <row r="1034" spans="1:10">
      <c r="A1034" s="115" t="s">
        <v>858</v>
      </c>
      <c r="B1034" s="115" t="s">
        <v>859</v>
      </c>
      <c r="C1034" s="115" t="s">
        <v>2130</v>
      </c>
      <c r="D1034" s="115" t="s">
        <v>2131</v>
      </c>
      <c r="E1034" s="133" t="str">
        <f t="shared" si="32"/>
        <v>1200000903PCA-31100 YELLOW OKER PASTE AF VN</v>
      </c>
      <c r="F1034" s="133" t="s">
        <v>3481</v>
      </c>
      <c r="G1034" s="133" t="s">
        <v>3883</v>
      </c>
      <c r="H1034" s="133">
        <f>VLOOKUP(G1034,'packing mapping'!A:B,2,0)</f>
        <v>4</v>
      </c>
      <c r="I1034" s="137">
        <v>1466944</v>
      </c>
      <c r="J1034" s="132">
        <f t="shared" si="33"/>
        <v>366736</v>
      </c>
    </row>
    <row r="1035" spans="1:10">
      <c r="A1035" s="115" t="s">
        <v>858</v>
      </c>
      <c r="B1035" s="115" t="s">
        <v>859</v>
      </c>
      <c r="C1035" s="115" t="s">
        <v>2132</v>
      </c>
      <c r="D1035" s="115" t="s">
        <v>2133</v>
      </c>
      <c r="E1035" s="133" t="str">
        <f t="shared" si="32"/>
        <v>1200000903PCA-31100 BLACK PASTE AF VN</v>
      </c>
      <c r="F1035" s="133" t="s">
        <v>3482</v>
      </c>
      <c r="G1035" s="133" t="s">
        <v>3883</v>
      </c>
      <c r="H1035" s="133">
        <f>VLOOKUP(G1035,'packing mapping'!A:B,2,0)</f>
        <v>4</v>
      </c>
      <c r="I1035" s="137">
        <v>962084</v>
      </c>
      <c r="J1035" s="132">
        <f t="shared" si="33"/>
        <v>240521</v>
      </c>
    </row>
    <row r="1036" spans="1:10">
      <c r="A1036" s="115" t="s">
        <v>858</v>
      </c>
      <c r="B1036" s="115" t="s">
        <v>859</v>
      </c>
      <c r="C1036" s="115" t="s">
        <v>1766</v>
      </c>
      <c r="D1036" s="115" t="s">
        <v>1767</v>
      </c>
      <c r="E1036" s="133" t="str">
        <f t="shared" si="32"/>
        <v>120000090382-1047 UE AF URT FLAT A</v>
      </c>
      <c r="F1036" s="133" t="s">
        <v>3314</v>
      </c>
      <c r="G1036" s="133" t="s">
        <v>3890</v>
      </c>
      <c r="H1036" s="133">
        <f>VLOOKUP(G1036,'packing mapping'!A:B,2,0)</f>
        <v>16</v>
      </c>
      <c r="I1036" s="137">
        <v>1429744</v>
      </c>
      <c r="J1036" s="132">
        <f t="shared" si="33"/>
        <v>89359</v>
      </c>
    </row>
    <row r="1037" spans="1:10">
      <c r="A1037" s="115" t="s">
        <v>858</v>
      </c>
      <c r="B1037" s="115" t="s">
        <v>859</v>
      </c>
      <c r="C1037" s="115" t="s">
        <v>2134</v>
      </c>
      <c r="D1037" s="115" t="s">
        <v>2135</v>
      </c>
      <c r="E1037" s="133" t="str">
        <f t="shared" si="32"/>
        <v>1200000903PCL-31300 YELLOW OG 16 AF VN</v>
      </c>
      <c r="F1037" s="133" t="s">
        <v>3483</v>
      </c>
      <c r="G1037" s="133" t="s">
        <v>3883</v>
      </c>
      <c r="H1037" s="133">
        <f>VLOOKUP(G1037,'packing mapping'!A:B,2,0)</f>
        <v>4</v>
      </c>
      <c r="I1037" s="137">
        <v>1546324</v>
      </c>
      <c r="J1037" s="132">
        <f t="shared" si="33"/>
        <v>386581</v>
      </c>
    </row>
    <row r="1038" spans="1:10">
      <c r="A1038" s="115" t="s">
        <v>858</v>
      </c>
      <c r="B1038" s="115" t="s">
        <v>859</v>
      </c>
      <c r="C1038" s="115" t="s">
        <v>2136</v>
      </c>
      <c r="D1038" s="115" t="s">
        <v>2137</v>
      </c>
      <c r="E1038" s="133" t="str">
        <f t="shared" si="32"/>
        <v>1200000903PCL-31300 BLACK AF VN</v>
      </c>
      <c r="F1038" s="133" t="s">
        <v>3484</v>
      </c>
      <c r="G1038" s="133" t="s">
        <v>3883</v>
      </c>
      <c r="H1038" s="133">
        <f>VLOOKUP(G1038,'packing mapping'!A:B,2,0)</f>
        <v>4</v>
      </c>
      <c r="I1038" s="137">
        <v>1226536</v>
      </c>
      <c r="J1038" s="132">
        <f t="shared" si="33"/>
        <v>306634</v>
      </c>
    </row>
    <row r="1039" spans="1:10">
      <c r="A1039" s="115" t="s">
        <v>858</v>
      </c>
      <c r="B1039" s="115" t="s">
        <v>859</v>
      </c>
      <c r="C1039" s="115" t="s">
        <v>2138</v>
      </c>
      <c r="D1039" s="115" t="s">
        <v>2139</v>
      </c>
      <c r="E1039" s="133" t="str">
        <f t="shared" si="32"/>
        <v>1200000903PCL-31300 RED OB 35 AF VN</v>
      </c>
      <c r="F1039" s="133" t="s">
        <v>3485</v>
      </c>
      <c r="G1039" s="133" t="s">
        <v>3883</v>
      </c>
      <c r="H1039" s="133">
        <f>VLOOKUP(G1039,'packing mapping'!A:B,2,0)</f>
        <v>4</v>
      </c>
      <c r="I1039" s="137">
        <v>1380304</v>
      </c>
      <c r="J1039" s="132">
        <f t="shared" si="33"/>
        <v>345076</v>
      </c>
    </row>
    <row r="1040" spans="1:10">
      <c r="A1040" s="115" t="s">
        <v>858</v>
      </c>
      <c r="B1040" s="115" t="s">
        <v>859</v>
      </c>
      <c r="C1040" s="115" t="s">
        <v>2140</v>
      </c>
      <c r="D1040" s="115" t="s">
        <v>2141</v>
      </c>
      <c r="E1040" s="133" t="str">
        <f t="shared" si="32"/>
        <v>1200000903AL-090 VN</v>
      </c>
      <c r="F1040" s="133" t="s">
        <v>3486</v>
      </c>
      <c r="G1040" s="133" t="s">
        <v>3883</v>
      </c>
      <c r="H1040" s="133">
        <f>VLOOKUP(G1040,'packing mapping'!A:B,2,0)</f>
        <v>4</v>
      </c>
      <c r="I1040" s="137">
        <v>473104</v>
      </c>
      <c r="J1040" s="132">
        <f t="shared" si="33"/>
        <v>118276</v>
      </c>
    </row>
    <row r="1041" spans="1:10">
      <c r="A1041" s="115" t="s">
        <v>858</v>
      </c>
      <c r="B1041" s="115" t="s">
        <v>859</v>
      </c>
      <c r="C1041" s="115" t="s">
        <v>2142</v>
      </c>
      <c r="D1041" s="115" t="s">
        <v>2143</v>
      </c>
      <c r="E1041" s="133" t="str">
        <f t="shared" si="32"/>
        <v>120000090311-261 AF PU THINNER</v>
      </c>
      <c r="F1041" s="133" t="s">
        <v>3487</v>
      </c>
      <c r="G1041" s="133" t="s">
        <v>3880</v>
      </c>
      <c r="H1041" s="133">
        <f>VLOOKUP(G1041,'packing mapping'!A:B,2,0)</f>
        <v>20</v>
      </c>
      <c r="I1041" s="137">
        <v>2012040</v>
      </c>
      <c r="J1041" s="132">
        <f t="shared" si="33"/>
        <v>100602</v>
      </c>
    </row>
    <row r="1042" spans="1:10">
      <c r="A1042" s="115" t="s">
        <v>858</v>
      </c>
      <c r="B1042" s="115" t="s">
        <v>859</v>
      </c>
      <c r="C1042" s="115" t="s">
        <v>2144</v>
      </c>
      <c r="D1042" s="115" t="s">
        <v>2145</v>
      </c>
      <c r="E1042" s="133" t="str">
        <f t="shared" si="32"/>
        <v>120000090311-261 AF PU THINNER</v>
      </c>
      <c r="F1042" s="133" t="s">
        <v>3487</v>
      </c>
      <c r="G1042" s="133" t="s">
        <v>3884</v>
      </c>
      <c r="H1042" s="133">
        <f>VLOOKUP(G1042,'packing mapping'!A:B,2,0)</f>
        <v>200</v>
      </c>
      <c r="I1042" s="137">
        <v>19402800</v>
      </c>
      <c r="J1042" s="132">
        <f t="shared" si="33"/>
        <v>97014</v>
      </c>
    </row>
    <row r="1043" spans="1:10">
      <c r="A1043" s="115" t="s">
        <v>858</v>
      </c>
      <c r="B1043" s="115" t="s">
        <v>859</v>
      </c>
      <c r="C1043" s="115" t="s">
        <v>2146</v>
      </c>
      <c r="D1043" s="115" t="s">
        <v>2147</v>
      </c>
      <c r="E1043" s="133" t="str">
        <f t="shared" si="32"/>
        <v>120000090382-1039 UE AF URT FLAT A 5% VN</v>
      </c>
      <c r="F1043" s="133" t="s">
        <v>3488</v>
      </c>
      <c r="G1043" s="133" t="s">
        <v>3890</v>
      </c>
      <c r="H1043" s="133">
        <f>VLOOKUP(G1043,'packing mapping'!A:B,2,0)</f>
        <v>16</v>
      </c>
      <c r="I1043" s="137">
        <v>1594864</v>
      </c>
      <c r="J1043" s="132">
        <f t="shared" si="33"/>
        <v>99679</v>
      </c>
    </row>
    <row r="1044" spans="1:10">
      <c r="A1044" s="115" t="s">
        <v>858</v>
      </c>
      <c r="B1044" s="115" t="s">
        <v>859</v>
      </c>
      <c r="C1044" s="115" t="s">
        <v>2148</v>
      </c>
      <c r="D1044" s="115" t="s">
        <v>2149</v>
      </c>
      <c r="E1044" s="133" t="str">
        <f t="shared" si="32"/>
        <v>120000090382-4169 UE AF URT WHITE A VN</v>
      </c>
      <c r="F1044" s="133" t="s">
        <v>3489</v>
      </c>
      <c r="G1044" s="133" t="s">
        <v>3890</v>
      </c>
      <c r="H1044" s="133">
        <f>VLOOKUP(G1044,'packing mapping'!A:B,2,0)</f>
        <v>16</v>
      </c>
      <c r="I1044" s="137">
        <v>2013984</v>
      </c>
      <c r="J1044" s="132">
        <f t="shared" si="33"/>
        <v>125874</v>
      </c>
    </row>
    <row r="1045" spans="1:10">
      <c r="A1045" s="115" t="s">
        <v>858</v>
      </c>
      <c r="B1045" s="115" t="s">
        <v>859</v>
      </c>
      <c r="C1045" s="115" t="s">
        <v>2150</v>
      </c>
      <c r="D1045" s="115" t="s">
        <v>2151</v>
      </c>
      <c r="E1045" s="133" t="str">
        <f t="shared" si="32"/>
        <v>1200000903AL-091 VN</v>
      </c>
      <c r="F1045" s="133" t="s">
        <v>3490</v>
      </c>
      <c r="G1045" s="133" t="s">
        <v>3883</v>
      </c>
      <c r="H1045" s="133">
        <f>VLOOKUP(G1045,'packing mapping'!A:B,2,0)</f>
        <v>4</v>
      </c>
      <c r="I1045" s="137">
        <v>617804</v>
      </c>
      <c r="J1045" s="132">
        <f t="shared" si="33"/>
        <v>154451</v>
      </c>
    </row>
    <row r="1046" spans="1:10">
      <c r="A1046" s="115" t="s">
        <v>858</v>
      </c>
      <c r="B1046" s="115" t="s">
        <v>859</v>
      </c>
      <c r="C1046" s="115" t="s">
        <v>1770</v>
      </c>
      <c r="D1046" s="115" t="s">
        <v>1771</v>
      </c>
      <c r="E1046" s="133" t="str">
        <f t="shared" si="32"/>
        <v>1200000903THPU-71300 SB VN</v>
      </c>
      <c r="F1046" s="133" t="s">
        <v>3303</v>
      </c>
      <c r="G1046" s="133" t="s">
        <v>3880</v>
      </c>
      <c r="H1046" s="133">
        <f>VLOOKUP(G1046,'packing mapping'!A:B,2,0)</f>
        <v>20</v>
      </c>
      <c r="I1046" s="137">
        <v>1322500</v>
      </c>
      <c r="J1046" s="132">
        <f t="shared" si="33"/>
        <v>66125</v>
      </c>
    </row>
    <row r="1047" spans="1:10">
      <c r="A1047" s="115" t="s">
        <v>858</v>
      </c>
      <c r="B1047" s="115" t="s">
        <v>859</v>
      </c>
      <c r="C1047" s="115" t="s">
        <v>1416</v>
      </c>
      <c r="D1047" s="115" t="s">
        <v>1417</v>
      </c>
      <c r="E1047" s="133" t="str">
        <f t="shared" si="32"/>
        <v>1200000903THC-73100 102 VN</v>
      </c>
      <c r="F1047" s="133" t="s">
        <v>3111</v>
      </c>
      <c r="G1047" s="133" t="s">
        <v>3884</v>
      </c>
      <c r="H1047" s="133">
        <f>VLOOKUP(G1047,'packing mapping'!A:B,2,0)</f>
        <v>200</v>
      </c>
      <c r="I1047" s="137">
        <v>9000000</v>
      </c>
      <c r="J1047" s="132">
        <f t="shared" si="33"/>
        <v>45000</v>
      </c>
    </row>
    <row r="1048" spans="1:10">
      <c r="A1048" s="115" t="s">
        <v>858</v>
      </c>
      <c r="B1048" s="115" t="s">
        <v>859</v>
      </c>
      <c r="C1048" s="115" t="s">
        <v>2152</v>
      </c>
      <c r="D1048" s="115" t="s">
        <v>2153</v>
      </c>
      <c r="E1048" s="133" t="str">
        <f t="shared" si="32"/>
        <v>1200000903PST-12100 WHITE IS VN</v>
      </c>
      <c r="F1048" s="133" t="s">
        <v>3491</v>
      </c>
      <c r="G1048" s="133" t="s">
        <v>3883</v>
      </c>
      <c r="H1048" s="133">
        <f>VLOOKUP(G1048,'packing mapping'!A:B,2,0)</f>
        <v>4</v>
      </c>
      <c r="I1048" s="137">
        <v>835076</v>
      </c>
      <c r="J1048" s="132">
        <f t="shared" si="33"/>
        <v>208769</v>
      </c>
    </row>
    <row r="1049" spans="1:10">
      <c r="A1049" s="115" t="s">
        <v>858</v>
      </c>
      <c r="B1049" s="115" t="s">
        <v>859</v>
      </c>
      <c r="C1049" s="115" t="s">
        <v>2154</v>
      </c>
      <c r="D1049" s="115" t="s">
        <v>2155</v>
      </c>
      <c r="E1049" s="133" t="str">
        <f t="shared" si="32"/>
        <v>120000090382-1045 UE AF URT FLAT A</v>
      </c>
      <c r="F1049" s="133" t="s">
        <v>3492</v>
      </c>
      <c r="G1049" s="133" t="s">
        <v>3890</v>
      </c>
      <c r="H1049" s="133">
        <f>VLOOKUP(G1049,'packing mapping'!A:B,2,0)</f>
        <v>16</v>
      </c>
      <c r="I1049" s="137">
        <v>1565824</v>
      </c>
      <c r="J1049" s="132">
        <f t="shared" si="33"/>
        <v>97864</v>
      </c>
    </row>
    <row r="1050" spans="1:10">
      <c r="A1050" s="115" t="s">
        <v>858</v>
      </c>
      <c r="B1050" s="115" t="s">
        <v>859</v>
      </c>
      <c r="C1050" s="115" t="s">
        <v>2156</v>
      </c>
      <c r="D1050" s="115" t="s">
        <v>2157</v>
      </c>
      <c r="E1050" s="133" t="str">
        <f t="shared" si="32"/>
        <v>1200000903AL-092 VN</v>
      </c>
      <c r="F1050" s="133" t="s">
        <v>3493</v>
      </c>
      <c r="G1050" s="133" t="s">
        <v>3881</v>
      </c>
      <c r="H1050" s="133">
        <f>VLOOKUP(G1050,'packing mapping'!A:B,2,0)</f>
        <v>20</v>
      </c>
      <c r="I1050" s="137">
        <v>2399540</v>
      </c>
      <c r="J1050" s="132">
        <f t="shared" si="33"/>
        <v>119977</v>
      </c>
    </row>
    <row r="1051" spans="1:10">
      <c r="A1051" s="115" t="s">
        <v>858</v>
      </c>
      <c r="B1051" s="115" t="s">
        <v>859</v>
      </c>
      <c r="C1051" s="115" t="s">
        <v>2158</v>
      </c>
      <c r="D1051" s="115" t="s">
        <v>2159</v>
      </c>
      <c r="E1051" s="133" t="str">
        <f t="shared" si="32"/>
        <v>120000090382-1199 UE AF URT FLAT A VN</v>
      </c>
      <c r="F1051" s="133" t="s">
        <v>3494</v>
      </c>
      <c r="G1051" s="133" t="s">
        <v>3890</v>
      </c>
      <c r="H1051" s="133">
        <f>VLOOKUP(G1051,'packing mapping'!A:B,2,0)</f>
        <v>16</v>
      </c>
      <c r="I1051" s="137">
        <v>2155504</v>
      </c>
      <c r="J1051" s="132">
        <f t="shared" si="33"/>
        <v>134719</v>
      </c>
    </row>
    <row r="1052" spans="1:10">
      <c r="A1052" s="115" t="s">
        <v>858</v>
      </c>
      <c r="B1052" s="115" t="s">
        <v>859</v>
      </c>
      <c r="C1052" s="115" t="s">
        <v>2160</v>
      </c>
      <c r="D1052" s="115" t="s">
        <v>2161</v>
      </c>
      <c r="E1052" s="133" t="str">
        <f t="shared" si="32"/>
        <v>120000090311-260 AF PU THINNER HD</v>
      </c>
      <c r="F1052" s="133" t="s">
        <v>3469</v>
      </c>
      <c r="G1052" s="133" t="s">
        <v>3884</v>
      </c>
      <c r="H1052" s="133">
        <f>VLOOKUP(G1052,'packing mapping'!A:B,2,0)</f>
        <v>200</v>
      </c>
      <c r="I1052" s="137">
        <v>12916800</v>
      </c>
      <c r="J1052" s="132">
        <f t="shared" si="33"/>
        <v>64584</v>
      </c>
    </row>
    <row r="1053" spans="1:10">
      <c r="A1053" s="115" t="s">
        <v>858</v>
      </c>
      <c r="B1053" s="115" t="s">
        <v>859</v>
      </c>
      <c r="C1053" s="115" t="s">
        <v>2162</v>
      </c>
      <c r="D1053" s="115" t="s">
        <v>2163</v>
      </c>
      <c r="E1053" s="133" t="str">
        <f t="shared" si="32"/>
        <v>1200000903PCA-31100 ORANGE PASTE AF VN</v>
      </c>
      <c r="F1053" s="133" t="s">
        <v>3495</v>
      </c>
      <c r="G1053" s="133" t="s">
        <v>3883</v>
      </c>
      <c r="H1053" s="133">
        <f>VLOOKUP(G1053,'packing mapping'!A:B,2,0)</f>
        <v>4</v>
      </c>
      <c r="I1053" s="137">
        <v>1959552</v>
      </c>
      <c r="J1053" s="132">
        <f t="shared" si="33"/>
        <v>489888</v>
      </c>
    </row>
    <row r="1054" spans="1:10">
      <c r="A1054" s="115" t="s">
        <v>858</v>
      </c>
      <c r="B1054" s="115" t="s">
        <v>859</v>
      </c>
      <c r="C1054" s="115" t="s">
        <v>2164</v>
      </c>
      <c r="D1054" s="115" t="s">
        <v>2165</v>
      </c>
      <c r="E1054" s="133" t="str">
        <f t="shared" si="32"/>
        <v>1200000903PCA-31100 VIOLET OB PASTE AF VN</v>
      </c>
      <c r="F1054" s="133" t="s">
        <v>3496</v>
      </c>
      <c r="G1054" s="133" t="s">
        <v>3883</v>
      </c>
      <c r="H1054" s="133">
        <f>VLOOKUP(G1054,'packing mapping'!A:B,2,0)</f>
        <v>4</v>
      </c>
      <c r="I1054" s="137">
        <v>3295404</v>
      </c>
      <c r="J1054" s="132">
        <f t="shared" si="33"/>
        <v>823851</v>
      </c>
    </row>
    <row r="1055" spans="1:10">
      <c r="A1055" s="115" t="s">
        <v>858</v>
      </c>
      <c r="B1055" s="115" t="s">
        <v>859</v>
      </c>
      <c r="C1055" s="115" t="s">
        <v>2166</v>
      </c>
      <c r="D1055" s="115" t="s">
        <v>2167</v>
      </c>
      <c r="E1055" s="133" t="str">
        <f t="shared" si="32"/>
        <v>1200000903PCA-31100 BLUE OG PASTE AF VN</v>
      </c>
      <c r="F1055" s="133" t="s">
        <v>3497</v>
      </c>
      <c r="G1055" s="133" t="s">
        <v>3883</v>
      </c>
      <c r="H1055" s="133">
        <f>VLOOKUP(G1055,'packing mapping'!A:B,2,0)</f>
        <v>4</v>
      </c>
      <c r="I1055" s="137">
        <v>1515932</v>
      </c>
      <c r="J1055" s="132">
        <f t="shared" si="33"/>
        <v>378983</v>
      </c>
    </row>
    <row r="1056" spans="1:10">
      <c r="A1056" s="115" t="s">
        <v>858</v>
      </c>
      <c r="B1056" s="115" t="s">
        <v>859</v>
      </c>
      <c r="C1056" s="115" t="s">
        <v>2168</v>
      </c>
      <c r="D1056" s="115" t="s">
        <v>2169</v>
      </c>
      <c r="E1056" s="133" t="str">
        <f t="shared" si="32"/>
        <v>1200000903PCA-31100 GREEN OB PASTE AF VN</v>
      </c>
      <c r="F1056" s="133" t="s">
        <v>3498</v>
      </c>
      <c r="G1056" s="133" t="s">
        <v>3883</v>
      </c>
      <c r="H1056" s="133">
        <f>VLOOKUP(G1056,'packing mapping'!A:B,2,0)</f>
        <v>4</v>
      </c>
      <c r="I1056" s="137">
        <v>1596220</v>
      </c>
      <c r="J1056" s="132">
        <f t="shared" si="33"/>
        <v>399055</v>
      </c>
    </row>
    <row r="1057" spans="1:10">
      <c r="A1057" s="115" t="s">
        <v>858</v>
      </c>
      <c r="B1057" s="115" t="s">
        <v>859</v>
      </c>
      <c r="C1057" s="115" t="s">
        <v>2170</v>
      </c>
      <c r="D1057" s="115" t="s">
        <v>2171</v>
      </c>
      <c r="E1057" s="133" t="str">
        <f t="shared" si="32"/>
        <v>120000090382-2028 UE AF URT SANDING A VN</v>
      </c>
      <c r="F1057" s="133" t="s">
        <v>3499</v>
      </c>
      <c r="G1057" s="133" t="s">
        <v>3890</v>
      </c>
      <c r="H1057" s="133">
        <f>VLOOKUP(G1057,'packing mapping'!A:B,2,0)</f>
        <v>16</v>
      </c>
      <c r="I1057" s="137">
        <v>1348096</v>
      </c>
      <c r="J1057" s="132">
        <f t="shared" si="33"/>
        <v>84256</v>
      </c>
    </row>
    <row r="1058" spans="1:10">
      <c r="A1058" s="115" t="s">
        <v>858</v>
      </c>
      <c r="B1058" s="115" t="s">
        <v>859</v>
      </c>
      <c r="C1058" s="115" t="s">
        <v>2172</v>
      </c>
      <c r="D1058" s="115" t="s">
        <v>2173</v>
      </c>
      <c r="E1058" s="133" t="str">
        <f t="shared" si="32"/>
        <v>1200000903PCL-31300 BROWN 645 PASTE AF VN</v>
      </c>
      <c r="F1058" s="133" t="s">
        <v>3500</v>
      </c>
      <c r="G1058" s="133" t="s">
        <v>3883</v>
      </c>
      <c r="H1058" s="133">
        <f>VLOOKUP(G1058,'packing mapping'!A:B,2,0)</f>
        <v>4</v>
      </c>
      <c r="I1058" s="137">
        <v>964808</v>
      </c>
      <c r="J1058" s="132">
        <f t="shared" si="33"/>
        <v>241202</v>
      </c>
    </row>
    <row r="1059" spans="1:10">
      <c r="A1059" s="115" t="s">
        <v>858</v>
      </c>
      <c r="B1059" s="115" t="s">
        <v>859</v>
      </c>
      <c r="C1059" s="115" t="s">
        <v>2174</v>
      </c>
      <c r="D1059" s="115" t="s">
        <v>2175</v>
      </c>
      <c r="E1059" s="133" t="str">
        <f t="shared" si="32"/>
        <v>120000090311-260-2 AF PU THINNER</v>
      </c>
      <c r="F1059" s="133" t="s">
        <v>3501</v>
      </c>
      <c r="G1059" s="133" t="s">
        <v>3898</v>
      </c>
      <c r="H1059" s="133">
        <f>VLOOKUP(G1059,'packing mapping'!A:B,2,0)</f>
        <v>30</v>
      </c>
      <c r="I1059" s="137">
        <v>1871280</v>
      </c>
      <c r="J1059" s="132">
        <f t="shared" si="33"/>
        <v>62376</v>
      </c>
    </row>
    <row r="1060" spans="1:10">
      <c r="A1060" s="115" t="s">
        <v>858</v>
      </c>
      <c r="B1060" s="115" t="s">
        <v>859</v>
      </c>
      <c r="C1060" s="115" t="s">
        <v>2176</v>
      </c>
      <c r="D1060" s="115" t="s">
        <v>2177</v>
      </c>
      <c r="E1060" s="133" t="str">
        <f t="shared" si="32"/>
        <v>1200000903PG-13900 WHITE 02 VN</v>
      </c>
      <c r="F1060" s="133" t="s">
        <v>3502</v>
      </c>
      <c r="G1060" s="133" t="s">
        <v>3881</v>
      </c>
      <c r="H1060" s="133">
        <f>VLOOKUP(G1060,'packing mapping'!A:B,2,0)</f>
        <v>20</v>
      </c>
      <c r="I1060" s="137">
        <v>1932000</v>
      </c>
      <c r="J1060" s="132">
        <f t="shared" si="33"/>
        <v>96600</v>
      </c>
    </row>
    <row r="1061" spans="1:10">
      <c r="A1061" s="115" t="s">
        <v>858</v>
      </c>
      <c r="B1061" s="115" t="s">
        <v>859</v>
      </c>
      <c r="C1061" s="115" t="s">
        <v>2178</v>
      </c>
      <c r="D1061" s="115" t="s">
        <v>2179</v>
      </c>
      <c r="E1061" s="133" t="str">
        <f t="shared" si="32"/>
        <v>120000090364-013 PU ANTI ABRASIVE</v>
      </c>
      <c r="F1061" s="133" t="s">
        <v>3503</v>
      </c>
      <c r="G1061" s="133" t="s">
        <v>3886</v>
      </c>
      <c r="H1061" s="133">
        <f>VLOOKUP(G1061,'packing mapping'!A:B,2,0)</f>
        <v>5</v>
      </c>
      <c r="I1061" s="137">
        <v>4289775</v>
      </c>
      <c r="J1061" s="132">
        <f t="shared" si="33"/>
        <v>857955</v>
      </c>
    </row>
    <row r="1062" spans="1:10">
      <c r="A1062" s="115" t="s">
        <v>904</v>
      </c>
      <c r="B1062" s="115" t="s">
        <v>905</v>
      </c>
      <c r="C1062" s="115" t="s">
        <v>1186</v>
      </c>
      <c r="D1062" s="115" t="s">
        <v>1187</v>
      </c>
      <c r="E1062" s="133" t="str">
        <f t="shared" si="32"/>
        <v>1200000963MEP-12003 GREY VN</v>
      </c>
      <c r="F1062" s="133" t="s">
        <v>3047</v>
      </c>
      <c r="G1062" s="133" t="s">
        <v>3882</v>
      </c>
      <c r="H1062" s="133">
        <f>VLOOKUP(G1062,'packing mapping'!A:B,2,0)</f>
        <v>18</v>
      </c>
      <c r="I1062" s="137">
        <v>2242440</v>
      </c>
      <c r="J1062" s="132">
        <f t="shared" si="33"/>
        <v>124580</v>
      </c>
    </row>
    <row r="1063" spans="1:10">
      <c r="A1063" s="115" t="s">
        <v>904</v>
      </c>
      <c r="B1063" s="115" t="s">
        <v>905</v>
      </c>
      <c r="C1063" s="115" t="s">
        <v>2180</v>
      </c>
      <c r="D1063" s="115" t="s">
        <v>2181</v>
      </c>
      <c r="E1063" s="133" t="str">
        <f t="shared" si="32"/>
        <v>1200000963MEP-12003 WHITE VN</v>
      </c>
      <c r="F1063" s="133" t="s">
        <v>3504</v>
      </c>
      <c r="G1063" s="133" t="s">
        <v>3882</v>
      </c>
      <c r="H1063" s="133">
        <f>VLOOKUP(G1063,'packing mapping'!A:B,2,0)</f>
        <v>18</v>
      </c>
      <c r="I1063" s="137">
        <v>2242440</v>
      </c>
      <c r="J1063" s="132">
        <f t="shared" si="33"/>
        <v>124580</v>
      </c>
    </row>
    <row r="1064" spans="1:10">
      <c r="A1064" s="115" t="s">
        <v>904</v>
      </c>
      <c r="B1064" s="115" t="s">
        <v>905</v>
      </c>
      <c r="C1064" s="115" t="s">
        <v>1188</v>
      </c>
      <c r="D1064" s="115" t="s">
        <v>1189</v>
      </c>
      <c r="E1064" s="133" t="str">
        <f t="shared" si="32"/>
        <v>1200000963PCA-31100 BLACK PASTE VN</v>
      </c>
      <c r="F1064" s="133" t="s">
        <v>3048</v>
      </c>
      <c r="G1064" s="133" t="s">
        <v>3883</v>
      </c>
      <c r="H1064" s="133">
        <f>VLOOKUP(G1064,'packing mapping'!A:B,2,0)</f>
        <v>4</v>
      </c>
      <c r="I1064" s="137">
        <v>1472040</v>
      </c>
      <c r="J1064" s="132">
        <f t="shared" si="33"/>
        <v>368010</v>
      </c>
    </row>
    <row r="1065" spans="1:10">
      <c r="A1065" s="115" t="s">
        <v>904</v>
      </c>
      <c r="B1065" s="115" t="s">
        <v>905</v>
      </c>
      <c r="C1065" s="115" t="s">
        <v>1210</v>
      </c>
      <c r="D1065" s="115" t="s">
        <v>1211</v>
      </c>
      <c r="E1065" s="133" t="str">
        <f t="shared" si="32"/>
        <v>1200000963PUH-56306 LY VN</v>
      </c>
      <c r="F1065" s="133" t="s">
        <v>3059</v>
      </c>
      <c r="G1065" s="133" t="s">
        <v>3879</v>
      </c>
      <c r="H1065" s="133">
        <f>VLOOKUP(G1065,'packing mapping'!A:B,2,0)</f>
        <v>20</v>
      </c>
      <c r="I1065" s="137">
        <v>5142600</v>
      </c>
      <c r="J1065" s="132">
        <f t="shared" si="33"/>
        <v>257130</v>
      </c>
    </row>
    <row r="1066" spans="1:10">
      <c r="A1066" s="115" t="s">
        <v>904</v>
      </c>
      <c r="B1066" s="115" t="s">
        <v>905</v>
      </c>
      <c r="C1066" s="115" t="s">
        <v>1718</v>
      </c>
      <c r="D1066" s="115" t="s">
        <v>1719</v>
      </c>
      <c r="E1066" s="133" t="str">
        <f t="shared" si="32"/>
        <v>1200000963PUL-51341 CLEAR 10 VN</v>
      </c>
      <c r="F1066" s="133" t="s">
        <v>3294</v>
      </c>
      <c r="G1066" s="133" t="s">
        <v>3882</v>
      </c>
      <c r="H1066" s="133">
        <f>VLOOKUP(G1066,'packing mapping'!A:B,2,0)</f>
        <v>18</v>
      </c>
      <c r="I1066" s="137">
        <v>2232720</v>
      </c>
      <c r="J1066" s="132">
        <f t="shared" si="33"/>
        <v>124040</v>
      </c>
    </row>
    <row r="1067" spans="1:10">
      <c r="A1067" s="115" t="s">
        <v>904</v>
      </c>
      <c r="B1067" s="115" t="s">
        <v>905</v>
      </c>
      <c r="C1067" s="115" t="s">
        <v>1874</v>
      </c>
      <c r="D1067" s="115" t="s">
        <v>1875</v>
      </c>
      <c r="E1067" s="133" t="str">
        <f t="shared" si="32"/>
        <v>1200000963PUL-51341 CLEAR 20 VN</v>
      </c>
      <c r="F1067" s="133" t="s">
        <v>3360</v>
      </c>
      <c r="G1067" s="133" t="s">
        <v>3882</v>
      </c>
      <c r="H1067" s="133">
        <f>VLOOKUP(G1067,'packing mapping'!A:B,2,0)</f>
        <v>18</v>
      </c>
      <c r="I1067" s="137">
        <v>2214720</v>
      </c>
      <c r="J1067" s="132">
        <f t="shared" si="33"/>
        <v>123040</v>
      </c>
    </row>
    <row r="1068" spans="1:10">
      <c r="A1068" s="115" t="s">
        <v>904</v>
      </c>
      <c r="B1068" s="115" t="s">
        <v>905</v>
      </c>
      <c r="C1068" s="115" t="s">
        <v>1212</v>
      </c>
      <c r="D1068" s="115" t="s">
        <v>1213</v>
      </c>
      <c r="E1068" s="133" t="str">
        <f t="shared" si="32"/>
        <v>1200000963PUL-53306 AC EX CLEAR 20 VN</v>
      </c>
      <c r="F1068" s="133" t="s">
        <v>3060</v>
      </c>
      <c r="G1068" s="133" t="s">
        <v>3879</v>
      </c>
      <c r="H1068" s="133">
        <f>VLOOKUP(G1068,'packing mapping'!A:B,2,0)</f>
        <v>20</v>
      </c>
      <c r="I1068" s="137">
        <v>3737600</v>
      </c>
      <c r="J1068" s="132">
        <f t="shared" si="33"/>
        <v>186880</v>
      </c>
    </row>
    <row r="1069" spans="1:10">
      <c r="A1069" s="115" t="s">
        <v>904</v>
      </c>
      <c r="B1069" s="115" t="s">
        <v>905</v>
      </c>
      <c r="C1069" s="115" t="s">
        <v>1248</v>
      </c>
      <c r="D1069" s="115" t="s">
        <v>1249</v>
      </c>
      <c r="E1069" s="133" t="str">
        <f t="shared" si="32"/>
        <v>1200000963MEPH-12003 PS VN</v>
      </c>
      <c r="F1069" s="133" t="s">
        <v>3077</v>
      </c>
      <c r="G1069" s="133" t="s">
        <v>3887</v>
      </c>
      <c r="H1069" s="133">
        <f>VLOOKUP(G1069,'packing mapping'!A:B,2,0)</f>
        <v>2</v>
      </c>
      <c r="I1069" s="137">
        <v>376620</v>
      </c>
      <c r="J1069" s="132">
        <f t="shared" si="33"/>
        <v>188310</v>
      </c>
    </row>
    <row r="1070" spans="1:10">
      <c r="A1070" s="115" t="s">
        <v>904</v>
      </c>
      <c r="B1070" s="115" t="s">
        <v>905</v>
      </c>
      <c r="C1070" s="115" t="s">
        <v>1254</v>
      </c>
      <c r="D1070" s="115" t="s">
        <v>1255</v>
      </c>
      <c r="E1070" s="133" t="str">
        <f t="shared" si="32"/>
        <v>1200000963MEP-12003 BLACK VN</v>
      </c>
      <c r="F1070" s="133" t="s">
        <v>3080</v>
      </c>
      <c r="G1070" s="133" t="s">
        <v>3882</v>
      </c>
      <c r="H1070" s="133">
        <f>VLOOKUP(G1070,'packing mapping'!A:B,2,0)</f>
        <v>18</v>
      </c>
      <c r="I1070" s="137">
        <v>2809980</v>
      </c>
      <c r="J1070" s="132">
        <f t="shared" si="33"/>
        <v>156110</v>
      </c>
    </row>
    <row r="1071" spans="1:10">
      <c r="A1071" s="115" t="s">
        <v>904</v>
      </c>
      <c r="B1071" s="115" t="s">
        <v>905</v>
      </c>
      <c r="C1071" s="115" t="s">
        <v>1496</v>
      </c>
      <c r="D1071" s="115" t="s">
        <v>1497</v>
      </c>
      <c r="E1071" s="133" t="str">
        <f t="shared" si="32"/>
        <v>1200000963PUH-56141 VN</v>
      </c>
      <c r="F1071" s="133" t="s">
        <v>3189</v>
      </c>
      <c r="G1071" s="133" t="s">
        <v>3881</v>
      </c>
      <c r="H1071" s="133">
        <f>VLOOKUP(G1071,'packing mapping'!A:B,2,0)</f>
        <v>20</v>
      </c>
      <c r="I1071" s="137">
        <v>2677600</v>
      </c>
      <c r="J1071" s="132">
        <f t="shared" si="33"/>
        <v>133880</v>
      </c>
    </row>
    <row r="1072" spans="1:10">
      <c r="A1072" s="115" t="s">
        <v>904</v>
      </c>
      <c r="B1072" s="115" t="s">
        <v>905</v>
      </c>
      <c r="C1072" s="115" t="s">
        <v>2182</v>
      </c>
      <c r="D1072" s="115" t="s">
        <v>2183</v>
      </c>
      <c r="E1072" s="133" t="str">
        <f t="shared" si="32"/>
        <v>1200000963MEP-12003 BROWN KM VN</v>
      </c>
      <c r="F1072" s="133" t="s">
        <v>3505</v>
      </c>
      <c r="G1072" s="133" t="s">
        <v>3882</v>
      </c>
      <c r="H1072" s="133">
        <f>VLOOKUP(G1072,'packing mapping'!A:B,2,0)</f>
        <v>18</v>
      </c>
      <c r="I1072" s="137">
        <v>2242440</v>
      </c>
      <c r="J1072" s="132">
        <f t="shared" si="33"/>
        <v>124580</v>
      </c>
    </row>
    <row r="1073" spans="1:10">
      <c r="A1073" s="115" t="s">
        <v>173</v>
      </c>
      <c r="B1073" s="115" t="s">
        <v>174</v>
      </c>
      <c r="C1073" s="115" t="s">
        <v>1722</v>
      </c>
      <c r="D1073" s="115" t="s">
        <v>1723</v>
      </c>
      <c r="E1073" s="133" t="str">
        <f t="shared" si="32"/>
        <v>120000004211-260 AF PU THINNER</v>
      </c>
      <c r="F1073" s="133" t="s">
        <v>3296</v>
      </c>
      <c r="G1073" s="133" t="s">
        <v>3884</v>
      </c>
      <c r="H1073" s="133">
        <f>VLOOKUP(G1073,'packing mapping'!A:B,2,0)</f>
        <v>200</v>
      </c>
      <c r="I1073" s="137">
        <v>9984000</v>
      </c>
      <c r="J1073" s="132">
        <f t="shared" si="33"/>
        <v>49920</v>
      </c>
    </row>
    <row r="1074" spans="1:10">
      <c r="A1074" s="115" t="s">
        <v>173</v>
      </c>
      <c r="B1074" s="115" t="s">
        <v>174</v>
      </c>
      <c r="C1074" s="115" t="s">
        <v>2104</v>
      </c>
      <c r="D1074" s="115" t="s">
        <v>2105</v>
      </c>
      <c r="E1074" s="133" t="str">
        <f t="shared" si="32"/>
        <v>120000004211-260 AF PU THINNER</v>
      </c>
      <c r="F1074" s="133" t="s">
        <v>3296</v>
      </c>
      <c r="G1074" s="133" t="s">
        <v>3880</v>
      </c>
      <c r="H1074" s="133">
        <f>VLOOKUP(G1074,'packing mapping'!A:B,2,0)</f>
        <v>20</v>
      </c>
      <c r="I1074" s="137">
        <v>1036800</v>
      </c>
      <c r="J1074" s="132">
        <f t="shared" si="33"/>
        <v>51840</v>
      </c>
    </row>
    <row r="1075" spans="1:10">
      <c r="A1075" s="115" t="s">
        <v>173</v>
      </c>
      <c r="B1075" s="115" t="s">
        <v>174</v>
      </c>
      <c r="C1075" s="115" t="s">
        <v>2106</v>
      </c>
      <c r="D1075" s="115" t="s">
        <v>2107</v>
      </c>
      <c r="E1075" s="133" t="str">
        <f t="shared" si="32"/>
        <v>120000004211-260 AF PU THINNER HD</v>
      </c>
      <c r="F1075" s="133" t="s">
        <v>3469</v>
      </c>
      <c r="G1075" s="133" t="s">
        <v>3880</v>
      </c>
      <c r="H1075" s="133">
        <f>VLOOKUP(G1075,'packing mapping'!A:B,2,0)</f>
        <v>20</v>
      </c>
      <c r="I1075" s="137">
        <v>1128000</v>
      </c>
      <c r="J1075" s="132">
        <f t="shared" si="33"/>
        <v>56400</v>
      </c>
    </row>
    <row r="1076" spans="1:10">
      <c r="A1076" s="115" t="s">
        <v>173</v>
      </c>
      <c r="B1076" s="115" t="s">
        <v>174</v>
      </c>
      <c r="C1076" s="115" t="s">
        <v>1462</v>
      </c>
      <c r="D1076" s="115" t="s">
        <v>1463</v>
      </c>
      <c r="E1076" s="133" t="str">
        <f t="shared" si="32"/>
        <v>120000004264-56 MICRO FILLER VN</v>
      </c>
      <c r="F1076" s="133" t="s">
        <v>3178</v>
      </c>
      <c r="G1076" s="133" t="s">
        <v>3881</v>
      </c>
      <c r="H1076" s="133">
        <f>VLOOKUP(G1076,'packing mapping'!A:B,2,0)</f>
        <v>20</v>
      </c>
      <c r="I1076" s="137">
        <v>1445040</v>
      </c>
      <c r="J1076" s="132">
        <f t="shared" si="33"/>
        <v>72252</v>
      </c>
    </row>
    <row r="1077" spans="1:10">
      <c r="A1077" s="115" t="s">
        <v>173</v>
      </c>
      <c r="B1077" s="115" t="s">
        <v>174</v>
      </c>
      <c r="C1077" s="115" t="s">
        <v>1184</v>
      </c>
      <c r="D1077" s="115" t="s">
        <v>1185</v>
      </c>
      <c r="E1077" s="133" t="str">
        <f t="shared" si="32"/>
        <v>1200000042MEP-12003 CLEAR BASE VN</v>
      </c>
      <c r="F1077" s="133" t="s">
        <v>3046</v>
      </c>
      <c r="G1077" s="133" t="s">
        <v>3882</v>
      </c>
      <c r="H1077" s="133">
        <f>VLOOKUP(G1077,'packing mapping'!A:B,2,0)</f>
        <v>18</v>
      </c>
      <c r="I1077" s="137">
        <v>1527984</v>
      </c>
      <c r="J1077" s="132">
        <f t="shared" si="33"/>
        <v>84888</v>
      </c>
    </row>
    <row r="1078" spans="1:10">
      <c r="A1078" s="115" t="s">
        <v>173</v>
      </c>
      <c r="B1078" s="115" t="s">
        <v>174</v>
      </c>
      <c r="C1078" s="115" t="s">
        <v>1220</v>
      </c>
      <c r="D1078" s="115" t="s">
        <v>1221</v>
      </c>
      <c r="E1078" s="133" t="str">
        <f t="shared" si="32"/>
        <v>1200000042SST-11100 C10 BLACK</v>
      </c>
      <c r="F1078" s="133" t="s">
        <v>3064</v>
      </c>
      <c r="G1078" s="133" t="s">
        <v>3883</v>
      </c>
      <c r="H1078" s="133">
        <f>VLOOKUP(G1078,'packing mapping'!A:B,2,0)</f>
        <v>4</v>
      </c>
      <c r="I1078" s="137">
        <v>1130976</v>
      </c>
      <c r="J1078" s="132">
        <f t="shared" si="33"/>
        <v>282744</v>
      </c>
    </row>
    <row r="1079" spans="1:10">
      <c r="A1079" s="115" t="s">
        <v>173</v>
      </c>
      <c r="B1079" s="115" t="s">
        <v>174</v>
      </c>
      <c r="C1079" s="115" t="s">
        <v>1226</v>
      </c>
      <c r="D1079" s="115" t="s">
        <v>1227</v>
      </c>
      <c r="E1079" s="133" t="str">
        <f t="shared" si="32"/>
        <v>1200000042SST-11100 C10 RED</v>
      </c>
      <c r="F1079" s="133" t="s">
        <v>3067</v>
      </c>
      <c r="G1079" s="133" t="s">
        <v>3883</v>
      </c>
      <c r="H1079" s="133">
        <f>VLOOKUP(G1079,'packing mapping'!A:B,2,0)</f>
        <v>4</v>
      </c>
      <c r="I1079" s="137">
        <v>1532304</v>
      </c>
      <c r="J1079" s="132">
        <f t="shared" si="33"/>
        <v>383076</v>
      </c>
    </row>
    <row r="1080" spans="1:10">
      <c r="A1080" s="115" t="s">
        <v>173</v>
      </c>
      <c r="B1080" s="115" t="s">
        <v>174</v>
      </c>
      <c r="C1080" s="115" t="s">
        <v>1228</v>
      </c>
      <c r="D1080" s="115" t="s">
        <v>1229</v>
      </c>
      <c r="E1080" s="133" t="str">
        <f t="shared" si="32"/>
        <v>1200000042SST-11100 C10 YELLOW</v>
      </c>
      <c r="F1080" s="133" t="s">
        <v>3068</v>
      </c>
      <c r="G1080" s="133" t="s">
        <v>3883</v>
      </c>
      <c r="H1080" s="133">
        <f>VLOOKUP(G1080,'packing mapping'!A:B,2,0)</f>
        <v>4</v>
      </c>
      <c r="I1080" s="137">
        <v>1149120</v>
      </c>
      <c r="J1080" s="132">
        <f t="shared" si="33"/>
        <v>287280</v>
      </c>
    </row>
    <row r="1081" spans="1:10">
      <c r="A1081" s="115" t="s">
        <v>173</v>
      </c>
      <c r="B1081" s="115" t="s">
        <v>174</v>
      </c>
      <c r="C1081" s="115" t="s">
        <v>1402</v>
      </c>
      <c r="D1081" s="115" t="s">
        <v>1403</v>
      </c>
      <c r="E1081" s="133" t="str">
        <f t="shared" si="32"/>
        <v>1200000042THC-73100-007 VN</v>
      </c>
      <c r="F1081" s="133" t="s">
        <v>3150</v>
      </c>
      <c r="G1081" s="133" t="s">
        <v>3880</v>
      </c>
      <c r="H1081" s="133">
        <f>VLOOKUP(G1081,'packing mapping'!A:B,2,0)</f>
        <v>20</v>
      </c>
      <c r="I1081" s="137">
        <v>1863000</v>
      </c>
      <c r="J1081" s="132">
        <f t="shared" si="33"/>
        <v>93150</v>
      </c>
    </row>
    <row r="1082" spans="1:10">
      <c r="A1082" s="115" t="s">
        <v>173</v>
      </c>
      <c r="B1082" s="115" t="s">
        <v>174</v>
      </c>
      <c r="C1082" s="115" t="s">
        <v>2184</v>
      </c>
      <c r="D1082" s="115" t="s">
        <v>2185</v>
      </c>
      <c r="E1082" s="133" t="str">
        <f t="shared" si="32"/>
        <v>1200000042THC-73100-1103 KD VN</v>
      </c>
      <c r="F1082" s="133" t="s">
        <v>3506</v>
      </c>
      <c r="G1082" s="133" t="s">
        <v>3884</v>
      </c>
      <c r="H1082" s="133">
        <f>VLOOKUP(G1082,'packing mapping'!A:B,2,0)</f>
        <v>200</v>
      </c>
      <c r="I1082" s="137">
        <v>5440000</v>
      </c>
      <c r="J1082" s="132">
        <f t="shared" si="33"/>
        <v>27200</v>
      </c>
    </row>
    <row r="1083" spans="1:10">
      <c r="A1083" s="115" t="s">
        <v>173</v>
      </c>
      <c r="B1083" s="115" t="s">
        <v>174</v>
      </c>
      <c r="C1083" s="115" t="s">
        <v>1882</v>
      </c>
      <c r="D1083" s="115" t="s">
        <v>1883</v>
      </c>
      <c r="E1083" s="133" t="str">
        <f t="shared" si="32"/>
        <v>1200000042WBL-61201 CLEAR 10 VN</v>
      </c>
      <c r="F1083" s="133" t="s">
        <v>3363</v>
      </c>
      <c r="G1083" s="133" t="s">
        <v>3881</v>
      </c>
      <c r="H1083" s="133">
        <f>VLOOKUP(G1083,'packing mapping'!A:B,2,0)</f>
        <v>20</v>
      </c>
      <c r="I1083" s="137">
        <v>2164320</v>
      </c>
      <c r="J1083" s="132">
        <f t="shared" si="33"/>
        <v>108216</v>
      </c>
    </row>
    <row r="1084" spans="1:10">
      <c r="A1084" s="115" t="s">
        <v>173</v>
      </c>
      <c r="B1084" s="115" t="s">
        <v>174</v>
      </c>
      <c r="C1084" s="115" t="s">
        <v>1740</v>
      </c>
      <c r="D1084" s="115" t="s">
        <v>1741</v>
      </c>
      <c r="E1084" s="133" t="str">
        <f t="shared" si="32"/>
        <v>1200000042THPU-71300 SB VN</v>
      </c>
      <c r="F1084" s="133" t="s">
        <v>3303</v>
      </c>
      <c r="G1084" s="133" t="s">
        <v>3884</v>
      </c>
      <c r="H1084" s="133">
        <f>VLOOKUP(G1084,'packing mapping'!A:B,2,0)</f>
        <v>200</v>
      </c>
      <c r="I1084" s="137">
        <v>10880000</v>
      </c>
      <c r="J1084" s="132">
        <f t="shared" si="33"/>
        <v>54400</v>
      </c>
    </row>
    <row r="1085" spans="1:10">
      <c r="A1085" s="115" t="s">
        <v>173</v>
      </c>
      <c r="B1085" s="115" t="s">
        <v>174</v>
      </c>
      <c r="C1085" s="115" t="s">
        <v>2108</v>
      </c>
      <c r="D1085" s="115" t="s">
        <v>2109</v>
      </c>
      <c r="E1085" s="133" t="str">
        <f t="shared" si="32"/>
        <v>120000004282-4020 UE AF URT WHITE A</v>
      </c>
      <c r="F1085" s="133" t="s">
        <v>3470</v>
      </c>
      <c r="G1085" s="133" t="s">
        <v>3890</v>
      </c>
      <c r="H1085" s="133">
        <f>VLOOKUP(G1085,'packing mapping'!A:B,2,0)</f>
        <v>16</v>
      </c>
      <c r="I1085" s="137">
        <v>2165184</v>
      </c>
      <c r="J1085" s="132">
        <f t="shared" si="33"/>
        <v>135324</v>
      </c>
    </row>
    <row r="1086" spans="1:10">
      <c r="A1086" s="115" t="s">
        <v>173</v>
      </c>
      <c r="B1086" s="115" t="s">
        <v>174</v>
      </c>
      <c r="C1086" s="115" t="s">
        <v>1248</v>
      </c>
      <c r="D1086" s="115" t="s">
        <v>1249</v>
      </c>
      <c r="E1086" s="133" t="str">
        <f t="shared" si="32"/>
        <v>1200000042MEPH-12003 PS VN</v>
      </c>
      <c r="F1086" s="133" t="s">
        <v>3077</v>
      </c>
      <c r="G1086" s="133" t="s">
        <v>3887</v>
      </c>
      <c r="H1086" s="133">
        <f>VLOOKUP(G1086,'packing mapping'!A:B,2,0)</f>
        <v>2</v>
      </c>
      <c r="I1086" s="137">
        <v>353376</v>
      </c>
      <c r="J1086" s="132">
        <f t="shared" si="33"/>
        <v>176688</v>
      </c>
    </row>
    <row r="1087" spans="1:10">
      <c r="A1087" s="115" t="s">
        <v>173</v>
      </c>
      <c r="B1087" s="115" t="s">
        <v>174</v>
      </c>
      <c r="C1087" s="115" t="s">
        <v>1754</v>
      </c>
      <c r="D1087" s="115" t="s">
        <v>1755</v>
      </c>
      <c r="E1087" s="133" t="str">
        <f t="shared" si="32"/>
        <v>1200000042AL-088 VN</v>
      </c>
      <c r="F1087" s="133" t="s">
        <v>3310</v>
      </c>
      <c r="G1087" s="133" t="s">
        <v>3888</v>
      </c>
      <c r="H1087" s="133">
        <f>VLOOKUP(G1087,'packing mapping'!A:B,2,0)</f>
        <v>4</v>
      </c>
      <c r="I1087" s="137">
        <v>763344</v>
      </c>
      <c r="J1087" s="132">
        <f t="shared" si="33"/>
        <v>190836</v>
      </c>
    </row>
    <row r="1088" spans="1:10">
      <c r="A1088" s="115" t="s">
        <v>173</v>
      </c>
      <c r="B1088" s="115" t="s">
        <v>174</v>
      </c>
      <c r="C1088" s="115" t="s">
        <v>1758</v>
      </c>
      <c r="D1088" s="115" t="s">
        <v>1759</v>
      </c>
      <c r="E1088" s="133" t="str">
        <f t="shared" si="32"/>
        <v>1200000042AL-089 VN</v>
      </c>
      <c r="F1088" s="133" t="s">
        <v>3311</v>
      </c>
      <c r="G1088" s="133" t="s">
        <v>3883</v>
      </c>
      <c r="H1088" s="133">
        <f>VLOOKUP(G1088,'packing mapping'!A:B,2,0)</f>
        <v>4</v>
      </c>
      <c r="I1088" s="137">
        <v>450576</v>
      </c>
      <c r="J1088" s="132">
        <f t="shared" si="33"/>
        <v>112644</v>
      </c>
    </row>
    <row r="1089" spans="1:10">
      <c r="A1089" s="115" t="s">
        <v>173</v>
      </c>
      <c r="B1089" s="115" t="s">
        <v>174</v>
      </c>
      <c r="C1089" s="115" t="s">
        <v>1298</v>
      </c>
      <c r="D1089" s="115" t="s">
        <v>1299</v>
      </c>
      <c r="E1089" s="133" t="str">
        <f t="shared" si="32"/>
        <v>1200000042PUP-52122 PUTTY VN</v>
      </c>
      <c r="F1089" s="133" t="s">
        <v>3100</v>
      </c>
      <c r="G1089" s="133" t="s">
        <v>3883</v>
      </c>
      <c r="H1089" s="133">
        <f>VLOOKUP(G1089,'packing mapping'!A:B,2,0)</f>
        <v>4</v>
      </c>
      <c r="I1089" s="137">
        <v>216000</v>
      </c>
      <c r="J1089" s="132">
        <f t="shared" si="33"/>
        <v>54000</v>
      </c>
    </row>
    <row r="1090" spans="1:10">
      <c r="A1090" s="115" t="s">
        <v>173</v>
      </c>
      <c r="B1090" s="115" t="s">
        <v>174</v>
      </c>
      <c r="C1090" s="115" t="s">
        <v>1300</v>
      </c>
      <c r="D1090" s="115" t="s">
        <v>1301</v>
      </c>
      <c r="E1090" s="133" t="str">
        <f t="shared" si="32"/>
        <v>1200000042GZPU-21500 BLACK VN</v>
      </c>
      <c r="F1090" s="133" t="s">
        <v>3101</v>
      </c>
      <c r="G1090" s="133" t="s">
        <v>3883</v>
      </c>
      <c r="H1090" s="133">
        <f>VLOOKUP(G1090,'packing mapping'!A:B,2,0)</f>
        <v>4</v>
      </c>
      <c r="I1090" s="137">
        <v>1318896</v>
      </c>
      <c r="J1090" s="132">
        <f t="shared" si="33"/>
        <v>329724</v>
      </c>
    </row>
    <row r="1091" spans="1:10">
      <c r="A1091" s="115" t="s">
        <v>173</v>
      </c>
      <c r="B1091" s="115" t="s">
        <v>174</v>
      </c>
      <c r="C1091" s="115" t="s">
        <v>1302</v>
      </c>
      <c r="D1091" s="115" t="s">
        <v>1303</v>
      </c>
      <c r="E1091" s="133" t="str">
        <f t="shared" ref="E1091:E1154" si="34">A1091&amp;F1091</f>
        <v>1200000042GZPU-21500 BROWN VN</v>
      </c>
      <c r="F1091" s="133" t="s">
        <v>3102</v>
      </c>
      <c r="G1091" s="133" t="s">
        <v>3883</v>
      </c>
      <c r="H1091" s="133">
        <f>VLOOKUP(G1091,'packing mapping'!A:B,2,0)</f>
        <v>4</v>
      </c>
      <c r="I1091" s="137">
        <v>1008288</v>
      </c>
      <c r="J1091" s="132">
        <f t="shared" ref="J1091:J1154" si="35">I1091/H1091</f>
        <v>252072</v>
      </c>
    </row>
    <row r="1092" spans="1:10">
      <c r="A1092" s="115" t="s">
        <v>173</v>
      </c>
      <c r="B1092" s="115" t="s">
        <v>174</v>
      </c>
      <c r="C1092" s="115" t="s">
        <v>2110</v>
      </c>
      <c r="D1092" s="115" t="s">
        <v>2111</v>
      </c>
      <c r="E1092" s="133" t="str">
        <f t="shared" si="34"/>
        <v>120000004282-2027 UE AF URT SANDING A</v>
      </c>
      <c r="F1092" s="133" t="s">
        <v>3471</v>
      </c>
      <c r="G1092" s="133" t="s">
        <v>3890</v>
      </c>
      <c r="H1092" s="133">
        <f>VLOOKUP(G1092,'packing mapping'!A:B,2,0)</f>
        <v>16</v>
      </c>
      <c r="I1092" s="137">
        <v>1062720</v>
      </c>
      <c r="J1092" s="132">
        <f t="shared" si="35"/>
        <v>66420</v>
      </c>
    </row>
    <row r="1093" spans="1:10">
      <c r="A1093" s="115" t="s">
        <v>173</v>
      </c>
      <c r="B1093" s="115" t="s">
        <v>174</v>
      </c>
      <c r="C1093" s="115" t="s">
        <v>1764</v>
      </c>
      <c r="D1093" s="115" t="s">
        <v>1765</v>
      </c>
      <c r="E1093" s="133" t="str">
        <f t="shared" si="34"/>
        <v>120000004282-1099 UE AF URT FLAT A</v>
      </c>
      <c r="F1093" s="133" t="s">
        <v>3313</v>
      </c>
      <c r="G1093" s="133" t="s">
        <v>3890</v>
      </c>
      <c r="H1093" s="133">
        <f>VLOOKUP(G1093,'packing mapping'!A:B,2,0)</f>
        <v>16</v>
      </c>
      <c r="I1093" s="137">
        <v>1406592</v>
      </c>
      <c r="J1093" s="132">
        <f t="shared" si="35"/>
        <v>87912</v>
      </c>
    </row>
    <row r="1094" spans="1:10">
      <c r="A1094" s="115" t="s">
        <v>173</v>
      </c>
      <c r="B1094" s="115" t="s">
        <v>174</v>
      </c>
      <c r="C1094" s="115" t="s">
        <v>2112</v>
      </c>
      <c r="D1094" s="115" t="s">
        <v>2113</v>
      </c>
      <c r="E1094" s="133" t="str">
        <f t="shared" si="34"/>
        <v>120000004211-260-1 AF PU THINNER</v>
      </c>
      <c r="F1094" s="133" t="s">
        <v>3472</v>
      </c>
      <c r="G1094" s="133" t="s">
        <v>3884</v>
      </c>
      <c r="H1094" s="133">
        <f>VLOOKUP(G1094,'packing mapping'!A:B,2,0)</f>
        <v>200</v>
      </c>
      <c r="I1094" s="137">
        <v>9984000</v>
      </c>
      <c r="J1094" s="132">
        <f t="shared" si="35"/>
        <v>49920</v>
      </c>
    </row>
    <row r="1095" spans="1:10">
      <c r="A1095" s="115" t="s">
        <v>173</v>
      </c>
      <c r="B1095" s="115" t="s">
        <v>174</v>
      </c>
      <c r="C1095" s="115" t="s">
        <v>2114</v>
      </c>
      <c r="D1095" s="115" t="s">
        <v>2115</v>
      </c>
      <c r="E1095" s="133" t="str">
        <f t="shared" si="34"/>
        <v>120000004282-5001 UE AF URT SFC WHITE A</v>
      </c>
      <c r="F1095" s="133" t="s">
        <v>3473</v>
      </c>
      <c r="G1095" s="133" t="s">
        <v>3890</v>
      </c>
      <c r="H1095" s="133">
        <f>VLOOKUP(G1095,'packing mapping'!A:B,2,0)</f>
        <v>16</v>
      </c>
      <c r="I1095" s="137">
        <v>1544832</v>
      </c>
      <c r="J1095" s="132">
        <f t="shared" si="35"/>
        <v>96552</v>
      </c>
    </row>
    <row r="1096" spans="1:10">
      <c r="A1096" s="115" t="s">
        <v>173</v>
      </c>
      <c r="B1096" s="115" t="s">
        <v>174</v>
      </c>
      <c r="C1096" s="115" t="s">
        <v>2116</v>
      </c>
      <c r="D1096" s="115" t="s">
        <v>2117</v>
      </c>
      <c r="E1096" s="133" t="str">
        <f t="shared" si="34"/>
        <v>120000004282-4029 UE AF URT WHITE A</v>
      </c>
      <c r="F1096" s="133" t="s">
        <v>3474</v>
      </c>
      <c r="G1096" s="133" t="s">
        <v>3890</v>
      </c>
      <c r="H1096" s="133">
        <f>VLOOKUP(G1096,'packing mapping'!A:B,2,0)</f>
        <v>16</v>
      </c>
      <c r="I1096" s="137">
        <v>2218752</v>
      </c>
      <c r="J1096" s="132">
        <f t="shared" si="35"/>
        <v>138672</v>
      </c>
    </row>
    <row r="1097" spans="1:10">
      <c r="A1097" s="115" t="s">
        <v>173</v>
      </c>
      <c r="B1097" s="115" t="s">
        <v>174</v>
      </c>
      <c r="C1097" s="115" t="s">
        <v>2118</v>
      </c>
      <c r="D1097" s="115" t="s">
        <v>2119</v>
      </c>
      <c r="E1097" s="133" t="str">
        <f t="shared" si="34"/>
        <v>1200000042PCA-31100 BLACK OB PASTE AF VN</v>
      </c>
      <c r="F1097" s="133" t="s">
        <v>3475</v>
      </c>
      <c r="G1097" s="133" t="s">
        <v>3883</v>
      </c>
      <c r="H1097" s="133">
        <f>VLOOKUP(G1097,'packing mapping'!A:B,2,0)</f>
        <v>4</v>
      </c>
      <c r="I1097" s="137">
        <v>1394496</v>
      </c>
      <c r="J1097" s="132">
        <f t="shared" si="35"/>
        <v>348624</v>
      </c>
    </row>
    <row r="1098" spans="1:10">
      <c r="A1098" s="115" t="s">
        <v>173</v>
      </c>
      <c r="B1098" s="115" t="s">
        <v>174</v>
      </c>
      <c r="C1098" s="115" t="s">
        <v>2120</v>
      </c>
      <c r="D1098" s="115" t="s">
        <v>2121</v>
      </c>
      <c r="E1098" s="133" t="str">
        <f t="shared" si="34"/>
        <v>1200000042PCA-31100 BROWN 645 PASTE AF VN</v>
      </c>
      <c r="F1098" s="133" t="s">
        <v>3476</v>
      </c>
      <c r="G1098" s="133" t="s">
        <v>3883</v>
      </c>
      <c r="H1098" s="133">
        <f>VLOOKUP(G1098,'packing mapping'!A:B,2,0)</f>
        <v>4</v>
      </c>
      <c r="I1098" s="137">
        <v>759456</v>
      </c>
      <c r="J1098" s="132">
        <f t="shared" si="35"/>
        <v>189864</v>
      </c>
    </row>
    <row r="1099" spans="1:10">
      <c r="A1099" s="115" t="s">
        <v>173</v>
      </c>
      <c r="B1099" s="115" t="s">
        <v>174</v>
      </c>
      <c r="C1099" s="115" t="s">
        <v>2122</v>
      </c>
      <c r="D1099" s="115" t="s">
        <v>2123</v>
      </c>
      <c r="E1099" s="133" t="str">
        <f t="shared" si="34"/>
        <v>1200000042PCA-31100 RED OB 35 PASTE AF VN</v>
      </c>
      <c r="F1099" s="133" t="s">
        <v>3477</v>
      </c>
      <c r="G1099" s="133" t="s">
        <v>3883</v>
      </c>
      <c r="H1099" s="133">
        <f>VLOOKUP(G1099,'packing mapping'!A:B,2,0)</f>
        <v>4</v>
      </c>
      <c r="I1099" s="137">
        <v>1252368</v>
      </c>
      <c r="J1099" s="132">
        <f t="shared" si="35"/>
        <v>313092</v>
      </c>
    </row>
    <row r="1100" spans="1:10">
      <c r="A1100" s="115" t="s">
        <v>173</v>
      </c>
      <c r="B1100" s="115" t="s">
        <v>174</v>
      </c>
      <c r="C1100" s="115" t="s">
        <v>2124</v>
      </c>
      <c r="D1100" s="115" t="s">
        <v>2125</v>
      </c>
      <c r="E1100" s="133" t="str">
        <f t="shared" si="34"/>
        <v>1200000042PCA-31100 WHITE PASTE AF VN</v>
      </c>
      <c r="F1100" s="133" t="s">
        <v>3478</v>
      </c>
      <c r="G1100" s="133" t="s">
        <v>3883</v>
      </c>
      <c r="H1100" s="133">
        <f>VLOOKUP(G1100,'packing mapping'!A:B,2,0)</f>
        <v>4</v>
      </c>
      <c r="I1100" s="137">
        <v>883440</v>
      </c>
      <c r="J1100" s="132">
        <f t="shared" si="35"/>
        <v>220860</v>
      </c>
    </row>
    <row r="1101" spans="1:10">
      <c r="A1101" s="115" t="s">
        <v>173</v>
      </c>
      <c r="B1101" s="115" t="s">
        <v>174</v>
      </c>
      <c r="C1101" s="115" t="s">
        <v>2126</v>
      </c>
      <c r="D1101" s="115" t="s">
        <v>2127</v>
      </c>
      <c r="E1101" s="133" t="str">
        <f t="shared" si="34"/>
        <v>1200000042PCA-31100 YELLOW HR PASTE AF VN</v>
      </c>
      <c r="F1101" s="133" t="s">
        <v>3479</v>
      </c>
      <c r="G1101" s="133" t="s">
        <v>3883</v>
      </c>
      <c r="H1101" s="133">
        <f>VLOOKUP(G1101,'packing mapping'!A:B,2,0)</f>
        <v>4</v>
      </c>
      <c r="I1101" s="137">
        <v>1013472</v>
      </c>
      <c r="J1101" s="132">
        <f t="shared" si="35"/>
        <v>253368</v>
      </c>
    </row>
    <row r="1102" spans="1:10">
      <c r="A1102" s="115" t="s">
        <v>173</v>
      </c>
      <c r="B1102" s="115" t="s">
        <v>174</v>
      </c>
      <c r="C1102" s="115" t="s">
        <v>2128</v>
      </c>
      <c r="D1102" s="115" t="s">
        <v>2129</v>
      </c>
      <c r="E1102" s="133" t="str">
        <f t="shared" si="34"/>
        <v>1200000042PCA-31100 YELLOW OG 16 PASTE AF VN</v>
      </c>
      <c r="F1102" s="133" t="s">
        <v>3480</v>
      </c>
      <c r="G1102" s="133" t="s">
        <v>3883</v>
      </c>
      <c r="H1102" s="133">
        <f>VLOOKUP(G1102,'packing mapping'!A:B,2,0)</f>
        <v>4</v>
      </c>
      <c r="I1102" s="137">
        <v>1955664</v>
      </c>
      <c r="J1102" s="132">
        <f t="shared" si="35"/>
        <v>488916</v>
      </c>
    </row>
    <row r="1103" spans="1:10">
      <c r="A1103" s="115" t="s">
        <v>173</v>
      </c>
      <c r="B1103" s="115" t="s">
        <v>174</v>
      </c>
      <c r="C1103" s="115" t="s">
        <v>2130</v>
      </c>
      <c r="D1103" s="115" t="s">
        <v>2131</v>
      </c>
      <c r="E1103" s="133" t="str">
        <f t="shared" si="34"/>
        <v>1200000042PCA-31100 YELLOW OKER PASTE AF VN</v>
      </c>
      <c r="F1103" s="133" t="s">
        <v>3481</v>
      </c>
      <c r="G1103" s="133" t="s">
        <v>3883</v>
      </c>
      <c r="H1103" s="133">
        <f>VLOOKUP(G1103,'packing mapping'!A:B,2,0)</f>
        <v>4</v>
      </c>
      <c r="I1103" s="137">
        <v>1397088</v>
      </c>
      <c r="J1103" s="132">
        <f t="shared" si="35"/>
        <v>349272</v>
      </c>
    </row>
    <row r="1104" spans="1:10">
      <c r="A1104" s="115" t="s">
        <v>173</v>
      </c>
      <c r="B1104" s="115" t="s">
        <v>174</v>
      </c>
      <c r="C1104" s="115" t="s">
        <v>2132</v>
      </c>
      <c r="D1104" s="115" t="s">
        <v>2133</v>
      </c>
      <c r="E1104" s="133" t="str">
        <f t="shared" si="34"/>
        <v>1200000042PCA-31100 BLACK PASTE AF VN</v>
      </c>
      <c r="F1104" s="133" t="s">
        <v>3482</v>
      </c>
      <c r="G1104" s="133" t="s">
        <v>3883</v>
      </c>
      <c r="H1104" s="133">
        <f>VLOOKUP(G1104,'packing mapping'!A:B,2,0)</f>
        <v>4</v>
      </c>
      <c r="I1104" s="137">
        <v>916272</v>
      </c>
      <c r="J1104" s="132">
        <f t="shared" si="35"/>
        <v>229068</v>
      </c>
    </row>
    <row r="1105" spans="1:10">
      <c r="A1105" s="115" t="s">
        <v>173</v>
      </c>
      <c r="B1105" s="115" t="s">
        <v>174</v>
      </c>
      <c r="C1105" s="115" t="s">
        <v>1766</v>
      </c>
      <c r="D1105" s="115" t="s">
        <v>1767</v>
      </c>
      <c r="E1105" s="133" t="str">
        <f t="shared" si="34"/>
        <v>120000004282-1047 UE AF URT FLAT A</v>
      </c>
      <c r="F1105" s="133" t="s">
        <v>3314</v>
      </c>
      <c r="G1105" s="133" t="s">
        <v>3890</v>
      </c>
      <c r="H1105" s="133">
        <f>VLOOKUP(G1105,'packing mapping'!A:B,2,0)</f>
        <v>16</v>
      </c>
      <c r="I1105" s="137">
        <v>1361664</v>
      </c>
      <c r="J1105" s="132">
        <f t="shared" si="35"/>
        <v>85104</v>
      </c>
    </row>
    <row r="1106" spans="1:10">
      <c r="A1106" s="115" t="s">
        <v>173</v>
      </c>
      <c r="B1106" s="115" t="s">
        <v>174</v>
      </c>
      <c r="C1106" s="115" t="s">
        <v>2134</v>
      </c>
      <c r="D1106" s="115" t="s">
        <v>2135</v>
      </c>
      <c r="E1106" s="133" t="str">
        <f t="shared" si="34"/>
        <v>1200000042PCL-31300 YELLOW OG 16 AF VN</v>
      </c>
      <c r="F1106" s="133" t="s">
        <v>3483</v>
      </c>
      <c r="G1106" s="133" t="s">
        <v>3883</v>
      </c>
      <c r="H1106" s="133">
        <f>VLOOKUP(G1106,'packing mapping'!A:B,2,0)</f>
        <v>4</v>
      </c>
      <c r="I1106" s="137">
        <v>1472688</v>
      </c>
      <c r="J1106" s="132">
        <f t="shared" si="35"/>
        <v>368172</v>
      </c>
    </row>
    <row r="1107" spans="1:10">
      <c r="A1107" s="115" t="s">
        <v>173</v>
      </c>
      <c r="B1107" s="115" t="s">
        <v>174</v>
      </c>
      <c r="C1107" s="115" t="s">
        <v>2136</v>
      </c>
      <c r="D1107" s="115" t="s">
        <v>2137</v>
      </c>
      <c r="E1107" s="133" t="str">
        <f t="shared" si="34"/>
        <v>1200000042PCL-31300 BLACK AF VN</v>
      </c>
      <c r="F1107" s="133" t="s">
        <v>3484</v>
      </c>
      <c r="G1107" s="133" t="s">
        <v>3883</v>
      </c>
      <c r="H1107" s="133">
        <f>VLOOKUP(G1107,'packing mapping'!A:B,2,0)</f>
        <v>4</v>
      </c>
      <c r="I1107" s="137">
        <v>1168128</v>
      </c>
      <c r="J1107" s="132">
        <f t="shared" si="35"/>
        <v>292032</v>
      </c>
    </row>
    <row r="1108" spans="1:10">
      <c r="A1108" s="115" t="s">
        <v>173</v>
      </c>
      <c r="B1108" s="115" t="s">
        <v>174</v>
      </c>
      <c r="C1108" s="115" t="s">
        <v>2138</v>
      </c>
      <c r="D1108" s="115" t="s">
        <v>2139</v>
      </c>
      <c r="E1108" s="133" t="str">
        <f t="shared" si="34"/>
        <v>1200000042PCL-31300 RED OB 35 AF VN</v>
      </c>
      <c r="F1108" s="133" t="s">
        <v>3485</v>
      </c>
      <c r="G1108" s="133" t="s">
        <v>3883</v>
      </c>
      <c r="H1108" s="133">
        <f>VLOOKUP(G1108,'packing mapping'!A:B,2,0)</f>
        <v>4</v>
      </c>
      <c r="I1108" s="137">
        <v>1314576</v>
      </c>
      <c r="J1108" s="132">
        <f t="shared" si="35"/>
        <v>328644</v>
      </c>
    </row>
    <row r="1109" spans="1:10">
      <c r="A1109" s="115" t="s">
        <v>173</v>
      </c>
      <c r="B1109" s="115" t="s">
        <v>174</v>
      </c>
      <c r="C1109" s="115" t="s">
        <v>2140</v>
      </c>
      <c r="D1109" s="115" t="s">
        <v>2141</v>
      </c>
      <c r="E1109" s="133" t="str">
        <f t="shared" si="34"/>
        <v>1200000042AL-090 VN</v>
      </c>
      <c r="F1109" s="133" t="s">
        <v>3486</v>
      </c>
      <c r="G1109" s="133" t="s">
        <v>3883</v>
      </c>
      <c r="H1109" s="133">
        <f>VLOOKUP(G1109,'packing mapping'!A:B,2,0)</f>
        <v>4</v>
      </c>
      <c r="I1109" s="137">
        <v>450576</v>
      </c>
      <c r="J1109" s="132">
        <f t="shared" si="35"/>
        <v>112644</v>
      </c>
    </row>
    <row r="1110" spans="1:10">
      <c r="A1110" s="115" t="s">
        <v>173</v>
      </c>
      <c r="B1110" s="115" t="s">
        <v>174</v>
      </c>
      <c r="C1110" s="115" t="s">
        <v>2142</v>
      </c>
      <c r="D1110" s="115" t="s">
        <v>2143</v>
      </c>
      <c r="E1110" s="133" t="str">
        <f t="shared" si="34"/>
        <v>120000004211-261 AF PU THINNER</v>
      </c>
      <c r="F1110" s="133" t="s">
        <v>3487</v>
      </c>
      <c r="G1110" s="133" t="s">
        <v>3880</v>
      </c>
      <c r="H1110" s="133">
        <f>VLOOKUP(G1110,'packing mapping'!A:B,2,0)</f>
        <v>20</v>
      </c>
      <c r="I1110" s="137">
        <v>1749600</v>
      </c>
      <c r="J1110" s="132">
        <f t="shared" si="35"/>
        <v>87480</v>
      </c>
    </row>
    <row r="1111" spans="1:10">
      <c r="A1111" s="115" t="s">
        <v>173</v>
      </c>
      <c r="B1111" s="115" t="s">
        <v>174</v>
      </c>
      <c r="C1111" s="115" t="s">
        <v>2144</v>
      </c>
      <c r="D1111" s="115" t="s">
        <v>2145</v>
      </c>
      <c r="E1111" s="133" t="str">
        <f t="shared" si="34"/>
        <v>120000004211-261 AF PU THINNER</v>
      </c>
      <c r="F1111" s="133" t="s">
        <v>3487</v>
      </c>
      <c r="G1111" s="133" t="s">
        <v>3884</v>
      </c>
      <c r="H1111" s="133">
        <f>VLOOKUP(G1111,'packing mapping'!A:B,2,0)</f>
        <v>200</v>
      </c>
      <c r="I1111" s="137">
        <v>16872000</v>
      </c>
      <c r="J1111" s="132">
        <f t="shared" si="35"/>
        <v>84360</v>
      </c>
    </row>
    <row r="1112" spans="1:10">
      <c r="A1112" s="115" t="s">
        <v>173</v>
      </c>
      <c r="B1112" s="115" t="s">
        <v>174</v>
      </c>
      <c r="C1112" s="115" t="s">
        <v>2146</v>
      </c>
      <c r="D1112" s="115" t="s">
        <v>2147</v>
      </c>
      <c r="E1112" s="133" t="str">
        <f t="shared" si="34"/>
        <v>120000004282-1039 UE AF URT FLAT A 5% VN</v>
      </c>
      <c r="F1112" s="133" t="s">
        <v>3488</v>
      </c>
      <c r="G1112" s="133" t="s">
        <v>3890</v>
      </c>
      <c r="H1112" s="133">
        <f>VLOOKUP(G1112,'packing mapping'!A:B,2,0)</f>
        <v>16</v>
      </c>
      <c r="I1112" s="137">
        <v>1518912</v>
      </c>
      <c r="J1112" s="132">
        <f t="shared" si="35"/>
        <v>94932</v>
      </c>
    </row>
    <row r="1113" spans="1:10">
      <c r="A1113" s="115" t="s">
        <v>173</v>
      </c>
      <c r="B1113" s="115" t="s">
        <v>174</v>
      </c>
      <c r="C1113" s="115" t="s">
        <v>2148</v>
      </c>
      <c r="D1113" s="115" t="s">
        <v>2149</v>
      </c>
      <c r="E1113" s="133" t="str">
        <f t="shared" si="34"/>
        <v>120000004282-4169 UE AF URT WHITE A VN</v>
      </c>
      <c r="F1113" s="133" t="s">
        <v>3489</v>
      </c>
      <c r="G1113" s="133" t="s">
        <v>3890</v>
      </c>
      <c r="H1113" s="133">
        <f>VLOOKUP(G1113,'packing mapping'!A:B,2,0)</f>
        <v>16</v>
      </c>
      <c r="I1113" s="137">
        <v>1918080</v>
      </c>
      <c r="J1113" s="132">
        <f t="shared" si="35"/>
        <v>119880</v>
      </c>
    </row>
    <row r="1114" spans="1:10">
      <c r="A1114" s="115" t="s">
        <v>173</v>
      </c>
      <c r="B1114" s="115" t="s">
        <v>174</v>
      </c>
      <c r="C1114" s="115" t="s">
        <v>2150</v>
      </c>
      <c r="D1114" s="115" t="s">
        <v>2151</v>
      </c>
      <c r="E1114" s="133" t="str">
        <f t="shared" si="34"/>
        <v>1200000042AL-091 VN</v>
      </c>
      <c r="F1114" s="133" t="s">
        <v>3490</v>
      </c>
      <c r="G1114" s="133" t="s">
        <v>3883</v>
      </c>
      <c r="H1114" s="133">
        <f>VLOOKUP(G1114,'packing mapping'!A:B,2,0)</f>
        <v>4</v>
      </c>
      <c r="I1114" s="137">
        <v>588384</v>
      </c>
      <c r="J1114" s="132">
        <f t="shared" si="35"/>
        <v>147096</v>
      </c>
    </row>
    <row r="1115" spans="1:10">
      <c r="A1115" s="115" t="s">
        <v>173</v>
      </c>
      <c r="B1115" s="115" t="s">
        <v>174</v>
      </c>
      <c r="C1115" s="115" t="s">
        <v>1770</v>
      </c>
      <c r="D1115" s="115" t="s">
        <v>1771</v>
      </c>
      <c r="E1115" s="133" t="str">
        <f t="shared" si="34"/>
        <v>1200000042THPU-71300 SB VN</v>
      </c>
      <c r="F1115" s="133" t="s">
        <v>3303</v>
      </c>
      <c r="G1115" s="133" t="s">
        <v>3880</v>
      </c>
      <c r="H1115" s="133">
        <f>VLOOKUP(G1115,'packing mapping'!A:B,2,0)</f>
        <v>20</v>
      </c>
      <c r="I1115" s="137">
        <v>1150000</v>
      </c>
      <c r="J1115" s="132">
        <f t="shared" si="35"/>
        <v>57500</v>
      </c>
    </row>
    <row r="1116" spans="1:10">
      <c r="A1116" s="115" t="s">
        <v>173</v>
      </c>
      <c r="B1116" s="115" t="s">
        <v>174</v>
      </c>
      <c r="C1116" s="115" t="s">
        <v>1416</v>
      </c>
      <c r="D1116" s="115" t="s">
        <v>1417</v>
      </c>
      <c r="E1116" s="133" t="str">
        <f t="shared" si="34"/>
        <v>1200000042THC-73100 102 VN</v>
      </c>
      <c r="F1116" s="133" t="s">
        <v>3111</v>
      </c>
      <c r="G1116" s="133" t="s">
        <v>3884</v>
      </c>
      <c r="H1116" s="133">
        <f>VLOOKUP(G1116,'packing mapping'!A:B,2,0)</f>
        <v>200</v>
      </c>
      <c r="I1116" s="137">
        <v>9000000</v>
      </c>
      <c r="J1116" s="132">
        <f t="shared" si="35"/>
        <v>45000</v>
      </c>
    </row>
    <row r="1117" spans="1:10">
      <c r="A1117" s="115" t="s">
        <v>173</v>
      </c>
      <c r="B1117" s="115" t="s">
        <v>174</v>
      </c>
      <c r="C1117" s="115" t="s">
        <v>2152</v>
      </c>
      <c r="D1117" s="115" t="s">
        <v>2153</v>
      </c>
      <c r="E1117" s="133" t="str">
        <f t="shared" si="34"/>
        <v>1200000042PST-12100 WHITE IS VN</v>
      </c>
      <c r="F1117" s="133" t="s">
        <v>3491</v>
      </c>
      <c r="G1117" s="133" t="s">
        <v>3883</v>
      </c>
      <c r="H1117" s="133">
        <f>VLOOKUP(G1117,'packing mapping'!A:B,2,0)</f>
        <v>4</v>
      </c>
      <c r="I1117" s="137">
        <v>795312</v>
      </c>
      <c r="J1117" s="132">
        <f t="shared" si="35"/>
        <v>198828</v>
      </c>
    </row>
    <row r="1118" spans="1:10">
      <c r="A1118" s="115" t="s">
        <v>173</v>
      </c>
      <c r="B1118" s="115" t="s">
        <v>174</v>
      </c>
      <c r="C1118" s="115" t="s">
        <v>2154</v>
      </c>
      <c r="D1118" s="115" t="s">
        <v>2155</v>
      </c>
      <c r="E1118" s="133" t="str">
        <f t="shared" si="34"/>
        <v>120000004282-1045 UE AF URT FLAT A</v>
      </c>
      <c r="F1118" s="133" t="s">
        <v>3492</v>
      </c>
      <c r="G1118" s="133" t="s">
        <v>3890</v>
      </c>
      <c r="H1118" s="133">
        <f>VLOOKUP(G1118,'packing mapping'!A:B,2,0)</f>
        <v>16</v>
      </c>
      <c r="I1118" s="137">
        <v>1491264</v>
      </c>
      <c r="J1118" s="132">
        <f t="shared" si="35"/>
        <v>93204</v>
      </c>
    </row>
    <row r="1119" spans="1:10">
      <c r="A1119" s="115" t="s">
        <v>173</v>
      </c>
      <c r="B1119" s="115" t="s">
        <v>174</v>
      </c>
      <c r="C1119" s="115" t="s">
        <v>2156</v>
      </c>
      <c r="D1119" s="115" t="s">
        <v>2157</v>
      </c>
      <c r="E1119" s="133" t="str">
        <f t="shared" si="34"/>
        <v>1200000042AL-092 VN</v>
      </c>
      <c r="F1119" s="133" t="s">
        <v>3493</v>
      </c>
      <c r="G1119" s="133" t="s">
        <v>3881</v>
      </c>
      <c r="H1119" s="133">
        <f>VLOOKUP(G1119,'packing mapping'!A:B,2,0)</f>
        <v>20</v>
      </c>
      <c r="I1119" s="137">
        <v>2285280</v>
      </c>
      <c r="J1119" s="132">
        <f t="shared" si="35"/>
        <v>114264</v>
      </c>
    </row>
    <row r="1120" spans="1:10">
      <c r="A1120" s="115" t="s">
        <v>173</v>
      </c>
      <c r="B1120" s="115" t="s">
        <v>174</v>
      </c>
      <c r="C1120" s="115" t="s">
        <v>2158</v>
      </c>
      <c r="D1120" s="115" t="s">
        <v>2159</v>
      </c>
      <c r="E1120" s="133" t="str">
        <f t="shared" si="34"/>
        <v>120000004282-1199 UE AF URT FLAT A VN</v>
      </c>
      <c r="F1120" s="133" t="s">
        <v>3494</v>
      </c>
      <c r="G1120" s="133" t="s">
        <v>3890</v>
      </c>
      <c r="H1120" s="133">
        <f>VLOOKUP(G1120,'packing mapping'!A:B,2,0)</f>
        <v>16</v>
      </c>
      <c r="I1120" s="137">
        <v>2052864</v>
      </c>
      <c r="J1120" s="132">
        <f t="shared" si="35"/>
        <v>128304</v>
      </c>
    </row>
    <row r="1121" spans="1:10">
      <c r="A1121" s="115" t="s">
        <v>173</v>
      </c>
      <c r="B1121" s="115" t="s">
        <v>174</v>
      </c>
      <c r="C1121" s="115" t="s">
        <v>2160</v>
      </c>
      <c r="D1121" s="115" t="s">
        <v>2161</v>
      </c>
      <c r="E1121" s="133" t="str">
        <f t="shared" si="34"/>
        <v>120000004211-260 AF PU THINNER HD</v>
      </c>
      <c r="F1121" s="133" t="s">
        <v>3469</v>
      </c>
      <c r="G1121" s="133" t="s">
        <v>3884</v>
      </c>
      <c r="H1121" s="133">
        <f>VLOOKUP(G1121,'packing mapping'!A:B,2,0)</f>
        <v>200</v>
      </c>
      <c r="I1121" s="137">
        <v>11232000</v>
      </c>
      <c r="J1121" s="132">
        <f t="shared" si="35"/>
        <v>56160</v>
      </c>
    </row>
    <row r="1122" spans="1:10">
      <c r="A1122" s="115" t="s">
        <v>173</v>
      </c>
      <c r="B1122" s="115" t="s">
        <v>174</v>
      </c>
      <c r="C1122" s="115" t="s">
        <v>2162</v>
      </c>
      <c r="D1122" s="115" t="s">
        <v>2163</v>
      </c>
      <c r="E1122" s="133" t="str">
        <f t="shared" si="34"/>
        <v>1200000042PCA-31100 ORANGE PASTE AF VN</v>
      </c>
      <c r="F1122" s="133" t="s">
        <v>3495</v>
      </c>
      <c r="G1122" s="133" t="s">
        <v>3883</v>
      </c>
      <c r="H1122" s="133">
        <f>VLOOKUP(G1122,'packing mapping'!A:B,2,0)</f>
        <v>4</v>
      </c>
      <c r="I1122" s="137">
        <v>1866240</v>
      </c>
      <c r="J1122" s="132">
        <f t="shared" si="35"/>
        <v>466560</v>
      </c>
    </row>
    <row r="1123" spans="1:10">
      <c r="A1123" s="115" t="s">
        <v>173</v>
      </c>
      <c r="B1123" s="115" t="s">
        <v>174</v>
      </c>
      <c r="C1123" s="115" t="s">
        <v>2164</v>
      </c>
      <c r="D1123" s="115" t="s">
        <v>2165</v>
      </c>
      <c r="E1123" s="133" t="str">
        <f t="shared" si="34"/>
        <v>1200000042PCA-31100 VIOLET OB PASTE AF VN</v>
      </c>
      <c r="F1123" s="133" t="s">
        <v>3496</v>
      </c>
      <c r="G1123" s="133" t="s">
        <v>3883</v>
      </c>
      <c r="H1123" s="133">
        <f>VLOOKUP(G1123,'packing mapping'!A:B,2,0)</f>
        <v>4</v>
      </c>
      <c r="I1123" s="137">
        <v>3138480</v>
      </c>
      <c r="J1123" s="132">
        <f t="shared" si="35"/>
        <v>784620</v>
      </c>
    </row>
    <row r="1124" spans="1:10">
      <c r="A1124" s="115" t="s">
        <v>173</v>
      </c>
      <c r="B1124" s="115" t="s">
        <v>174</v>
      </c>
      <c r="C1124" s="115" t="s">
        <v>2166</v>
      </c>
      <c r="D1124" s="115" t="s">
        <v>2167</v>
      </c>
      <c r="E1124" s="133" t="str">
        <f t="shared" si="34"/>
        <v>1200000042PCA-31100 BLUE OG PASTE AF VN</v>
      </c>
      <c r="F1124" s="133" t="s">
        <v>3497</v>
      </c>
      <c r="G1124" s="133" t="s">
        <v>3883</v>
      </c>
      <c r="H1124" s="133">
        <f>VLOOKUP(G1124,'packing mapping'!A:B,2,0)</f>
        <v>4</v>
      </c>
      <c r="I1124" s="137">
        <v>1443744</v>
      </c>
      <c r="J1124" s="132">
        <f t="shared" si="35"/>
        <v>360936</v>
      </c>
    </row>
    <row r="1125" spans="1:10">
      <c r="A1125" s="115" t="s">
        <v>173</v>
      </c>
      <c r="B1125" s="115" t="s">
        <v>174</v>
      </c>
      <c r="C1125" s="115" t="s">
        <v>2168</v>
      </c>
      <c r="D1125" s="115" t="s">
        <v>2169</v>
      </c>
      <c r="E1125" s="133" t="str">
        <f t="shared" si="34"/>
        <v>1200000042PCA-31100 GREEN OB PASTE AF VN</v>
      </c>
      <c r="F1125" s="133" t="s">
        <v>3498</v>
      </c>
      <c r="G1125" s="133" t="s">
        <v>3883</v>
      </c>
      <c r="H1125" s="133">
        <f>VLOOKUP(G1125,'packing mapping'!A:B,2,0)</f>
        <v>4</v>
      </c>
      <c r="I1125" s="137">
        <v>1520208</v>
      </c>
      <c r="J1125" s="132">
        <f t="shared" si="35"/>
        <v>380052</v>
      </c>
    </row>
    <row r="1126" spans="1:10">
      <c r="A1126" s="115" t="s">
        <v>173</v>
      </c>
      <c r="B1126" s="115" t="s">
        <v>174</v>
      </c>
      <c r="C1126" s="115" t="s">
        <v>2170</v>
      </c>
      <c r="D1126" s="115" t="s">
        <v>2171</v>
      </c>
      <c r="E1126" s="133" t="str">
        <f t="shared" si="34"/>
        <v>120000004282-2028 UE AF URT SANDING A VN</v>
      </c>
      <c r="F1126" s="133" t="s">
        <v>3499</v>
      </c>
      <c r="G1126" s="133" t="s">
        <v>3890</v>
      </c>
      <c r="H1126" s="133">
        <f>VLOOKUP(G1126,'packing mapping'!A:B,2,0)</f>
        <v>16</v>
      </c>
      <c r="I1126" s="137">
        <v>1283904</v>
      </c>
      <c r="J1126" s="132">
        <f t="shared" si="35"/>
        <v>80244</v>
      </c>
    </row>
    <row r="1127" spans="1:10">
      <c r="A1127" s="115" t="s">
        <v>173</v>
      </c>
      <c r="B1127" s="115" t="s">
        <v>174</v>
      </c>
      <c r="C1127" s="115" t="s">
        <v>2172</v>
      </c>
      <c r="D1127" s="115" t="s">
        <v>2173</v>
      </c>
      <c r="E1127" s="133" t="str">
        <f t="shared" si="34"/>
        <v>1200000042PCL-31300 BROWN 645 PASTE AF VN</v>
      </c>
      <c r="F1127" s="133" t="s">
        <v>3500</v>
      </c>
      <c r="G1127" s="133" t="s">
        <v>3883</v>
      </c>
      <c r="H1127" s="133">
        <f>VLOOKUP(G1127,'packing mapping'!A:B,2,0)</f>
        <v>4</v>
      </c>
      <c r="I1127" s="137">
        <v>918864</v>
      </c>
      <c r="J1127" s="132">
        <f t="shared" si="35"/>
        <v>229716</v>
      </c>
    </row>
    <row r="1128" spans="1:10">
      <c r="A1128" s="115" t="s">
        <v>173</v>
      </c>
      <c r="B1128" s="115" t="s">
        <v>174</v>
      </c>
      <c r="C1128" s="115" t="s">
        <v>2174</v>
      </c>
      <c r="D1128" s="115" t="s">
        <v>2175</v>
      </c>
      <c r="E1128" s="133" t="str">
        <f t="shared" si="34"/>
        <v>120000004211-260-2 AF PU THINNER</v>
      </c>
      <c r="F1128" s="133" t="s">
        <v>3501</v>
      </c>
      <c r="G1128" s="133" t="s">
        <v>3898</v>
      </c>
      <c r="H1128" s="133">
        <f>VLOOKUP(G1128,'packing mapping'!A:B,2,0)</f>
        <v>30</v>
      </c>
      <c r="I1128" s="137">
        <v>1627200</v>
      </c>
      <c r="J1128" s="132">
        <f t="shared" si="35"/>
        <v>54240</v>
      </c>
    </row>
    <row r="1129" spans="1:10">
      <c r="A1129" s="115" t="s">
        <v>173</v>
      </c>
      <c r="B1129" s="115" t="s">
        <v>174</v>
      </c>
      <c r="C1129" s="115" t="s">
        <v>2176</v>
      </c>
      <c r="D1129" s="115" t="s">
        <v>2177</v>
      </c>
      <c r="E1129" s="133" t="str">
        <f t="shared" si="34"/>
        <v>1200000042PG-13900 WHITE 02 VN</v>
      </c>
      <c r="F1129" s="133" t="s">
        <v>3502</v>
      </c>
      <c r="G1129" s="133" t="s">
        <v>3881</v>
      </c>
      <c r="H1129" s="133">
        <f>VLOOKUP(G1129,'packing mapping'!A:B,2,0)</f>
        <v>20</v>
      </c>
      <c r="I1129" s="137">
        <v>1932000</v>
      </c>
      <c r="J1129" s="132">
        <f t="shared" si="35"/>
        <v>96600</v>
      </c>
    </row>
    <row r="1130" spans="1:10">
      <c r="A1130" s="115" t="s">
        <v>173</v>
      </c>
      <c r="B1130" s="115" t="s">
        <v>174</v>
      </c>
      <c r="C1130" s="115" t="s">
        <v>2178</v>
      </c>
      <c r="D1130" s="115" t="s">
        <v>2179</v>
      </c>
      <c r="E1130" s="133" t="str">
        <f t="shared" si="34"/>
        <v>120000004264-013 PU ANTI ABRASIVE</v>
      </c>
      <c r="F1130" s="133" t="s">
        <v>3503</v>
      </c>
      <c r="G1130" s="133" t="s">
        <v>3886</v>
      </c>
      <c r="H1130" s="133">
        <f>VLOOKUP(G1130,'packing mapping'!A:B,2,0)</f>
        <v>5</v>
      </c>
      <c r="I1130" s="137">
        <v>4085500</v>
      </c>
      <c r="J1130" s="132">
        <f t="shared" si="35"/>
        <v>817100</v>
      </c>
    </row>
    <row r="1131" spans="1:10">
      <c r="A1131" s="115" t="s">
        <v>634</v>
      </c>
      <c r="B1131" s="115" t="s">
        <v>635</v>
      </c>
      <c r="C1131" s="115" t="s">
        <v>1192</v>
      </c>
      <c r="D1131" s="115" t="s">
        <v>1193</v>
      </c>
      <c r="E1131" s="133" t="str">
        <f t="shared" si="34"/>
        <v>1200000548PCL-31300 BLACK PASTE</v>
      </c>
      <c r="F1131" s="133" t="s">
        <v>3050</v>
      </c>
      <c r="G1131" s="133" t="s">
        <v>3883</v>
      </c>
      <c r="H1131" s="133">
        <f>VLOOKUP(G1131,'packing mapping'!A:B,2,0)</f>
        <v>4</v>
      </c>
      <c r="I1131" s="137">
        <v>2181640</v>
      </c>
      <c r="J1131" s="132">
        <f t="shared" si="35"/>
        <v>545410</v>
      </c>
    </row>
    <row r="1132" spans="1:10">
      <c r="A1132" s="115" t="s">
        <v>634</v>
      </c>
      <c r="B1132" s="115" t="s">
        <v>635</v>
      </c>
      <c r="C1132" s="115" t="s">
        <v>1202</v>
      </c>
      <c r="D1132" s="115" t="s">
        <v>1203</v>
      </c>
      <c r="E1132" s="133" t="str">
        <f t="shared" si="34"/>
        <v>1200000548PCL-31300 WHITE PASTE</v>
      </c>
      <c r="F1132" s="133" t="s">
        <v>3055</v>
      </c>
      <c r="G1132" s="133" t="s">
        <v>3883</v>
      </c>
      <c r="H1132" s="133">
        <f>VLOOKUP(G1132,'packing mapping'!A:B,2,0)</f>
        <v>4</v>
      </c>
      <c r="I1132" s="137">
        <v>916880</v>
      </c>
      <c r="J1132" s="132">
        <f t="shared" si="35"/>
        <v>229220</v>
      </c>
    </row>
    <row r="1133" spans="1:10">
      <c r="A1133" s="115" t="s">
        <v>634</v>
      </c>
      <c r="B1133" s="115" t="s">
        <v>635</v>
      </c>
      <c r="C1133" s="115" t="s">
        <v>1206</v>
      </c>
      <c r="D1133" s="115" t="s">
        <v>1207</v>
      </c>
      <c r="E1133" s="133" t="str">
        <f t="shared" si="34"/>
        <v>1200000548PCL-31300 YELLOW OKER PASTE</v>
      </c>
      <c r="F1133" s="133" t="s">
        <v>3057</v>
      </c>
      <c r="G1133" s="133" t="s">
        <v>3883</v>
      </c>
      <c r="H1133" s="133">
        <f>VLOOKUP(G1133,'packing mapping'!A:B,2,0)</f>
        <v>4</v>
      </c>
      <c r="I1133" s="137">
        <v>1457960</v>
      </c>
      <c r="J1133" s="132">
        <f t="shared" si="35"/>
        <v>364490</v>
      </c>
    </row>
    <row r="1134" spans="1:10">
      <c r="A1134" s="115" t="s">
        <v>634</v>
      </c>
      <c r="B1134" s="115" t="s">
        <v>635</v>
      </c>
      <c r="C1134" s="115" t="s">
        <v>2186</v>
      </c>
      <c r="D1134" s="115" t="s">
        <v>2187</v>
      </c>
      <c r="E1134" s="133" t="str">
        <f t="shared" si="34"/>
        <v>1200000548PCWB-31600 OXIDE YELLOW PASTE</v>
      </c>
      <c r="F1134" s="133" t="s">
        <v>3507</v>
      </c>
      <c r="G1134" s="133" t="s">
        <v>3883</v>
      </c>
      <c r="H1134" s="133">
        <f>VLOOKUP(G1134,'packing mapping'!A:B,2,0)</f>
        <v>4</v>
      </c>
      <c r="I1134" s="137">
        <v>925600</v>
      </c>
      <c r="J1134" s="132">
        <f t="shared" si="35"/>
        <v>231400</v>
      </c>
    </row>
    <row r="1135" spans="1:10">
      <c r="A1135" s="115" t="s">
        <v>634</v>
      </c>
      <c r="B1135" s="115" t="s">
        <v>635</v>
      </c>
      <c r="C1135" s="115" t="s">
        <v>1864</v>
      </c>
      <c r="D1135" s="115" t="s">
        <v>1865</v>
      </c>
      <c r="E1135" s="133" t="str">
        <f t="shared" si="34"/>
        <v>1200000548PCWB-31600 RED OB 35 PASTE</v>
      </c>
      <c r="F1135" s="133" t="s">
        <v>3355</v>
      </c>
      <c r="G1135" s="133" t="s">
        <v>3883</v>
      </c>
      <c r="H1135" s="133">
        <f>VLOOKUP(G1135,'packing mapping'!A:B,2,0)</f>
        <v>4</v>
      </c>
      <c r="I1135" s="137">
        <v>3543440</v>
      </c>
      <c r="J1135" s="132">
        <f t="shared" si="35"/>
        <v>885860</v>
      </c>
    </row>
    <row r="1136" spans="1:10">
      <c r="A1136" s="115" t="s">
        <v>634</v>
      </c>
      <c r="B1136" s="115" t="s">
        <v>635</v>
      </c>
      <c r="C1136" s="115" t="s">
        <v>1870</v>
      </c>
      <c r="D1136" s="115" t="s">
        <v>1871</v>
      </c>
      <c r="E1136" s="133" t="str">
        <f t="shared" si="34"/>
        <v>1200000548PCWB-31601 BLACK OB PASTE</v>
      </c>
      <c r="F1136" s="133" t="s">
        <v>3358</v>
      </c>
      <c r="G1136" s="133" t="s">
        <v>3883</v>
      </c>
      <c r="H1136" s="133">
        <f>VLOOKUP(G1136,'packing mapping'!A:B,2,0)</f>
        <v>4</v>
      </c>
      <c r="I1136" s="137">
        <v>1033400</v>
      </c>
      <c r="J1136" s="132">
        <f t="shared" si="35"/>
        <v>258350</v>
      </c>
    </row>
    <row r="1137" spans="1:10">
      <c r="A1137" s="115" t="s">
        <v>634</v>
      </c>
      <c r="B1137" s="115" t="s">
        <v>635</v>
      </c>
      <c r="C1137" s="115" t="s">
        <v>1210</v>
      </c>
      <c r="D1137" s="115" t="s">
        <v>1211</v>
      </c>
      <c r="E1137" s="133" t="str">
        <f t="shared" si="34"/>
        <v>1200000548PUH-56306 LY VN</v>
      </c>
      <c r="F1137" s="133" t="s">
        <v>3059</v>
      </c>
      <c r="G1137" s="133" t="s">
        <v>3879</v>
      </c>
      <c r="H1137" s="133">
        <f>VLOOKUP(G1137,'packing mapping'!A:B,2,0)</f>
        <v>20</v>
      </c>
      <c r="I1137" s="137">
        <v>3105400</v>
      </c>
      <c r="J1137" s="132">
        <f t="shared" si="35"/>
        <v>155270</v>
      </c>
    </row>
    <row r="1138" spans="1:10">
      <c r="A1138" s="115" t="s">
        <v>634</v>
      </c>
      <c r="B1138" s="115" t="s">
        <v>635</v>
      </c>
      <c r="C1138" s="115" t="s">
        <v>1396</v>
      </c>
      <c r="D1138" s="115" t="s">
        <v>1397</v>
      </c>
      <c r="E1138" s="133" t="str">
        <f t="shared" si="34"/>
        <v>1200000548PUL-53306 AC EX CLEAR 10 VN</v>
      </c>
      <c r="F1138" s="133" t="s">
        <v>3148</v>
      </c>
      <c r="G1138" s="133" t="s">
        <v>3879</v>
      </c>
      <c r="H1138" s="133">
        <f>VLOOKUP(G1138,'packing mapping'!A:B,2,0)</f>
        <v>20</v>
      </c>
      <c r="I1138" s="137">
        <v>3071600</v>
      </c>
      <c r="J1138" s="132">
        <f t="shared" si="35"/>
        <v>153580</v>
      </c>
    </row>
    <row r="1139" spans="1:10">
      <c r="A1139" s="115" t="s">
        <v>634</v>
      </c>
      <c r="B1139" s="115" t="s">
        <v>635</v>
      </c>
      <c r="C1139" s="115" t="s">
        <v>1216</v>
      </c>
      <c r="D1139" s="115" t="s">
        <v>1217</v>
      </c>
      <c r="E1139" s="133" t="str">
        <f t="shared" si="34"/>
        <v>1200000548PUL-53306 AC EX CLEAR 90 VN</v>
      </c>
      <c r="F1139" s="133" t="s">
        <v>3062</v>
      </c>
      <c r="G1139" s="133" t="s">
        <v>3879</v>
      </c>
      <c r="H1139" s="133">
        <f>VLOOKUP(G1139,'packing mapping'!A:B,2,0)</f>
        <v>20</v>
      </c>
      <c r="I1139" s="137">
        <v>2562000</v>
      </c>
      <c r="J1139" s="132">
        <f t="shared" si="35"/>
        <v>128100</v>
      </c>
    </row>
    <row r="1140" spans="1:10">
      <c r="A1140" s="115" t="s">
        <v>634</v>
      </c>
      <c r="B1140" s="115" t="s">
        <v>635</v>
      </c>
      <c r="C1140" s="115" t="s">
        <v>1478</v>
      </c>
      <c r="D1140" s="115" t="s">
        <v>1479</v>
      </c>
      <c r="E1140" s="133" t="str">
        <f t="shared" si="34"/>
        <v>1200000548PUSS-51241 VN</v>
      </c>
      <c r="F1140" s="133" t="s">
        <v>3185</v>
      </c>
      <c r="G1140" s="133" t="s">
        <v>3881</v>
      </c>
      <c r="H1140" s="133">
        <f>VLOOKUP(G1140,'packing mapping'!A:B,2,0)</f>
        <v>20</v>
      </c>
      <c r="I1140" s="137">
        <v>1362600</v>
      </c>
      <c r="J1140" s="132">
        <f t="shared" si="35"/>
        <v>68130</v>
      </c>
    </row>
    <row r="1141" spans="1:10">
      <c r="A1141" s="115" t="s">
        <v>634</v>
      </c>
      <c r="B1141" s="115" t="s">
        <v>635</v>
      </c>
      <c r="C1141" s="115" t="s">
        <v>1220</v>
      </c>
      <c r="D1141" s="115" t="s">
        <v>1221</v>
      </c>
      <c r="E1141" s="133" t="str">
        <f t="shared" si="34"/>
        <v>1200000548SST-11100 C10 BLACK</v>
      </c>
      <c r="F1141" s="133" t="s">
        <v>3064</v>
      </c>
      <c r="G1141" s="133" t="s">
        <v>3883</v>
      </c>
      <c r="H1141" s="133">
        <f>VLOOKUP(G1141,'packing mapping'!A:B,2,0)</f>
        <v>4</v>
      </c>
      <c r="I1141" s="137">
        <v>736920</v>
      </c>
      <c r="J1141" s="132">
        <f t="shared" si="35"/>
        <v>184230</v>
      </c>
    </row>
    <row r="1142" spans="1:10">
      <c r="A1142" s="115" t="s">
        <v>634</v>
      </c>
      <c r="B1142" s="115" t="s">
        <v>635</v>
      </c>
      <c r="C1142" s="115" t="s">
        <v>1222</v>
      </c>
      <c r="D1142" s="115" t="s">
        <v>1223</v>
      </c>
      <c r="E1142" s="133" t="str">
        <f t="shared" si="34"/>
        <v>1200000548SST-11100 C10 BLUE</v>
      </c>
      <c r="F1142" s="133" t="s">
        <v>3065</v>
      </c>
      <c r="G1142" s="133" t="s">
        <v>3883</v>
      </c>
      <c r="H1142" s="133">
        <f>VLOOKUP(G1142,'packing mapping'!A:B,2,0)</f>
        <v>4</v>
      </c>
      <c r="I1142" s="137">
        <v>2453320</v>
      </c>
      <c r="J1142" s="132">
        <f t="shared" si="35"/>
        <v>613330</v>
      </c>
    </row>
    <row r="1143" spans="1:10">
      <c r="A1143" s="115" t="s">
        <v>634</v>
      </c>
      <c r="B1143" s="115" t="s">
        <v>635</v>
      </c>
      <c r="C1143" s="115" t="s">
        <v>1226</v>
      </c>
      <c r="D1143" s="115" t="s">
        <v>1227</v>
      </c>
      <c r="E1143" s="133" t="str">
        <f t="shared" si="34"/>
        <v>1200000548SST-11100 C10 RED</v>
      </c>
      <c r="F1143" s="133" t="s">
        <v>3067</v>
      </c>
      <c r="G1143" s="133" t="s">
        <v>3883</v>
      </c>
      <c r="H1143" s="133">
        <f>VLOOKUP(G1143,'packing mapping'!A:B,2,0)</f>
        <v>4</v>
      </c>
      <c r="I1143" s="137">
        <v>766920</v>
      </c>
      <c r="J1143" s="132">
        <f t="shared" si="35"/>
        <v>191730</v>
      </c>
    </row>
    <row r="1144" spans="1:10">
      <c r="A1144" s="115" t="s">
        <v>634</v>
      </c>
      <c r="B1144" s="115" t="s">
        <v>635</v>
      </c>
      <c r="C1144" s="115" t="s">
        <v>1228</v>
      </c>
      <c r="D1144" s="115" t="s">
        <v>1229</v>
      </c>
      <c r="E1144" s="133" t="str">
        <f t="shared" si="34"/>
        <v>1200000548SST-11100 C10 YELLOW</v>
      </c>
      <c r="F1144" s="133" t="s">
        <v>3068</v>
      </c>
      <c r="G1144" s="133" t="s">
        <v>3883</v>
      </c>
      <c r="H1144" s="133">
        <f>VLOOKUP(G1144,'packing mapping'!A:B,2,0)</f>
        <v>4</v>
      </c>
      <c r="I1144" s="137">
        <v>657960</v>
      </c>
      <c r="J1144" s="132">
        <f t="shared" si="35"/>
        <v>164490</v>
      </c>
    </row>
    <row r="1145" spans="1:10">
      <c r="A1145" s="115" t="s">
        <v>634</v>
      </c>
      <c r="B1145" s="115" t="s">
        <v>635</v>
      </c>
      <c r="C1145" s="115" t="s">
        <v>1240</v>
      </c>
      <c r="D1145" s="115" t="s">
        <v>1241</v>
      </c>
      <c r="E1145" s="133" t="str">
        <f t="shared" si="34"/>
        <v>1200000548THNC-71100 SD VN</v>
      </c>
      <c r="F1145" s="133" t="s">
        <v>3074</v>
      </c>
      <c r="G1145" s="133" t="s">
        <v>3884</v>
      </c>
      <c r="H1145" s="133">
        <f>VLOOKUP(G1145,'packing mapping'!A:B,2,0)</f>
        <v>200</v>
      </c>
      <c r="I1145" s="137">
        <v>11314000</v>
      </c>
      <c r="J1145" s="132">
        <f t="shared" si="35"/>
        <v>56570</v>
      </c>
    </row>
    <row r="1146" spans="1:10">
      <c r="A1146" s="115" t="s">
        <v>634</v>
      </c>
      <c r="B1146" s="115" t="s">
        <v>635</v>
      </c>
      <c r="C1146" s="115" t="s">
        <v>1482</v>
      </c>
      <c r="D1146" s="115" t="s">
        <v>1483</v>
      </c>
      <c r="E1146" s="133" t="str">
        <f t="shared" si="34"/>
        <v>1200000548THNC-71100 SD VN</v>
      </c>
      <c r="F1146" s="133" t="s">
        <v>3074</v>
      </c>
      <c r="G1146" s="133" t="s">
        <v>3880</v>
      </c>
      <c r="H1146" s="133">
        <f>VLOOKUP(G1146,'packing mapping'!A:B,2,0)</f>
        <v>20</v>
      </c>
      <c r="I1146" s="137">
        <v>1170600</v>
      </c>
      <c r="J1146" s="132">
        <f t="shared" si="35"/>
        <v>58530</v>
      </c>
    </row>
    <row r="1147" spans="1:10">
      <c r="A1147" s="115" t="s">
        <v>634</v>
      </c>
      <c r="B1147" s="115" t="s">
        <v>635</v>
      </c>
      <c r="C1147" s="115" t="s">
        <v>1170</v>
      </c>
      <c r="D1147" s="115" t="s">
        <v>1171</v>
      </c>
      <c r="E1147" s="133" t="str">
        <f t="shared" si="34"/>
        <v>1200000548THPU-71306 ST VN</v>
      </c>
      <c r="F1147" s="133" t="s">
        <v>3039</v>
      </c>
      <c r="G1147" s="133" t="s">
        <v>3880</v>
      </c>
      <c r="H1147" s="133">
        <f>VLOOKUP(G1147,'packing mapping'!A:B,2,0)</f>
        <v>20</v>
      </c>
      <c r="I1147" s="137">
        <v>1295400</v>
      </c>
      <c r="J1147" s="132">
        <f t="shared" si="35"/>
        <v>64770</v>
      </c>
    </row>
    <row r="1148" spans="1:10">
      <c r="A1148" s="115" t="s">
        <v>634</v>
      </c>
      <c r="B1148" s="115" t="s">
        <v>635</v>
      </c>
      <c r="C1148" s="115" t="s">
        <v>1258</v>
      </c>
      <c r="D1148" s="115" t="s">
        <v>1259</v>
      </c>
      <c r="E1148" s="133" t="str">
        <f t="shared" si="34"/>
        <v>1200000548DP-12123 LC WHITE 01 VN</v>
      </c>
      <c r="F1148" s="133" t="s">
        <v>3082</v>
      </c>
      <c r="G1148" s="133" t="s">
        <v>3881</v>
      </c>
      <c r="H1148" s="133">
        <f>VLOOKUP(G1148,'packing mapping'!A:B,2,0)</f>
        <v>20</v>
      </c>
      <c r="I1148" s="137">
        <v>2690200</v>
      </c>
      <c r="J1148" s="132">
        <f t="shared" si="35"/>
        <v>134510</v>
      </c>
    </row>
    <row r="1149" spans="1:10">
      <c r="A1149" s="115" t="s">
        <v>634</v>
      </c>
      <c r="B1149" s="115" t="s">
        <v>635</v>
      </c>
      <c r="C1149" s="115" t="s">
        <v>1272</v>
      </c>
      <c r="D1149" s="115" t="s">
        <v>1273</v>
      </c>
      <c r="E1149" s="133" t="str">
        <f t="shared" si="34"/>
        <v>1200000548NCSS-11229 LC VN</v>
      </c>
      <c r="F1149" s="133" t="s">
        <v>3089</v>
      </c>
      <c r="G1149" s="133" t="s">
        <v>3879</v>
      </c>
      <c r="H1149" s="133">
        <f>VLOOKUP(G1149,'packing mapping'!A:B,2,0)</f>
        <v>20</v>
      </c>
      <c r="I1149" s="137">
        <v>2554400</v>
      </c>
      <c r="J1149" s="132">
        <f t="shared" si="35"/>
        <v>127720</v>
      </c>
    </row>
    <row r="1150" spans="1:10">
      <c r="A1150" s="115" t="s">
        <v>634</v>
      </c>
      <c r="B1150" s="115" t="s">
        <v>635</v>
      </c>
      <c r="C1150" s="115" t="s">
        <v>1296</v>
      </c>
      <c r="D1150" s="115" t="s">
        <v>1297</v>
      </c>
      <c r="E1150" s="133" t="str">
        <f t="shared" si="34"/>
        <v>1200000548RD-74106 VN</v>
      </c>
      <c r="F1150" s="133" t="s">
        <v>3099</v>
      </c>
      <c r="G1150" s="133" t="s">
        <v>3880</v>
      </c>
      <c r="H1150" s="133">
        <f>VLOOKUP(G1150,'packing mapping'!A:B,2,0)</f>
        <v>20</v>
      </c>
      <c r="I1150" s="137">
        <v>1031400</v>
      </c>
      <c r="J1150" s="132">
        <f t="shared" si="35"/>
        <v>51570</v>
      </c>
    </row>
    <row r="1151" spans="1:10">
      <c r="A1151" s="115" t="s">
        <v>634</v>
      </c>
      <c r="B1151" s="115" t="s">
        <v>635</v>
      </c>
      <c r="C1151" s="115" t="s">
        <v>1314</v>
      </c>
      <c r="D1151" s="115" t="s">
        <v>1315</v>
      </c>
      <c r="E1151" s="133" t="str">
        <f t="shared" si="34"/>
        <v>1200000548PCL-31300 RED 31701 PASTE</v>
      </c>
      <c r="F1151" s="133" t="s">
        <v>3108</v>
      </c>
      <c r="G1151" s="133" t="s">
        <v>3883</v>
      </c>
      <c r="H1151" s="133">
        <f>VLOOKUP(G1151,'packing mapping'!A:B,2,0)</f>
        <v>4</v>
      </c>
      <c r="I1151" s="137">
        <v>2893440</v>
      </c>
      <c r="J1151" s="132">
        <f t="shared" si="35"/>
        <v>723360</v>
      </c>
    </row>
    <row r="1152" spans="1:10">
      <c r="A1152" s="115" t="s">
        <v>634</v>
      </c>
      <c r="B1152" s="115" t="s">
        <v>635</v>
      </c>
      <c r="C1152" s="115" t="s">
        <v>1316</v>
      </c>
      <c r="D1152" s="115" t="s">
        <v>1317</v>
      </c>
      <c r="E1152" s="133" t="str">
        <f t="shared" si="34"/>
        <v>1200000548PCL-31300 YELLOW 170 HR PASTE</v>
      </c>
      <c r="F1152" s="133" t="s">
        <v>3109</v>
      </c>
      <c r="G1152" s="133" t="s">
        <v>3883</v>
      </c>
      <c r="H1152" s="133">
        <f>VLOOKUP(G1152,'packing mapping'!A:B,2,0)</f>
        <v>4</v>
      </c>
      <c r="I1152" s="137">
        <v>1495440</v>
      </c>
      <c r="J1152" s="132">
        <f t="shared" si="35"/>
        <v>373860</v>
      </c>
    </row>
    <row r="1153" spans="1:10">
      <c r="A1153" s="115" t="s">
        <v>634</v>
      </c>
      <c r="B1153" s="115" t="s">
        <v>635</v>
      </c>
      <c r="C1153" s="115" t="s">
        <v>1496</v>
      </c>
      <c r="D1153" s="115" t="s">
        <v>1497</v>
      </c>
      <c r="E1153" s="133" t="str">
        <f t="shared" si="34"/>
        <v>1200000548PUH-56141 VN</v>
      </c>
      <c r="F1153" s="133" t="s">
        <v>3189</v>
      </c>
      <c r="G1153" s="133" t="s">
        <v>3881</v>
      </c>
      <c r="H1153" s="133">
        <f>VLOOKUP(G1153,'packing mapping'!A:B,2,0)</f>
        <v>20</v>
      </c>
      <c r="I1153" s="137">
        <v>2396200</v>
      </c>
      <c r="J1153" s="132">
        <f t="shared" si="35"/>
        <v>119810</v>
      </c>
    </row>
    <row r="1154" spans="1:10">
      <c r="A1154" s="115" t="s">
        <v>634</v>
      </c>
      <c r="B1154" s="115" t="s">
        <v>635</v>
      </c>
      <c r="C1154" s="115" t="s">
        <v>1330</v>
      </c>
      <c r="D1154" s="115" t="s">
        <v>1331</v>
      </c>
      <c r="E1154" s="133" t="str">
        <f t="shared" si="34"/>
        <v>1200000548SST-11100 BROWN AA VN</v>
      </c>
      <c r="F1154" s="133" t="s">
        <v>3116</v>
      </c>
      <c r="G1154" s="133" t="s">
        <v>3883</v>
      </c>
      <c r="H1154" s="133">
        <f>VLOOKUP(G1154,'packing mapping'!A:B,2,0)</f>
        <v>4</v>
      </c>
      <c r="I1154" s="137">
        <v>407080</v>
      </c>
      <c r="J1154" s="132">
        <f t="shared" si="35"/>
        <v>101770</v>
      </c>
    </row>
    <row r="1155" spans="1:10">
      <c r="A1155" s="115" t="s">
        <v>634</v>
      </c>
      <c r="B1155" s="115" t="s">
        <v>635</v>
      </c>
      <c r="C1155" s="115" t="s">
        <v>1450</v>
      </c>
      <c r="D1155" s="115" t="s">
        <v>1451</v>
      </c>
      <c r="E1155" s="133" t="str">
        <f t="shared" ref="E1155:E1218" si="36">A1155&amp;F1155</f>
        <v>1200000548PCL-31300 BLUE OR 50 PASTE VN</v>
      </c>
      <c r="F1155" s="133" t="s">
        <v>3173</v>
      </c>
      <c r="G1155" s="133" t="s">
        <v>3883</v>
      </c>
      <c r="H1155" s="133">
        <f>VLOOKUP(G1155,'packing mapping'!A:B,2,0)</f>
        <v>4</v>
      </c>
      <c r="I1155" s="137">
        <v>1804560</v>
      </c>
      <c r="J1155" s="132">
        <f t="shared" ref="J1155:J1218" si="37">I1155/H1155</f>
        <v>451140</v>
      </c>
    </row>
    <row r="1156" spans="1:10">
      <c r="A1156" s="115" t="s">
        <v>870</v>
      </c>
      <c r="B1156" s="115" t="s">
        <v>783</v>
      </c>
      <c r="C1156" s="115" t="s">
        <v>2188</v>
      </c>
      <c r="D1156" s="115" t="s">
        <v>2189</v>
      </c>
      <c r="E1156" s="133" t="str">
        <f t="shared" si="36"/>
        <v>1200000920PROPAN HWO-558</v>
      </c>
      <c r="F1156" s="133" t="s">
        <v>3508</v>
      </c>
      <c r="G1156" s="133" t="s">
        <v>3903</v>
      </c>
      <c r="H1156" s="133">
        <f>VLOOKUP(G1156,'packing mapping'!A:B,2,0)</f>
        <v>1</v>
      </c>
      <c r="I1156" s="137">
        <v>281818</v>
      </c>
      <c r="J1156" s="132">
        <f t="shared" si="37"/>
        <v>281818</v>
      </c>
    </row>
    <row r="1157" spans="1:10">
      <c r="A1157" s="115" t="s">
        <v>997</v>
      </c>
      <c r="B1157" s="115" t="s">
        <v>998</v>
      </c>
      <c r="C1157" s="115" t="s">
        <v>1188</v>
      </c>
      <c r="D1157" s="115" t="s">
        <v>1189</v>
      </c>
      <c r="E1157" s="133" t="str">
        <f t="shared" si="36"/>
        <v>1200001039PCA-31100 BLACK PASTE VN</v>
      </c>
      <c r="F1157" s="133" t="s">
        <v>3048</v>
      </c>
      <c r="G1157" s="133" t="s">
        <v>3883</v>
      </c>
      <c r="H1157" s="133">
        <f>VLOOKUP(G1157,'packing mapping'!A:B,2,0)</f>
        <v>4</v>
      </c>
      <c r="I1157" s="137">
        <v>1588840</v>
      </c>
      <c r="J1157" s="132">
        <f t="shared" si="37"/>
        <v>397210</v>
      </c>
    </row>
    <row r="1158" spans="1:10">
      <c r="A1158" s="115" t="s">
        <v>997</v>
      </c>
      <c r="B1158" s="115" t="s">
        <v>998</v>
      </c>
      <c r="C1158" s="115" t="s">
        <v>1374</v>
      </c>
      <c r="D1158" s="115" t="s">
        <v>1375</v>
      </c>
      <c r="E1158" s="133" t="str">
        <f t="shared" si="36"/>
        <v>1200001039PCA-31100 RED OB 35 PASTE VN</v>
      </c>
      <c r="F1158" s="133" t="s">
        <v>3137</v>
      </c>
      <c r="G1158" s="133" t="s">
        <v>3883</v>
      </c>
      <c r="H1158" s="133">
        <f>VLOOKUP(G1158,'packing mapping'!A:B,2,0)</f>
        <v>4</v>
      </c>
      <c r="I1158" s="137">
        <v>2170280</v>
      </c>
      <c r="J1158" s="132">
        <f t="shared" si="37"/>
        <v>542570</v>
      </c>
    </row>
    <row r="1159" spans="1:10">
      <c r="A1159" s="115" t="s">
        <v>997</v>
      </c>
      <c r="B1159" s="115" t="s">
        <v>998</v>
      </c>
      <c r="C1159" s="115" t="s">
        <v>1376</v>
      </c>
      <c r="D1159" s="115" t="s">
        <v>1377</v>
      </c>
      <c r="E1159" s="133" t="str">
        <f t="shared" si="36"/>
        <v>1200001039PCA-31100 YELLOW HR PASTE VN</v>
      </c>
      <c r="F1159" s="133" t="s">
        <v>3138</v>
      </c>
      <c r="G1159" s="133" t="s">
        <v>3883</v>
      </c>
      <c r="H1159" s="133">
        <f>VLOOKUP(G1159,'packing mapping'!A:B,2,0)</f>
        <v>4</v>
      </c>
      <c r="I1159" s="137">
        <v>1489960</v>
      </c>
      <c r="J1159" s="132">
        <f t="shared" si="37"/>
        <v>372490</v>
      </c>
    </row>
    <row r="1160" spans="1:10">
      <c r="A1160" s="115" t="s">
        <v>997</v>
      </c>
      <c r="B1160" s="115" t="s">
        <v>998</v>
      </c>
      <c r="C1160" s="115" t="s">
        <v>1168</v>
      </c>
      <c r="D1160" s="115" t="s">
        <v>1169</v>
      </c>
      <c r="E1160" s="133" t="str">
        <f t="shared" si="36"/>
        <v>1200001039PUL-51339 CLEAR 10 VN</v>
      </c>
      <c r="F1160" s="133" t="s">
        <v>3038</v>
      </c>
      <c r="G1160" s="133" t="s">
        <v>3879</v>
      </c>
      <c r="H1160" s="133">
        <f>VLOOKUP(G1160,'packing mapping'!A:B,2,0)</f>
        <v>20</v>
      </c>
      <c r="I1160" s="137">
        <v>2088200</v>
      </c>
      <c r="J1160" s="132">
        <f t="shared" si="37"/>
        <v>104410</v>
      </c>
    </row>
    <row r="1161" spans="1:10">
      <c r="A1161" s="115" t="s">
        <v>997</v>
      </c>
      <c r="B1161" s="115" t="s">
        <v>998</v>
      </c>
      <c r="C1161" s="115" t="s">
        <v>1478</v>
      </c>
      <c r="D1161" s="115" t="s">
        <v>1479</v>
      </c>
      <c r="E1161" s="133" t="str">
        <f t="shared" si="36"/>
        <v>1200001039PUSS-51241 VN</v>
      </c>
      <c r="F1161" s="133" t="s">
        <v>3185</v>
      </c>
      <c r="G1161" s="133" t="s">
        <v>3881</v>
      </c>
      <c r="H1161" s="133">
        <f>VLOOKUP(G1161,'packing mapping'!A:B,2,0)</f>
        <v>20</v>
      </c>
      <c r="I1161" s="137">
        <v>1898800</v>
      </c>
      <c r="J1161" s="132">
        <f t="shared" si="37"/>
        <v>94940</v>
      </c>
    </row>
    <row r="1162" spans="1:10">
      <c r="A1162" s="115" t="s">
        <v>997</v>
      </c>
      <c r="B1162" s="115" t="s">
        <v>998</v>
      </c>
      <c r="C1162" s="115" t="s">
        <v>1880</v>
      </c>
      <c r="D1162" s="115" t="s">
        <v>1881</v>
      </c>
      <c r="E1162" s="133" t="str">
        <f t="shared" si="36"/>
        <v>1200001039PUSS-51241 VN</v>
      </c>
      <c r="F1162" s="133" t="s">
        <v>3185</v>
      </c>
      <c r="G1162" s="133" t="s">
        <v>3889</v>
      </c>
      <c r="H1162" s="133">
        <f>VLOOKUP(G1162,'packing mapping'!A:B,2,0)</f>
        <v>200</v>
      </c>
      <c r="I1162" s="137">
        <v>18434000</v>
      </c>
      <c r="J1162" s="132">
        <f t="shared" si="37"/>
        <v>92170</v>
      </c>
    </row>
    <row r="1163" spans="1:10">
      <c r="A1163" s="115" t="s">
        <v>997</v>
      </c>
      <c r="B1163" s="115" t="s">
        <v>998</v>
      </c>
      <c r="C1163" s="115" t="s">
        <v>1220</v>
      </c>
      <c r="D1163" s="115" t="s">
        <v>1221</v>
      </c>
      <c r="E1163" s="133" t="str">
        <f t="shared" si="36"/>
        <v>1200001039SST-11100 C10 BLACK</v>
      </c>
      <c r="F1163" s="133" t="s">
        <v>3064</v>
      </c>
      <c r="G1163" s="133" t="s">
        <v>3883</v>
      </c>
      <c r="H1163" s="133">
        <f>VLOOKUP(G1163,'packing mapping'!A:B,2,0)</f>
        <v>4</v>
      </c>
      <c r="I1163" s="137">
        <v>896080</v>
      </c>
      <c r="J1163" s="132">
        <f t="shared" si="37"/>
        <v>224020</v>
      </c>
    </row>
    <row r="1164" spans="1:10">
      <c r="A1164" s="115" t="s">
        <v>997</v>
      </c>
      <c r="B1164" s="115" t="s">
        <v>998</v>
      </c>
      <c r="C1164" s="115" t="s">
        <v>1226</v>
      </c>
      <c r="D1164" s="115" t="s">
        <v>1227</v>
      </c>
      <c r="E1164" s="133" t="str">
        <f t="shared" si="36"/>
        <v>1200001039SST-11100 C10 RED</v>
      </c>
      <c r="F1164" s="133" t="s">
        <v>3067</v>
      </c>
      <c r="G1164" s="133" t="s">
        <v>3883</v>
      </c>
      <c r="H1164" s="133">
        <f>VLOOKUP(G1164,'packing mapping'!A:B,2,0)</f>
        <v>4</v>
      </c>
      <c r="I1164" s="137">
        <v>1013840</v>
      </c>
      <c r="J1164" s="132">
        <f t="shared" si="37"/>
        <v>253460</v>
      </c>
    </row>
    <row r="1165" spans="1:10">
      <c r="A1165" s="115" t="s">
        <v>997</v>
      </c>
      <c r="B1165" s="115" t="s">
        <v>998</v>
      </c>
      <c r="C1165" s="115" t="s">
        <v>1228</v>
      </c>
      <c r="D1165" s="115" t="s">
        <v>1229</v>
      </c>
      <c r="E1165" s="133" t="str">
        <f t="shared" si="36"/>
        <v>1200001039SST-11100 C10 YELLOW</v>
      </c>
      <c r="F1165" s="133" t="s">
        <v>3068</v>
      </c>
      <c r="G1165" s="133" t="s">
        <v>3883</v>
      </c>
      <c r="H1165" s="133">
        <f>VLOOKUP(G1165,'packing mapping'!A:B,2,0)</f>
        <v>4</v>
      </c>
      <c r="I1165" s="137">
        <v>868040</v>
      </c>
      <c r="J1165" s="132">
        <f t="shared" si="37"/>
        <v>217010</v>
      </c>
    </row>
    <row r="1166" spans="1:10">
      <c r="A1166" s="115" t="s">
        <v>997</v>
      </c>
      <c r="B1166" s="115" t="s">
        <v>998</v>
      </c>
      <c r="C1166" s="115" t="s">
        <v>1242</v>
      </c>
      <c r="D1166" s="115" t="s">
        <v>1243</v>
      </c>
      <c r="E1166" s="133" t="str">
        <f t="shared" si="36"/>
        <v>1200001039THPU-71306 ST VN</v>
      </c>
      <c r="F1166" s="133" t="s">
        <v>3039</v>
      </c>
      <c r="G1166" s="133" t="s">
        <v>3884</v>
      </c>
      <c r="H1166" s="133">
        <f>VLOOKUP(G1166,'packing mapping'!A:B,2,0)</f>
        <v>200</v>
      </c>
      <c r="I1166" s="137">
        <v>12162000</v>
      </c>
      <c r="J1166" s="132">
        <f t="shared" si="37"/>
        <v>60810</v>
      </c>
    </row>
    <row r="1167" spans="1:10">
      <c r="A1167" s="115" t="s">
        <v>997</v>
      </c>
      <c r="B1167" s="115" t="s">
        <v>998</v>
      </c>
      <c r="C1167" s="115" t="s">
        <v>1170</v>
      </c>
      <c r="D1167" s="115" t="s">
        <v>1171</v>
      </c>
      <c r="E1167" s="133" t="str">
        <f t="shared" si="36"/>
        <v>1200001039THPU-71306 ST VN</v>
      </c>
      <c r="F1167" s="133" t="s">
        <v>3039</v>
      </c>
      <c r="G1167" s="133" t="s">
        <v>3880</v>
      </c>
      <c r="H1167" s="133">
        <f>VLOOKUP(G1167,'packing mapping'!A:B,2,0)</f>
        <v>20</v>
      </c>
      <c r="I1167" s="137">
        <v>1371400</v>
      </c>
      <c r="J1167" s="132">
        <f t="shared" si="37"/>
        <v>68570</v>
      </c>
    </row>
    <row r="1168" spans="1:10">
      <c r="A1168" s="115" t="s">
        <v>997</v>
      </c>
      <c r="B1168" s="115" t="s">
        <v>998</v>
      </c>
      <c r="C1168" s="115" t="s">
        <v>1174</v>
      </c>
      <c r="D1168" s="115" t="s">
        <v>1175</v>
      </c>
      <c r="E1168" s="133" t="str">
        <f t="shared" si="36"/>
        <v>1200001039PUH-56139 VN</v>
      </c>
      <c r="F1168" s="133" t="s">
        <v>3041</v>
      </c>
      <c r="G1168" s="133" t="s">
        <v>3881</v>
      </c>
      <c r="H1168" s="133">
        <f>VLOOKUP(G1168,'packing mapping'!A:B,2,0)</f>
        <v>20</v>
      </c>
      <c r="I1168" s="137">
        <v>2927400</v>
      </c>
      <c r="J1168" s="132">
        <f t="shared" si="37"/>
        <v>146370</v>
      </c>
    </row>
    <row r="1169" spans="1:10">
      <c r="A1169" s="115" t="s">
        <v>997</v>
      </c>
      <c r="B1169" s="115" t="s">
        <v>998</v>
      </c>
      <c r="C1169" s="115" t="s">
        <v>1496</v>
      </c>
      <c r="D1169" s="115" t="s">
        <v>1497</v>
      </c>
      <c r="E1169" s="133" t="str">
        <f t="shared" si="36"/>
        <v>1200001039PUH-56141 VN</v>
      </c>
      <c r="F1169" s="133" t="s">
        <v>3189</v>
      </c>
      <c r="G1169" s="133" t="s">
        <v>3881</v>
      </c>
      <c r="H1169" s="133">
        <f>VLOOKUP(G1169,'packing mapping'!A:B,2,0)</f>
        <v>20</v>
      </c>
      <c r="I1169" s="137">
        <v>2529000</v>
      </c>
      <c r="J1169" s="132">
        <f t="shared" si="37"/>
        <v>126450</v>
      </c>
    </row>
    <row r="1170" spans="1:10">
      <c r="A1170" s="115" t="s">
        <v>997</v>
      </c>
      <c r="B1170" s="115" t="s">
        <v>998</v>
      </c>
      <c r="C1170" s="115" t="s">
        <v>1422</v>
      </c>
      <c r="D1170" s="115" t="s">
        <v>1423</v>
      </c>
      <c r="E1170" s="133" t="str">
        <f t="shared" si="36"/>
        <v>1200001039THPU-71306 WP LC VN</v>
      </c>
      <c r="F1170" s="133" t="s">
        <v>3159</v>
      </c>
      <c r="G1170" s="133" t="s">
        <v>3880</v>
      </c>
      <c r="H1170" s="133">
        <f>VLOOKUP(G1170,'packing mapping'!A:B,2,0)</f>
        <v>20</v>
      </c>
      <c r="I1170" s="137">
        <v>1111000</v>
      </c>
      <c r="J1170" s="132">
        <f t="shared" si="37"/>
        <v>55550</v>
      </c>
    </row>
    <row r="1171" spans="1:10">
      <c r="A1171" s="115" t="s">
        <v>997</v>
      </c>
      <c r="B1171" s="115" t="s">
        <v>998</v>
      </c>
      <c r="C1171" s="115" t="s">
        <v>1332</v>
      </c>
      <c r="D1171" s="115" t="s">
        <v>1333</v>
      </c>
      <c r="E1171" s="133" t="str">
        <f t="shared" si="36"/>
        <v>1200001039WFPU-51000 VN</v>
      </c>
      <c r="F1171" s="133" t="s">
        <v>3117</v>
      </c>
      <c r="G1171" s="133" t="s">
        <v>3881</v>
      </c>
      <c r="H1171" s="133">
        <f>VLOOKUP(G1171,'packing mapping'!A:B,2,0)</f>
        <v>20</v>
      </c>
      <c r="I1171" s="137">
        <v>2189600</v>
      </c>
      <c r="J1171" s="132">
        <f t="shared" si="37"/>
        <v>109480</v>
      </c>
    </row>
    <row r="1172" spans="1:10">
      <c r="A1172" s="115" t="s">
        <v>473</v>
      </c>
      <c r="B1172" s="115" t="s">
        <v>474</v>
      </c>
      <c r="C1172" s="115" t="s">
        <v>1686</v>
      </c>
      <c r="D1172" s="115" t="s">
        <v>1687</v>
      </c>
      <c r="E1172" s="133" t="str">
        <f t="shared" si="36"/>
        <v>1200000194FLX-66300 WB VN</v>
      </c>
      <c r="F1172" s="133" t="s">
        <v>3280</v>
      </c>
      <c r="G1172" s="133" t="s">
        <v>3881</v>
      </c>
      <c r="H1172" s="133">
        <f>VLOOKUP(G1172,'packing mapping'!A:B,2,0)</f>
        <v>20</v>
      </c>
      <c r="I1172" s="137">
        <v>2115600</v>
      </c>
      <c r="J1172" s="132">
        <f t="shared" si="37"/>
        <v>105780</v>
      </c>
    </row>
    <row r="1173" spans="1:10">
      <c r="A1173" s="115" t="s">
        <v>473</v>
      </c>
      <c r="B1173" s="115" t="s">
        <v>474</v>
      </c>
      <c r="C1173" s="115" t="s">
        <v>2190</v>
      </c>
      <c r="D1173" s="115" t="s">
        <v>2191</v>
      </c>
      <c r="E1173" s="133" t="str">
        <f t="shared" si="36"/>
        <v>1200000194NCL-40800 LY CLEAR 10 VN</v>
      </c>
      <c r="F1173" s="133" t="s">
        <v>3509</v>
      </c>
      <c r="G1173" s="133" t="s">
        <v>3897</v>
      </c>
      <c r="H1173" s="133">
        <f>VLOOKUP(G1173,'packing mapping'!A:B,2,0)</f>
        <v>18</v>
      </c>
      <c r="I1173" s="137">
        <v>2519460</v>
      </c>
      <c r="J1173" s="132">
        <f t="shared" si="37"/>
        <v>139970</v>
      </c>
    </row>
    <row r="1174" spans="1:10">
      <c r="A1174" s="115" t="s">
        <v>473</v>
      </c>
      <c r="B1174" s="115" t="s">
        <v>474</v>
      </c>
      <c r="C1174" s="115" t="s">
        <v>1188</v>
      </c>
      <c r="D1174" s="115" t="s">
        <v>1189</v>
      </c>
      <c r="E1174" s="133" t="str">
        <f t="shared" si="36"/>
        <v>1200000194PCA-31100 BLACK PASTE VN</v>
      </c>
      <c r="F1174" s="133" t="s">
        <v>3048</v>
      </c>
      <c r="G1174" s="133" t="s">
        <v>3883</v>
      </c>
      <c r="H1174" s="133">
        <f>VLOOKUP(G1174,'packing mapping'!A:B,2,0)</f>
        <v>4</v>
      </c>
      <c r="I1174" s="137">
        <v>964880</v>
      </c>
      <c r="J1174" s="132">
        <f t="shared" si="37"/>
        <v>241220</v>
      </c>
    </row>
    <row r="1175" spans="1:10">
      <c r="A1175" s="115" t="s">
        <v>473</v>
      </c>
      <c r="B1175" s="115" t="s">
        <v>474</v>
      </c>
      <c r="C1175" s="115" t="s">
        <v>1370</v>
      </c>
      <c r="D1175" s="115" t="s">
        <v>1371</v>
      </c>
      <c r="E1175" s="133" t="str">
        <f t="shared" si="36"/>
        <v>1200000194PCA-31100 BLUE OG PASTE VN</v>
      </c>
      <c r="F1175" s="133" t="s">
        <v>3135</v>
      </c>
      <c r="G1175" s="133" t="s">
        <v>3883</v>
      </c>
      <c r="H1175" s="133">
        <f>VLOOKUP(G1175,'packing mapping'!A:B,2,0)</f>
        <v>4</v>
      </c>
      <c r="I1175" s="137">
        <v>1149240</v>
      </c>
      <c r="J1175" s="132">
        <f t="shared" si="37"/>
        <v>287310</v>
      </c>
    </row>
    <row r="1176" spans="1:10">
      <c r="A1176" s="115" t="s">
        <v>473</v>
      </c>
      <c r="B1176" s="115" t="s">
        <v>474</v>
      </c>
      <c r="C1176" s="115" t="s">
        <v>1852</v>
      </c>
      <c r="D1176" s="115" t="s">
        <v>1853</v>
      </c>
      <c r="E1176" s="133" t="str">
        <f t="shared" si="36"/>
        <v>1200000194PCA-31100 BLUE OR PASTE VN</v>
      </c>
      <c r="F1176" s="133" t="s">
        <v>3349</v>
      </c>
      <c r="G1176" s="133" t="s">
        <v>3883</v>
      </c>
      <c r="H1176" s="133">
        <f>VLOOKUP(G1176,'packing mapping'!A:B,2,0)</f>
        <v>4</v>
      </c>
      <c r="I1176" s="137">
        <v>2762440</v>
      </c>
      <c r="J1176" s="132">
        <f t="shared" si="37"/>
        <v>690610</v>
      </c>
    </row>
    <row r="1177" spans="1:10">
      <c r="A1177" s="115" t="s">
        <v>473</v>
      </c>
      <c r="B1177" s="115" t="s">
        <v>474</v>
      </c>
      <c r="C1177" s="115" t="s">
        <v>1374</v>
      </c>
      <c r="D1177" s="115" t="s">
        <v>1375</v>
      </c>
      <c r="E1177" s="133" t="str">
        <f t="shared" si="36"/>
        <v>1200000194PCA-31100 RED OB 35 PASTE VN</v>
      </c>
      <c r="F1177" s="133" t="s">
        <v>3137</v>
      </c>
      <c r="G1177" s="133" t="s">
        <v>3883</v>
      </c>
      <c r="H1177" s="133">
        <f>VLOOKUP(G1177,'packing mapping'!A:B,2,0)</f>
        <v>4</v>
      </c>
      <c r="I1177" s="137">
        <v>1700800</v>
      </c>
      <c r="J1177" s="132">
        <f t="shared" si="37"/>
        <v>425200</v>
      </c>
    </row>
    <row r="1178" spans="1:10">
      <c r="A1178" s="115" t="s">
        <v>473</v>
      </c>
      <c r="B1178" s="115" t="s">
        <v>474</v>
      </c>
      <c r="C1178" s="115" t="s">
        <v>1190</v>
      </c>
      <c r="D1178" s="115" t="s">
        <v>1191</v>
      </c>
      <c r="E1178" s="133" t="str">
        <f t="shared" si="36"/>
        <v>1200000194PCA-31100 WHITE PASTE VN</v>
      </c>
      <c r="F1178" s="133" t="s">
        <v>3049</v>
      </c>
      <c r="G1178" s="133" t="s">
        <v>3883</v>
      </c>
      <c r="H1178" s="133">
        <f>VLOOKUP(G1178,'packing mapping'!A:B,2,0)</f>
        <v>4</v>
      </c>
      <c r="I1178" s="137">
        <v>874080</v>
      </c>
      <c r="J1178" s="132">
        <f t="shared" si="37"/>
        <v>218520</v>
      </c>
    </row>
    <row r="1179" spans="1:10">
      <c r="A1179" s="115" t="s">
        <v>473</v>
      </c>
      <c r="B1179" s="115" t="s">
        <v>474</v>
      </c>
      <c r="C1179" s="115" t="s">
        <v>1376</v>
      </c>
      <c r="D1179" s="115" t="s">
        <v>1377</v>
      </c>
      <c r="E1179" s="133" t="str">
        <f t="shared" si="36"/>
        <v>1200000194PCA-31100 YELLOW HR PASTE VN</v>
      </c>
      <c r="F1179" s="133" t="s">
        <v>3138</v>
      </c>
      <c r="G1179" s="133" t="s">
        <v>3883</v>
      </c>
      <c r="H1179" s="133">
        <f>VLOOKUP(G1179,'packing mapping'!A:B,2,0)</f>
        <v>4</v>
      </c>
      <c r="I1179" s="137">
        <v>1390880</v>
      </c>
      <c r="J1179" s="132">
        <f t="shared" si="37"/>
        <v>347720</v>
      </c>
    </row>
    <row r="1180" spans="1:10">
      <c r="A1180" s="115" t="s">
        <v>473</v>
      </c>
      <c r="B1180" s="115" t="s">
        <v>474</v>
      </c>
      <c r="C1180" s="115" t="s">
        <v>1192</v>
      </c>
      <c r="D1180" s="115" t="s">
        <v>1193</v>
      </c>
      <c r="E1180" s="133" t="str">
        <f t="shared" si="36"/>
        <v>1200000194PCL-31300 BLACK PASTE</v>
      </c>
      <c r="F1180" s="133" t="s">
        <v>3050</v>
      </c>
      <c r="G1180" s="133" t="s">
        <v>3883</v>
      </c>
      <c r="H1180" s="133">
        <f>VLOOKUP(G1180,'packing mapping'!A:B,2,0)</f>
        <v>4</v>
      </c>
      <c r="I1180" s="137">
        <v>2181640</v>
      </c>
      <c r="J1180" s="132">
        <f t="shared" si="37"/>
        <v>545410</v>
      </c>
    </row>
    <row r="1181" spans="1:10">
      <c r="A1181" s="115" t="s">
        <v>473</v>
      </c>
      <c r="B1181" s="115" t="s">
        <v>474</v>
      </c>
      <c r="C1181" s="115" t="s">
        <v>1728</v>
      </c>
      <c r="D1181" s="115" t="s">
        <v>1729</v>
      </c>
      <c r="E1181" s="133" t="str">
        <f t="shared" si="36"/>
        <v>1200000194PCL-31300 BLACK PASTE VN</v>
      </c>
      <c r="F1181" s="133" t="s">
        <v>3299</v>
      </c>
      <c r="G1181" s="133" t="s">
        <v>3883</v>
      </c>
      <c r="H1181" s="133">
        <f>VLOOKUP(G1181,'packing mapping'!A:B,2,0)</f>
        <v>4</v>
      </c>
      <c r="I1181" s="137">
        <v>1612760</v>
      </c>
      <c r="J1181" s="132">
        <f t="shared" si="37"/>
        <v>403190</v>
      </c>
    </row>
    <row r="1182" spans="1:10">
      <c r="A1182" s="115" t="s">
        <v>473</v>
      </c>
      <c r="B1182" s="115" t="s">
        <v>474</v>
      </c>
      <c r="C1182" s="115" t="s">
        <v>2192</v>
      </c>
      <c r="D1182" s="115" t="s">
        <v>2193</v>
      </c>
      <c r="E1182" s="133" t="str">
        <f t="shared" si="36"/>
        <v>1200000194PCL-31300 BLUE OR PASTE</v>
      </c>
      <c r="F1182" s="133" t="s">
        <v>3510</v>
      </c>
      <c r="G1182" s="133" t="s">
        <v>3883</v>
      </c>
      <c r="H1182" s="133">
        <f>VLOOKUP(G1182,'packing mapping'!A:B,2,0)</f>
        <v>4</v>
      </c>
      <c r="I1182" s="137">
        <v>2489000</v>
      </c>
      <c r="J1182" s="132">
        <f t="shared" si="37"/>
        <v>622250</v>
      </c>
    </row>
    <row r="1183" spans="1:10">
      <c r="A1183" s="115" t="s">
        <v>473</v>
      </c>
      <c r="B1183" s="115" t="s">
        <v>474</v>
      </c>
      <c r="C1183" s="115" t="s">
        <v>1200</v>
      </c>
      <c r="D1183" s="115" t="s">
        <v>1201</v>
      </c>
      <c r="E1183" s="133" t="str">
        <f t="shared" si="36"/>
        <v>1200000194PCL-31300 RED OB 35 PASTE</v>
      </c>
      <c r="F1183" s="133" t="s">
        <v>3054</v>
      </c>
      <c r="G1183" s="133" t="s">
        <v>3883</v>
      </c>
      <c r="H1183" s="133">
        <f>VLOOKUP(G1183,'packing mapping'!A:B,2,0)</f>
        <v>4</v>
      </c>
      <c r="I1183" s="137">
        <v>1836800</v>
      </c>
      <c r="J1183" s="132">
        <f t="shared" si="37"/>
        <v>459200</v>
      </c>
    </row>
    <row r="1184" spans="1:10">
      <c r="A1184" s="115" t="s">
        <v>473</v>
      </c>
      <c r="B1184" s="115" t="s">
        <v>474</v>
      </c>
      <c r="C1184" s="115" t="s">
        <v>1202</v>
      </c>
      <c r="D1184" s="115" t="s">
        <v>1203</v>
      </c>
      <c r="E1184" s="133" t="str">
        <f t="shared" si="36"/>
        <v>1200000194PCL-31300 WHITE PASTE</v>
      </c>
      <c r="F1184" s="133" t="s">
        <v>3055</v>
      </c>
      <c r="G1184" s="133" t="s">
        <v>3883</v>
      </c>
      <c r="H1184" s="133">
        <f>VLOOKUP(G1184,'packing mapping'!A:B,2,0)</f>
        <v>4</v>
      </c>
      <c r="I1184" s="137">
        <v>1261720</v>
      </c>
      <c r="J1184" s="132">
        <f t="shared" si="37"/>
        <v>315430</v>
      </c>
    </row>
    <row r="1185" spans="1:10">
      <c r="A1185" s="115" t="s">
        <v>473</v>
      </c>
      <c r="B1185" s="115" t="s">
        <v>474</v>
      </c>
      <c r="C1185" s="115" t="s">
        <v>1208</v>
      </c>
      <c r="D1185" s="115" t="s">
        <v>1209</v>
      </c>
      <c r="E1185" s="133" t="str">
        <f t="shared" si="36"/>
        <v>1200000194PG-13900 WHITE 01 VN</v>
      </c>
      <c r="F1185" s="133" t="s">
        <v>3058</v>
      </c>
      <c r="G1185" s="133" t="s">
        <v>3881</v>
      </c>
      <c r="H1185" s="133">
        <f>VLOOKUP(G1185,'packing mapping'!A:B,2,0)</f>
        <v>20</v>
      </c>
      <c r="I1185" s="137">
        <v>1815200</v>
      </c>
      <c r="J1185" s="132">
        <f t="shared" si="37"/>
        <v>90760</v>
      </c>
    </row>
    <row r="1186" spans="1:10">
      <c r="A1186" s="115" t="s">
        <v>473</v>
      </c>
      <c r="B1186" s="115" t="s">
        <v>474</v>
      </c>
      <c r="C1186" s="115" t="s">
        <v>1388</v>
      </c>
      <c r="D1186" s="115" t="s">
        <v>1389</v>
      </c>
      <c r="E1186" s="133" t="str">
        <f t="shared" si="36"/>
        <v>1200000194PUC-54205 AC WHITE 10 VN</v>
      </c>
      <c r="F1186" s="133" t="s">
        <v>3144</v>
      </c>
      <c r="G1186" s="133" t="s">
        <v>3881</v>
      </c>
      <c r="H1186" s="133">
        <f>VLOOKUP(G1186,'packing mapping'!A:B,2,0)</f>
        <v>20</v>
      </c>
      <c r="I1186" s="137">
        <v>3715600</v>
      </c>
      <c r="J1186" s="132">
        <f t="shared" si="37"/>
        <v>185780</v>
      </c>
    </row>
    <row r="1187" spans="1:10">
      <c r="A1187" s="115" t="s">
        <v>473</v>
      </c>
      <c r="B1187" s="115" t="s">
        <v>474</v>
      </c>
      <c r="C1187" s="115" t="s">
        <v>1392</v>
      </c>
      <c r="D1187" s="115" t="s">
        <v>1393</v>
      </c>
      <c r="E1187" s="133" t="str">
        <f t="shared" si="36"/>
        <v>1200000194PUC-54205 AC WHITE 30 VN</v>
      </c>
      <c r="F1187" s="133" t="s">
        <v>3146</v>
      </c>
      <c r="G1187" s="133" t="s">
        <v>3881</v>
      </c>
      <c r="H1187" s="133">
        <f>VLOOKUP(G1187,'packing mapping'!A:B,2,0)</f>
        <v>20</v>
      </c>
      <c r="I1187" s="137">
        <v>3587600</v>
      </c>
      <c r="J1187" s="132">
        <f t="shared" si="37"/>
        <v>179380</v>
      </c>
    </row>
    <row r="1188" spans="1:10">
      <c r="A1188" s="115" t="s">
        <v>473</v>
      </c>
      <c r="B1188" s="115" t="s">
        <v>474</v>
      </c>
      <c r="C1188" s="115" t="s">
        <v>1210</v>
      </c>
      <c r="D1188" s="115" t="s">
        <v>1211</v>
      </c>
      <c r="E1188" s="133" t="str">
        <f t="shared" si="36"/>
        <v>1200000194PUH-56306 LY VN</v>
      </c>
      <c r="F1188" s="133" t="s">
        <v>3059</v>
      </c>
      <c r="G1188" s="133" t="s">
        <v>3879</v>
      </c>
      <c r="H1188" s="133">
        <f>VLOOKUP(G1188,'packing mapping'!A:B,2,0)</f>
        <v>20</v>
      </c>
      <c r="I1188" s="137">
        <v>3442800</v>
      </c>
      <c r="J1188" s="132">
        <f t="shared" si="37"/>
        <v>172140</v>
      </c>
    </row>
    <row r="1189" spans="1:10">
      <c r="A1189" s="115" t="s">
        <v>473</v>
      </c>
      <c r="B1189" s="115" t="s">
        <v>474</v>
      </c>
      <c r="C1189" s="115" t="s">
        <v>1982</v>
      </c>
      <c r="D1189" s="115" t="s">
        <v>1983</v>
      </c>
      <c r="E1189" s="133" t="str">
        <f t="shared" si="36"/>
        <v>1200000194PUL-51341 CLEAR 05 VN</v>
      </c>
      <c r="F1189" s="133" t="s">
        <v>3412</v>
      </c>
      <c r="G1189" s="133" t="s">
        <v>3882</v>
      </c>
      <c r="H1189" s="133">
        <f>VLOOKUP(G1189,'packing mapping'!A:B,2,0)</f>
        <v>18</v>
      </c>
      <c r="I1189" s="137">
        <v>1672020</v>
      </c>
      <c r="J1189" s="132">
        <f t="shared" si="37"/>
        <v>92890</v>
      </c>
    </row>
    <row r="1190" spans="1:10">
      <c r="A1190" s="115" t="s">
        <v>473</v>
      </c>
      <c r="B1190" s="115" t="s">
        <v>474</v>
      </c>
      <c r="C1190" s="115" t="s">
        <v>1718</v>
      </c>
      <c r="D1190" s="115" t="s">
        <v>1719</v>
      </c>
      <c r="E1190" s="133" t="str">
        <f t="shared" si="36"/>
        <v>1200000194PUL-51341 CLEAR 10 VN</v>
      </c>
      <c r="F1190" s="133" t="s">
        <v>3294</v>
      </c>
      <c r="G1190" s="133" t="s">
        <v>3882</v>
      </c>
      <c r="H1190" s="133">
        <f>VLOOKUP(G1190,'packing mapping'!A:B,2,0)</f>
        <v>18</v>
      </c>
      <c r="I1190" s="137">
        <v>1587060</v>
      </c>
      <c r="J1190" s="132">
        <f t="shared" si="37"/>
        <v>88170</v>
      </c>
    </row>
    <row r="1191" spans="1:10">
      <c r="A1191" s="115" t="s">
        <v>473</v>
      </c>
      <c r="B1191" s="115" t="s">
        <v>474</v>
      </c>
      <c r="C1191" s="115" t="s">
        <v>1874</v>
      </c>
      <c r="D1191" s="115" t="s">
        <v>1875</v>
      </c>
      <c r="E1191" s="133" t="str">
        <f t="shared" si="36"/>
        <v>1200000194PUL-51341 CLEAR 20 VN</v>
      </c>
      <c r="F1191" s="133" t="s">
        <v>3360</v>
      </c>
      <c r="G1191" s="133" t="s">
        <v>3882</v>
      </c>
      <c r="H1191" s="133">
        <f>VLOOKUP(G1191,'packing mapping'!A:B,2,0)</f>
        <v>18</v>
      </c>
      <c r="I1191" s="137">
        <v>1889280</v>
      </c>
      <c r="J1191" s="132">
        <f t="shared" si="37"/>
        <v>104960</v>
      </c>
    </row>
    <row r="1192" spans="1:10">
      <c r="A1192" s="115" t="s">
        <v>473</v>
      </c>
      <c r="B1192" s="115" t="s">
        <v>474</v>
      </c>
      <c r="C1192" s="115" t="s">
        <v>2194</v>
      </c>
      <c r="D1192" s="115" t="s">
        <v>2195</v>
      </c>
      <c r="E1192" s="133" t="str">
        <f t="shared" si="36"/>
        <v>1200000194PUL-51341 CLEAR 30 VN</v>
      </c>
      <c r="F1192" s="133" t="s">
        <v>3511</v>
      </c>
      <c r="G1192" s="133" t="s">
        <v>3882</v>
      </c>
      <c r="H1192" s="133">
        <f>VLOOKUP(G1192,'packing mapping'!A:B,2,0)</f>
        <v>18</v>
      </c>
      <c r="I1192" s="137">
        <v>1651860</v>
      </c>
      <c r="J1192" s="132">
        <f t="shared" si="37"/>
        <v>91770</v>
      </c>
    </row>
    <row r="1193" spans="1:10">
      <c r="A1193" s="115" t="s">
        <v>473</v>
      </c>
      <c r="B1193" s="115" t="s">
        <v>474</v>
      </c>
      <c r="C1193" s="115" t="s">
        <v>1542</v>
      </c>
      <c r="D1193" s="115" t="s">
        <v>1543</v>
      </c>
      <c r="E1193" s="133" t="str">
        <f t="shared" si="36"/>
        <v>1200000194PUL-53306 AC EX CLEAR 05 VN</v>
      </c>
      <c r="F1193" s="133" t="s">
        <v>3211</v>
      </c>
      <c r="G1193" s="133" t="s">
        <v>3879</v>
      </c>
      <c r="H1193" s="133">
        <f>VLOOKUP(G1193,'packing mapping'!A:B,2,0)</f>
        <v>20</v>
      </c>
      <c r="I1193" s="137">
        <v>3947000</v>
      </c>
      <c r="J1193" s="132">
        <f t="shared" si="37"/>
        <v>197350</v>
      </c>
    </row>
    <row r="1194" spans="1:10">
      <c r="A1194" s="115" t="s">
        <v>473</v>
      </c>
      <c r="B1194" s="115" t="s">
        <v>474</v>
      </c>
      <c r="C1194" s="115" t="s">
        <v>1396</v>
      </c>
      <c r="D1194" s="115" t="s">
        <v>1397</v>
      </c>
      <c r="E1194" s="133" t="str">
        <f t="shared" si="36"/>
        <v>1200000194PUL-53306 AC EX CLEAR 10 VN</v>
      </c>
      <c r="F1194" s="133" t="s">
        <v>3148</v>
      </c>
      <c r="G1194" s="133" t="s">
        <v>3879</v>
      </c>
      <c r="H1194" s="133">
        <f>VLOOKUP(G1194,'packing mapping'!A:B,2,0)</f>
        <v>20</v>
      </c>
      <c r="I1194" s="137">
        <v>4158600</v>
      </c>
      <c r="J1194" s="132">
        <f t="shared" si="37"/>
        <v>207930</v>
      </c>
    </row>
    <row r="1195" spans="1:10">
      <c r="A1195" s="115" t="s">
        <v>473</v>
      </c>
      <c r="B1195" s="115" t="s">
        <v>474</v>
      </c>
      <c r="C1195" s="115" t="s">
        <v>1212</v>
      </c>
      <c r="D1195" s="115" t="s">
        <v>1213</v>
      </c>
      <c r="E1195" s="133" t="str">
        <f t="shared" si="36"/>
        <v>1200000194PUL-53306 AC EX CLEAR 20 VN</v>
      </c>
      <c r="F1195" s="133" t="s">
        <v>3060</v>
      </c>
      <c r="G1195" s="133" t="s">
        <v>3879</v>
      </c>
      <c r="H1195" s="133">
        <f>VLOOKUP(G1195,'packing mapping'!A:B,2,0)</f>
        <v>20</v>
      </c>
      <c r="I1195" s="137">
        <v>3451000</v>
      </c>
      <c r="J1195" s="132">
        <f t="shared" si="37"/>
        <v>172550</v>
      </c>
    </row>
    <row r="1196" spans="1:10">
      <c r="A1196" s="115" t="s">
        <v>473</v>
      </c>
      <c r="B1196" s="115" t="s">
        <v>474</v>
      </c>
      <c r="C1196" s="115" t="s">
        <v>1474</v>
      </c>
      <c r="D1196" s="115" t="s">
        <v>1475</v>
      </c>
      <c r="E1196" s="133" t="str">
        <f t="shared" si="36"/>
        <v>1200000194PUL-53306 AC EX CLEAR 30 VN</v>
      </c>
      <c r="F1196" s="133" t="s">
        <v>3183</v>
      </c>
      <c r="G1196" s="133" t="s">
        <v>3879</v>
      </c>
      <c r="H1196" s="133">
        <f>VLOOKUP(G1196,'packing mapping'!A:B,2,0)</f>
        <v>20</v>
      </c>
      <c r="I1196" s="137">
        <v>3803800</v>
      </c>
      <c r="J1196" s="132">
        <f t="shared" si="37"/>
        <v>190190</v>
      </c>
    </row>
    <row r="1197" spans="1:10">
      <c r="A1197" s="115" t="s">
        <v>473</v>
      </c>
      <c r="B1197" s="115" t="s">
        <v>474</v>
      </c>
      <c r="C1197" s="115" t="s">
        <v>1878</v>
      </c>
      <c r="D1197" s="115" t="s">
        <v>1879</v>
      </c>
      <c r="E1197" s="133" t="str">
        <f t="shared" si="36"/>
        <v>1200000194PUL-53306 AC EX CLEAR 40 VN</v>
      </c>
      <c r="F1197" s="133" t="s">
        <v>3362</v>
      </c>
      <c r="G1197" s="133" t="s">
        <v>3879</v>
      </c>
      <c r="H1197" s="133">
        <f>VLOOKUP(G1197,'packing mapping'!A:B,2,0)</f>
        <v>20</v>
      </c>
      <c r="I1197" s="137">
        <v>3640600</v>
      </c>
      <c r="J1197" s="132">
        <f t="shared" si="37"/>
        <v>182030</v>
      </c>
    </row>
    <row r="1198" spans="1:10">
      <c r="A1198" s="115" t="s">
        <v>473</v>
      </c>
      <c r="B1198" s="115" t="s">
        <v>474</v>
      </c>
      <c r="C1198" s="115" t="s">
        <v>1214</v>
      </c>
      <c r="D1198" s="115" t="s">
        <v>1215</v>
      </c>
      <c r="E1198" s="133" t="str">
        <f t="shared" si="36"/>
        <v>1200000194PUL-53306 AC EX CLEAR 50 VN</v>
      </c>
      <c r="F1198" s="133" t="s">
        <v>3061</v>
      </c>
      <c r="G1198" s="133" t="s">
        <v>3879</v>
      </c>
      <c r="H1198" s="133">
        <f>VLOOKUP(G1198,'packing mapping'!A:B,2,0)</f>
        <v>20</v>
      </c>
      <c r="I1198" s="137">
        <v>3333400</v>
      </c>
      <c r="J1198" s="132">
        <f t="shared" si="37"/>
        <v>166670</v>
      </c>
    </row>
    <row r="1199" spans="1:10">
      <c r="A1199" s="115" t="s">
        <v>473</v>
      </c>
      <c r="B1199" s="115" t="s">
        <v>474</v>
      </c>
      <c r="C1199" s="115" t="s">
        <v>1216</v>
      </c>
      <c r="D1199" s="115" t="s">
        <v>1217</v>
      </c>
      <c r="E1199" s="133" t="str">
        <f t="shared" si="36"/>
        <v>1200000194PUL-53306 AC EX CLEAR 90 VN</v>
      </c>
      <c r="F1199" s="133" t="s">
        <v>3062</v>
      </c>
      <c r="G1199" s="133" t="s">
        <v>3879</v>
      </c>
      <c r="H1199" s="133">
        <f>VLOOKUP(G1199,'packing mapping'!A:B,2,0)</f>
        <v>20</v>
      </c>
      <c r="I1199" s="137">
        <v>2690200</v>
      </c>
      <c r="J1199" s="132">
        <f t="shared" si="37"/>
        <v>134510</v>
      </c>
    </row>
    <row r="1200" spans="1:10">
      <c r="A1200" s="115" t="s">
        <v>473</v>
      </c>
      <c r="B1200" s="115" t="s">
        <v>474</v>
      </c>
      <c r="C1200" s="115" t="s">
        <v>1476</v>
      </c>
      <c r="D1200" s="115" t="s">
        <v>1477</v>
      </c>
      <c r="E1200" s="133" t="str">
        <f t="shared" si="36"/>
        <v>1200000194PUP-52141 WHITE 01 VN</v>
      </c>
      <c r="F1200" s="133" t="s">
        <v>3184</v>
      </c>
      <c r="G1200" s="133" t="s">
        <v>3881</v>
      </c>
      <c r="H1200" s="133">
        <f>VLOOKUP(G1200,'packing mapping'!A:B,2,0)</f>
        <v>20</v>
      </c>
      <c r="I1200" s="137">
        <v>1747600</v>
      </c>
      <c r="J1200" s="132">
        <f t="shared" si="37"/>
        <v>87380</v>
      </c>
    </row>
    <row r="1201" spans="1:10">
      <c r="A1201" s="115" t="s">
        <v>473</v>
      </c>
      <c r="B1201" s="115" t="s">
        <v>474</v>
      </c>
      <c r="C1201" s="115" t="s">
        <v>1478</v>
      </c>
      <c r="D1201" s="115" t="s">
        <v>1479</v>
      </c>
      <c r="E1201" s="133" t="str">
        <f t="shared" si="36"/>
        <v>1200000194PUSS-51241 VN</v>
      </c>
      <c r="F1201" s="133" t="s">
        <v>3185</v>
      </c>
      <c r="G1201" s="133" t="s">
        <v>3881</v>
      </c>
      <c r="H1201" s="133">
        <f>VLOOKUP(G1201,'packing mapping'!A:B,2,0)</f>
        <v>20</v>
      </c>
      <c r="I1201" s="137">
        <v>1322600</v>
      </c>
      <c r="J1201" s="132">
        <f t="shared" si="37"/>
        <v>66130</v>
      </c>
    </row>
    <row r="1202" spans="1:10">
      <c r="A1202" s="115" t="s">
        <v>473</v>
      </c>
      <c r="B1202" s="115" t="s">
        <v>474</v>
      </c>
      <c r="C1202" s="115" t="s">
        <v>1218</v>
      </c>
      <c r="D1202" s="115" t="s">
        <v>1219</v>
      </c>
      <c r="E1202" s="133" t="str">
        <f t="shared" si="36"/>
        <v>1200000194PUSS-53206 AC EX VN</v>
      </c>
      <c r="F1202" s="133" t="s">
        <v>3063</v>
      </c>
      <c r="G1202" s="133" t="s">
        <v>3881</v>
      </c>
      <c r="H1202" s="133">
        <f>VLOOKUP(G1202,'packing mapping'!A:B,2,0)</f>
        <v>20</v>
      </c>
      <c r="I1202" s="137">
        <v>2897400</v>
      </c>
      <c r="J1202" s="132">
        <f t="shared" si="37"/>
        <v>144870</v>
      </c>
    </row>
    <row r="1203" spans="1:10">
      <c r="A1203" s="115" t="s">
        <v>473</v>
      </c>
      <c r="B1203" s="115" t="s">
        <v>474</v>
      </c>
      <c r="C1203" s="115" t="s">
        <v>1220</v>
      </c>
      <c r="D1203" s="115" t="s">
        <v>1221</v>
      </c>
      <c r="E1203" s="133" t="str">
        <f t="shared" si="36"/>
        <v>1200000194SST-11100 C10 BLACK</v>
      </c>
      <c r="F1203" s="133" t="s">
        <v>3064</v>
      </c>
      <c r="G1203" s="133" t="s">
        <v>3883</v>
      </c>
      <c r="H1203" s="133">
        <f>VLOOKUP(G1203,'packing mapping'!A:B,2,0)</f>
        <v>4</v>
      </c>
      <c r="I1203" s="137">
        <v>1108800</v>
      </c>
      <c r="J1203" s="132">
        <f t="shared" si="37"/>
        <v>277200</v>
      </c>
    </row>
    <row r="1204" spans="1:10">
      <c r="A1204" s="115" t="s">
        <v>473</v>
      </c>
      <c r="B1204" s="115" t="s">
        <v>474</v>
      </c>
      <c r="C1204" s="115" t="s">
        <v>1222</v>
      </c>
      <c r="D1204" s="115" t="s">
        <v>1223</v>
      </c>
      <c r="E1204" s="133" t="str">
        <f t="shared" si="36"/>
        <v>1200000194SST-11100 C10 BLUE</v>
      </c>
      <c r="F1204" s="133" t="s">
        <v>3065</v>
      </c>
      <c r="G1204" s="133" t="s">
        <v>3883</v>
      </c>
      <c r="H1204" s="133">
        <f>VLOOKUP(G1204,'packing mapping'!A:B,2,0)</f>
        <v>4</v>
      </c>
      <c r="I1204" s="137">
        <v>1626400</v>
      </c>
      <c r="J1204" s="132">
        <f t="shared" si="37"/>
        <v>406600</v>
      </c>
    </row>
    <row r="1205" spans="1:10">
      <c r="A1205" s="115" t="s">
        <v>473</v>
      </c>
      <c r="B1205" s="115" t="s">
        <v>474</v>
      </c>
      <c r="C1205" s="115" t="s">
        <v>1226</v>
      </c>
      <c r="D1205" s="115" t="s">
        <v>1227</v>
      </c>
      <c r="E1205" s="133" t="str">
        <f t="shared" si="36"/>
        <v>1200000194SST-11100 C10 RED</v>
      </c>
      <c r="F1205" s="133" t="s">
        <v>3067</v>
      </c>
      <c r="G1205" s="133" t="s">
        <v>3883</v>
      </c>
      <c r="H1205" s="133">
        <f>VLOOKUP(G1205,'packing mapping'!A:B,2,0)</f>
        <v>4</v>
      </c>
      <c r="I1205" s="137">
        <v>1154280</v>
      </c>
      <c r="J1205" s="132">
        <f t="shared" si="37"/>
        <v>288570</v>
      </c>
    </row>
    <row r="1206" spans="1:10">
      <c r="A1206" s="115" t="s">
        <v>473</v>
      </c>
      <c r="B1206" s="115" t="s">
        <v>474</v>
      </c>
      <c r="C1206" s="115" t="s">
        <v>1228</v>
      </c>
      <c r="D1206" s="115" t="s">
        <v>1229</v>
      </c>
      <c r="E1206" s="133" t="str">
        <f t="shared" si="36"/>
        <v>1200000194SST-11100 C10 YELLOW</v>
      </c>
      <c r="F1206" s="133" t="s">
        <v>3068</v>
      </c>
      <c r="G1206" s="133" t="s">
        <v>3883</v>
      </c>
      <c r="H1206" s="133">
        <f>VLOOKUP(G1206,'packing mapping'!A:B,2,0)</f>
        <v>4</v>
      </c>
      <c r="I1206" s="137">
        <v>1055760</v>
      </c>
      <c r="J1206" s="132">
        <f t="shared" si="37"/>
        <v>263940</v>
      </c>
    </row>
    <row r="1207" spans="1:10">
      <c r="A1207" s="115" t="s">
        <v>473</v>
      </c>
      <c r="B1207" s="115" t="s">
        <v>474</v>
      </c>
      <c r="C1207" s="115" t="s">
        <v>2196</v>
      </c>
      <c r="D1207" s="115" t="s">
        <v>2197</v>
      </c>
      <c r="E1207" s="133" t="str">
        <f t="shared" si="36"/>
        <v>1200000194TEWB-84305 M WHITE VN</v>
      </c>
      <c r="F1207" s="133" t="s">
        <v>3512</v>
      </c>
      <c r="G1207" s="133" t="s">
        <v>3881</v>
      </c>
      <c r="H1207" s="133">
        <f>VLOOKUP(G1207,'packing mapping'!A:B,2,0)</f>
        <v>20</v>
      </c>
      <c r="I1207" s="137">
        <v>1268000</v>
      </c>
      <c r="J1207" s="132">
        <f t="shared" si="37"/>
        <v>63400</v>
      </c>
    </row>
    <row r="1208" spans="1:10">
      <c r="A1208" s="115" t="s">
        <v>473</v>
      </c>
      <c r="B1208" s="115" t="s">
        <v>474</v>
      </c>
      <c r="C1208" s="115" t="s">
        <v>1402</v>
      </c>
      <c r="D1208" s="115" t="s">
        <v>1403</v>
      </c>
      <c r="E1208" s="133" t="str">
        <f t="shared" si="36"/>
        <v>1200000194THC-73100-007 VN</v>
      </c>
      <c r="F1208" s="133" t="s">
        <v>3150</v>
      </c>
      <c r="G1208" s="133" t="s">
        <v>3880</v>
      </c>
      <c r="H1208" s="133">
        <f>VLOOKUP(G1208,'packing mapping'!A:B,2,0)</f>
        <v>20</v>
      </c>
      <c r="I1208" s="137">
        <v>1374400</v>
      </c>
      <c r="J1208" s="132">
        <f t="shared" si="37"/>
        <v>68720</v>
      </c>
    </row>
    <row r="1209" spans="1:10">
      <c r="A1209" s="115" t="s">
        <v>473</v>
      </c>
      <c r="B1209" s="115" t="s">
        <v>474</v>
      </c>
      <c r="C1209" s="115" t="s">
        <v>1238</v>
      </c>
      <c r="D1209" s="115" t="s">
        <v>1239</v>
      </c>
      <c r="E1209" s="133" t="str">
        <f t="shared" si="36"/>
        <v>1200000194THGZ-72200 VN</v>
      </c>
      <c r="F1209" s="133" t="s">
        <v>3073</v>
      </c>
      <c r="G1209" s="133" t="s">
        <v>3880</v>
      </c>
      <c r="H1209" s="133">
        <f>VLOOKUP(G1209,'packing mapping'!A:B,2,0)</f>
        <v>20</v>
      </c>
      <c r="I1209" s="137">
        <v>1526600</v>
      </c>
      <c r="J1209" s="132">
        <f t="shared" si="37"/>
        <v>76330</v>
      </c>
    </row>
    <row r="1210" spans="1:10">
      <c r="A1210" s="115" t="s">
        <v>473</v>
      </c>
      <c r="B1210" s="115" t="s">
        <v>474</v>
      </c>
      <c r="C1210" s="115" t="s">
        <v>1240</v>
      </c>
      <c r="D1210" s="115" t="s">
        <v>1241</v>
      </c>
      <c r="E1210" s="133" t="str">
        <f t="shared" si="36"/>
        <v>1200000194THNC-71100 SD VN</v>
      </c>
      <c r="F1210" s="133" t="s">
        <v>3074</v>
      </c>
      <c r="G1210" s="133" t="s">
        <v>3884</v>
      </c>
      <c r="H1210" s="133">
        <f>VLOOKUP(G1210,'packing mapping'!A:B,2,0)</f>
        <v>200</v>
      </c>
      <c r="I1210" s="137">
        <v>10478000</v>
      </c>
      <c r="J1210" s="132">
        <f t="shared" si="37"/>
        <v>52390</v>
      </c>
    </row>
    <row r="1211" spans="1:10">
      <c r="A1211" s="115" t="s">
        <v>473</v>
      </c>
      <c r="B1211" s="115" t="s">
        <v>474</v>
      </c>
      <c r="C1211" s="115" t="s">
        <v>2198</v>
      </c>
      <c r="D1211" s="115" t="s">
        <v>2199</v>
      </c>
      <c r="E1211" s="133" t="str">
        <f t="shared" si="36"/>
        <v>1200000194THPU-71306 VN</v>
      </c>
      <c r="F1211" s="133" t="s">
        <v>3513</v>
      </c>
      <c r="G1211" s="133" t="s">
        <v>3884</v>
      </c>
      <c r="H1211" s="133">
        <f>VLOOKUP(G1211,'packing mapping'!A:B,2,0)</f>
        <v>200</v>
      </c>
      <c r="I1211" s="137">
        <v>10534000</v>
      </c>
      <c r="J1211" s="132">
        <f t="shared" si="37"/>
        <v>52670</v>
      </c>
    </row>
    <row r="1212" spans="1:10">
      <c r="A1212" s="115" t="s">
        <v>473</v>
      </c>
      <c r="B1212" s="115" t="s">
        <v>474</v>
      </c>
      <c r="C1212" s="115" t="s">
        <v>2200</v>
      </c>
      <c r="D1212" s="115" t="s">
        <v>2201</v>
      </c>
      <c r="E1212" s="133" t="str">
        <f t="shared" si="36"/>
        <v>1200000194PUL-51341 CLEAR 50 VN</v>
      </c>
      <c r="F1212" s="133" t="s">
        <v>3514</v>
      </c>
      <c r="G1212" s="133" t="s">
        <v>3882</v>
      </c>
      <c r="H1212" s="133">
        <f>VLOOKUP(G1212,'packing mapping'!A:B,2,0)</f>
        <v>18</v>
      </c>
      <c r="I1212" s="137">
        <v>1748520</v>
      </c>
      <c r="J1212" s="132">
        <f t="shared" si="37"/>
        <v>97140</v>
      </c>
    </row>
    <row r="1213" spans="1:10">
      <c r="A1213" s="115" t="s">
        <v>473</v>
      </c>
      <c r="B1213" s="115" t="s">
        <v>474</v>
      </c>
      <c r="C1213" s="115" t="s">
        <v>1888</v>
      </c>
      <c r="D1213" s="115" t="s">
        <v>1889</v>
      </c>
      <c r="E1213" s="133" t="str">
        <f t="shared" si="36"/>
        <v>1200000194PUH-56303 NY VN</v>
      </c>
      <c r="F1213" s="133" t="s">
        <v>3366</v>
      </c>
      <c r="G1213" s="133" t="s">
        <v>3883</v>
      </c>
      <c r="H1213" s="133">
        <f>VLOOKUP(G1213,'packing mapping'!A:B,2,0)</f>
        <v>4</v>
      </c>
      <c r="I1213" s="137">
        <v>793800</v>
      </c>
      <c r="J1213" s="132">
        <f t="shared" si="37"/>
        <v>198450</v>
      </c>
    </row>
    <row r="1214" spans="1:10">
      <c r="A1214" s="115" t="s">
        <v>473</v>
      </c>
      <c r="B1214" s="115" t="s">
        <v>474</v>
      </c>
      <c r="C1214" s="115" t="s">
        <v>1250</v>
      </c>
      <c r="D1214" s="115" t="s">
        <v>1251</v>
      </c>
      <c r="E1214" s="133" t="str">
        <f t="shared" si="36"/>
        <v>1200000194MPULH-13700 PS VN</v>
      </c>
      <c r="F1214" s="133" t="s">
        <v>3078</v>
      </c>
      <c r="G1214" s="133" t="s">
        <v>3883</v>
      </c>
      <c r="H1214" s="133">
        <f>VLOOKUP(G1214,'packing mapping'!A:B,2,0)</f>
        <v>4</v>
      </c>
      <c r="I1214" s="137">
        <v>1523560</v>
      </c>
      <c r="J1214" s="132">
        <f t="shared" si="37"/>
        <v>380890</v>
      </c>
    </row>
    <row r="1215" spans="1:10">
      <c r="A1215" s="115" t="s">
        <v>473</v>
      </c>
      <c r="B1215" s="115" t="s">
        <v>474</v>
      </c>
      <c r="C1215" s="115" t="s">
        <v>2202</v>
      </c>
      <c r="D1215" s="115" t="s">
        <v>2203</v>
      </c>
      <c r="E1215" s="133" t="str">
        <f t="shared" si="36"/>
        <v>1200000194GZ-12700 N 64 HM VN</v>
      </c>
      <c r="F1215" s="133" t="s">
        <v>3515</v>
      </c>
      <c r="G1215" s="133" t="s">
        <v>3882</v>
      </c>
      <c r="H1215" s="133">
        <f>VLOOKUP(G1215,'packing mapping'!A:B,2,0)</f>
        <v>18</v>
      </c>
      <c r="I1215" s="137">
        <v>3445200</v>
      </c>
      <c r="J1215" s="132">
        <f t="shared" si="37"/>
        <v>191400</v>
      </c>
    </row>
    <row r="1216" spans="1:10">
      <c r="A1216" s="115" t="s">
        <v>473</v>
      </c>
      <c r="B1216" s="115" t="s">
        <v>474</v>
      </c>
      <c r="C1216" s="115" t="s">
        <v>1258</v>
      </c>
      <c r="D1216" s="115" t="s">
        <v>1259</v>
      </c>
      <c r="E1216" s="133" t="str">
        <f t="shared" si="36"/>
        <v>1200000194DP-12123 LC WHITE 01 VN</v>
      </c>
      <c r="F1216" s="133" t="s">
        <v>3082</v>
      </c>
      <c r="G1216" s="133" t="s">
        <v>3881</v>
      </c>
      <c r="H1216" s="133">
        <f>VLOOKUP(G1216,'packing mapping'!A:B,2,0)</f>
        <v>20</v>
      </c>
      <c r="I1216" s="137">
        <v>2140400</v>
      </c>
      <c r="J1216" s="132">
        <f t="shared" si="37"/>
        <v>107020</v>
      </c>
    </row>
    <row r="1217" spans="1:10">
      <c r="A1217" s="115" t="s">
        <v>473</v>
      </c>
      <c r="B1217" s="115" t="s">
        <v>474</v>
      </c>
      <c r="C1217" s="115" t="s">
        <v>1260</v>
      </c>
      <c r="D1217" s="115" t="s">
        <v>1261</v>
      </c>
      <c r="E1217" s="133" t="str">
        <f t="shared" si="36"/>
        <v>1200000194NCL-11329 LC CLEAR 05 VN</v>
      </c>
      <c r="F1217" s="133" t="s">
        <v>3083</v>
      </c>
      <c r="G1217" s="133" t="s">
        <v>3879</v>
      </c>
      <c r="H1217" s="133">
        <f>VLOOKUP(G1217,'packing mapping'!A:B,2,0)</f>
        <v>20</v>
      </c>
      <c r="I1217" s="137">
        <v>2342000</v>
      </c>
      <c r="J1217" s="132">
        <f t="shared" si="37"/>
        <v>117100</v>
      </c>
    </row>
    <row r="1218" spans="1:10">
      <c r="A1218" s="115" t="s">
        <v>473</v>
      </c>
      <c r="B1218" s="115" t="s">
        <v>474</v>
      </c>
      <c r="C1218" s="115" t="s">
        <v>1262</v>
      </c>
      <c r="D1218" s="115" t="s">
        <v>1263</v>
      </c>
      <c r="E1218" s="133" t="str">
        <f t="shared" si="36"/>
        <v>1200000194NCL-11329 LC CLEAR 10 VN</v>
      </c>
      <c r="F1218" s="133" t="s">
        <v>3084</v>
      </c>
      <c r="G1218" s="133" t="s">
        <v>3879</v>
      </c>
      <c r="H1218" s="133">
        <f>VLOOKUP(G1218,'packing mapping'!A:B,2,0)</f>
        <v>20</v>
      </c>
      <c r="I1218" s="137">
        <v>2062000</v>
      </c>
      <c r="J1218" s="132">
        <f t="shared" si="37"/>
        <v>103100</v>
      </c>
    </row>
    <row r="1219" spans="1:10">
      <c r="A1219" s="115" t="s">
        <v>473</v>
      </c>
      <c r="B1219" s="115" t="s">
        <v>474</v>
      </c>
      <c r="C1219" s="115" t="s">
        <v>1264</v>
      </c>
      <c r="D1219" s="115" t="s">
        <v>1265</v>
      </c>
      <c r="E1219" s="133" t="str">
        <f t="shared" ref="E1219:E1282" si="38">A1219&amp;F1219</f>
        <v>1200000194NCL-11329 LC CLEAR 20 VN</v>
      </c>
      <c r="F1219" s="133" t="s">
        <v>3085</v>
      </c>
      <c r="G1219" s="133" t="s">
        <v>3879</v>
      </c>
      <c r="H1219" s="133">
        <f>VLOOKUP(G1219,'packing mapping'!A:B,2,0)</f>
        <v>20</v>
      </c>
      <c r="I1219" s="137">
        <v>2333800</v>
      </c>
      <c r="J1219" s="132">
        <f t="shared" ref="J1219:J1282" si="39">I1219/H1219</f>
        <v>116690</v>
      </c>
    </row>
    <row r="1220" spans="1:10">
      <c r="A1220" s="115" t="s">
        <v>473</v>
      </c>
      <c r="B1220" s="115" t="s">
        <v>474</v>
      </c>
      <c r="C1220" s="115" t="s">
        <v>1266</v>
      </c>
      <c r="D1220" s="115" t="s">
        <v>1267</v>
      </c>
      <c r="E1220" s="133" t="str">
        <f t="shared" si="38"/>
        <v>1200000194NCL-11329 LC CLEAR 30 VN</v>
      </c>
      <c r="F1220" s="133" t="s">
        <v>3086</v>
      </c>
      <c r="G1220" s="133" t="s">
        <v>3879</v>
      </c>
      <c r="H1220" s="133">
        <f>VLOOKUP(G1220,'packing mapping'!A:B,2,0)</f>
        <v>20</v>
      </c>
      <c r="I1220" s="137">
        <v>2035200</v>
      </c>
      <c r="J1220" s="132">
        <f t="shared" si="39"/>
        <v>101760</v>
      </c>
    </row>
    <row r="1221" spans="1:10">
      <c r="A1221" s="115" t="s">
        <v>473</v>
      </c>
      <c r="B1221" s="115" t="s">
        <v>474</v>
      </c>
      <c r="C1221" s="115" t="s">
        <v>1270</v>
      </c>
      <c r="D1221" s="115" t="s">
        <v>1271</v>
      </c>
      <c r="E1221" s="133" t="str">
        <f t="shared" si="38"/>
        <v>1200000194NCL-11329 LC CLEAR 50 VN</v>
      </c>
      <c r="F1221" s="133" t="s">
        <v>3088</v>
      </c>
      <c r="G1221" s="133" t="s">
        <v>3879</v>
      </c>
      <c r="H1221" s="133">
        <f>VLOOKUP(G1221,'packing mapping'!A:B,2,0)</f>
        <v>20</v>
      </c>
      <c r="I1221" s="137">
        <v>2197000</v>
      </c>
      <c r="J1221" s="132">
        <f t="shared" si="39"/>
        <v>109850</v>
      </c>
    </row>
    <row r="1222" spans="1:10">
      <c r="A1222" s="115" t="s">
        <v>473</v>
      </c>
      <c r="B1222" s="115" t="s">
        <v>474</v>
      </c>
      <c r="C1222" s="115" t="s">
        <v>2204</v>
      </c>
      <c r="D1222" s="115" t="s">
        <v>2205</v>
      </c>
      <c r="E1222" s="133" t="str">
        <f t="shared" si="38"/>
        <v>1200000194NCSS-1112-29 LC AK</v>
      </c>
      <c r="F1222" s="133" t="s">
        <v>3516</v>
      </c>
      <c r="G1222" s="133" t="s">
        <v>3879</v>
      </c>
      <c r="H1222" s="133">
        <f>VLOOKUP(G1222,'packing mapping'!A:B,2,0)</f>
        <v>20</v>
      </c>
      <c r="I1222" s="137">
        <v>2086400</v>
      </c>
      <c r="J1222" s="132">
        <f t="shared" si="39"/>
        <v>104320</v>
      </c>
    </row>
    <row r="1223" spans="1:10">
      <c r="A1223" s="115" t="s">
        <v>473</v>
      </c>
      <c r="B1223" s="115" t="s">
        <v>474</v>
      </c>
      <c r="C1223" s="115" t="s">
        <v>1272</v>
      </c>
      <c r="D1223" s="115" t="s">
        <v>1273</v>
      </c>
      <c r="E1223" s="133" t="str">
        <f t="shared" si="38"/>
        <v>1200000194NCSS-11229 LC VN</v>
      </c>
      <c r="F1223" s="133" t="s">
        <v>3089</v>
      </c>
      <c r="G1223" s="133" t="s">
        <v>3879</v>
      </c>
      <c r="H1223" s="133">
        <f>VLOOKUP(G1223,'packing mapping'!A:B,2,0)</f>
        <v>20</v>
      </c>
      <c r="I1223" s="137">
        <v>2504600</v>
      </c>
      <c r="J1223" s="132">
        <f t="shared" si="39"/>
        <v>125230</v>
      </c>
    </row>
    <row r="1224" spans="1:10">
      <c r="A1224" s="115" t="s">
        <v>473</v>
      </c>
      <c r="B1224" s="115" t="s">
        <v>474</v>
      </c>
      <c r="C1224" s="115" t="s">
        <v>1558</v>
      </c>
      <c r="D1224" s="115" t="s">
        <v>1559</v>
      </c>
      <c r="E1224" s="133" t="str">
        <f t="shared" si="38"/>
        <v>1200000194PUP-54111 AC WHITE VN</v>
      </c>
      <c r="F1224" s="133" t="s">
        <v>3218</v>
      </c>
      <c r="G1224" s="133" t="s">
        <v>3881</v>
      </c>
      <c r="H1224" s="133">
        <f>VLOOKUP(G1224,'packing mapping'!A:B,2,0)</f>
        <v>20</v>
      </c>
      <c r="I1224" s="137">
        <v>3186400</v>
      </c>
      <c r="J1224" s="132">
        <f t="shared" si="39"/>
        <v>159320</v>
      </c>
    </row>
    <row r="1225" spans="1:10">
      <c r="A1225" s="115" t="s">
        <v>473</v>
      </c>
      <c r="B1225" s="115" t="s">
        <v>474</v>
      </c>
      <c r="C1225" s="115" t="s">
        <v>1296</v>
      </c>
      <c r="D1225" s="115" t="s">
        <v>1297</v>
      </c>
      <c r="E1225" s="133" t="str">
        <f t="shared" si="38"/>
        <v>1200000194RD-74106 VN</v>
      </c>
      <c r="F1225" s="133" t="s">
        <v>3099</v>
      </c>
      <c r="G1225" s="133" t="s">
        <v>3880</v>
      </c>
      <c r="H1225" s="133">
        <f>VLOOKUP(G1225,'packing mapping'!A:B,2,0)</f>
        <v>20</v>
      </c>
      <c r="I1225" s="137">
        <v>982600</v>
      </c>
      <c r="J1225" s="132">
        <f t="shared" si="39"/>
        <v>49130</v>
      </c>
    </row>
    <row r="1226" spans="1:10">
      <c r="A1226" s="115" t="s">
        <v>473</v>
      </c>
      <c r="B1226" s="115" t="s">
        <v>474</v>
      </c>
      <c r="C1226" s="115" t="s">
        <v>1298</v>
      </c>
      <c r="D1226" s="115" t="s">
        <v>1299</v>
      </c>
      <c r="E1226" s="133" t="str">
        <f t="shared" si="38"/>
        <v>1200000194PUP-52122 PUTTY VN</v>
      </c>
      <c r="F1226" s="133" t="s">
        <v>3100</v>
      </c>
      <c r="G1226" s="133" t="s">
        <v>3883</v>
      </c>
      <c r="H1226" s="133">
        <f>VLOOKUP(G1226,'packing mapping'!A:B,2,0)</f>
        <v>4</v>
      </c>
      <c r="I1226" s="137">
        <v>542880</v>
      </c>
      <c r="J1226" s="132">
        <f t="shared" si="39"/>
        <v>135720</v>
      </c>
    </row>
    <row r="1227" spans="1:10">
      <c r="A1227" s="115" t="s">
        <v>473</v>
      </c>
      <c r="B1227" s="115" t="s">
        <v>474</v>
      </c>
      <c r="C1227" s="115" t="s">
        <v>1300</v>
      </c>
      <c r="D1227" s="115" t="s">
        <v>1301</v>
      </c>
      <c r="E1227" s="133" t="str">
        <f t="shared" si="38"/>
        <v>1200000194GZPU-21500 BLACK VN</v>
      </c>
      <c r="F1227" s="133" t="s">
        <v>3101</v>
      </c>
      <c r="G1227" s="133" t="s">
        <v>3883</v>
      </c>
      <c r="H1227" s="133">
        <f>VLOOKUP(G1227,'packing mapping'!A:B,2,0)</f>
        <v>4</v>
      </c>
      <c r="I1227" s="137">
        <v>1394440</v>
      </c>
      <c r="J1227" s="132">
        <f t="shared" si="39"/>
        <v>348610</v>
      </c>
    </row>
    <row r="1228" spans="1:10">
      <c r="A1228" s="115" t="s">
        <v>473</v>
      </c>
      <c r="B1228" s="115" t="s">
        <v>474</v>
      </c>
      <c r="C1228" s="115" t="s">
        <v>1302</v>
      </c>
      <c r="D1228" s="115" t="s">
        <v>1303</v>
      </c>
      <c r="E1228" s="133" t="str">
        <f t="shared" si="38"/>
        <v>1200000194GZPU-21500 BROWN VN</v>
      </c>
      <c r="F1228" s="133" t="s">
        <v>3102</v>
      </c>
      <c r="G1228" s="133" t="s">
        <v>3883</v>
      </c>
      <c r="H1228" s="133">
        <f>VLOOKUP(G1228,'packing mapping'!A:B,2,0)</f>
        <v>4</v>
      </c>
      <c r="I1228" s="137">
        <v>1249800</v>
      </c>
      <c r="J1228" s="132">
        <f t="shared" si="39"/>
        <v>312450</v>
      </c>
    </row>
    <row r="1229" spans="1:10">
      <c r="A1229" s="115" t="s">
        <v>473</v>
      </c>
      <c r="B1229" s="115" t="s">
        <v>474</v>
      </c>
      <c r="C1229" s="115" t="s">
        <v>1304</v>
      </c>
      <c r="D1229" s="115" t="s">
        <v>1305</v>
      </c>
      <c r="E1229" s="133" t="str">
        <f t="shared" si="38"/>
        <v>1200000194GZ-12700 N BLACK VN</v>
      </c>
      <c r="F1229" s="133" t="s">
        <v>3103</v>
      </c>
      <c r="G1229" s="133" t="s">
        <v>3883</v>
      </c>
      <c r="H1229" s="133">
        <f>VLOOKUP(G1229,'packing mapping'!A:B,2,0)</f>
        <v>4</v>
      </c>
      <c r="I1229" s="137">
        <v>723800</v>
      </c>
      <c r="J1229" s="132">
        <f t="shared" si="39"/>
        <v>180950</v>
      </c>
    </row>
    <row r="1230" spans="1:10">
      <c r="A1230" s="115" t="s">
        <v>473</v>
      </c>
      <c r="B1230" s="115" t="s">
        <v>474</v>
      </c>
      <c r="C1230" s="115" t="s">
        <v>1306</v>
      </c>
      <c r="D1230" s="115" t="s">
        <v>1307</v>
      </c>
      <c r="E1230" s="133" t="str">
        <f t="shared" si="38"/>
        <v>1200000194GZ-12700 N RED VN</v>
      </c>
      <c r="F1230" s="133" t="s">
        <v>3104</v>
      </c>
      <c r="G1230" s="133" t="s">
        <v>3883</v>
      </c>
      <c r="H1230" s="133">
        <f>VLOOKUP(G1230,'packing mapping'!A:B,2,0)</f>
        <v>4</v>
      </c>
      <c r="I1230" s="137">
        <v>1208360</v>
      </c>
      <c r="J1230" s="132">
        <f t="shared" si="39"/>
        <v>302090</v>
      </c>
    </row>
    <row r="1231" spans="1:10">
      <c r="A1231" s="115" t="s">
        <v>473</v>
      </c>
      <c r="B1231" s="115" t="s">
        <v>474</v>
      </c>
      <c r="C1231" s="115" t="s">
        <v>1308</v>
      </c>
      <c r="D1231" s="115" t="s">
        <v>1309</v>
      </c>
      <c r="E1231" s="133" t="str">
        <f t="shared" si="38"/>
        <v>1200000194GZ-12700 N YELLOW</v>
      </c>
      <c r="F1231" s="133" t="s">
        <v>3105</v>
      </c>
      <c r="G1231" s="133" t="s">
        <v>3883</v>
      </c>
      <c r="H1231" s="133">
        <f>VLOOKUP(G1231,'packing mapping'!A:B,2,0)</f>
        <v>4</v>
      </c>
      <c r="I1231" s="137">
        <v>1220680</v>
      </c>
      <c r="J1231" s="132">
        <f t="shared" si="39"/>
        <v>305170</v>
      </c>
    </row>
    <row r="1232" spans="1:10">
      <c r="A1232" s="115" t="s">
        <v>473</v>
      </c>
      <c r="B1232" s="115" t="s">
        <v>474</v>
      </c>
      <c r="C1232" s="115" t="s">
        <v>1310</v>
      </c>
      <c r="D1232" s="115" t="s">
        <v>1311</v>
      </c>
      <c r="E1232" s="133" t="str">
        <f t="shared" si="38"/>
        <v>1200000194GZPU-21500 RED VN</v>
      </c>
      <c r="F1232" s="133" t="s">
        <v>3106</v>
      </c>
      <c r="G1232" s="133" t="s">
        <v>3883</v>
      </c>
      <c r="H1232" s="133">
        <f>VLOOKUP(G1232,'packing mapping'!A:B,2,0)</f>
        <v>4</v>
      </c>
      <c r="I1232" s="137">
        <v>1677560</v>
      </c>
      <c r="J1232" s="132">
        <f t="shared" si="39"/>
        <v>419390</v>
      </c>
    </row>
    <row r="1233" spans="1:10">
      <c r="A1233" s="115" t="s">
        <v>473</v>
      </c>
      <c r="B1233" s="115" t="s">
        <v>474</v>
      </c>
      <c r="C1233" s="115" t="s">
        <v>1312</v>
      </c>
      <c r="D1233" s="115" t="s">
        <v>1313</v>
      </c>
      <c r="E1233" s="133" t="str">
        <f t="shared" si="38"/>
        <v>1200000194GZPU-21500 YELLOW VN</v>
      </c>
      <c r="F1233" s="133" t="s">
        <v>3107</v>
      </c>
      <c r="G1233" s="133" t="s">
        <v>3883</v>
      </c>
      <c r="H1233" s="133">
        <f>VLOOKUP(G1233,'packing mapping'!A:B,2,0)</f>
        <v>4</v>
      </c>
      <c r="I1233" s="137">
        <v>1559360</v>
      </c>
      <c r="J1233" s="132">
        <f t="shared" si="39"/>
        <v>389840</v>
      </c>
    </row>
    <row r="1234" spans="1:10">
      <c r="A1234" s="115" t="s">
        <v>473</v>
      </c>
      <c r="B1234" s="115" t="s">
        <v>474</v>
      </c>
      <c r="C1234" s="115" t="s">
        <v>1900</v>
      </c>
      <c r="D1234" s="115" t="s">
        <v>1901</v>
      </c>
      <c r="E1234" s="133" t="str">
        <f t="shared" si="38"/>
        <v>1200000194PUH-56303 NY VN</v>
      </c>
      <c r="F1234" s="133" t="s">
        <v>3366</v>
      </c>
      <c r="G1234" s="133" t="s">
        <v>3881</v>
      </c>
      <c r="H1234" s="133">
        <f>VLOOKUP(G1234,'packing mapping'!A:B,2,0)</f>
        <v>20</v>
      </c>
      <c r="I1234" s="137">
        <v>3689600</v>
      </c>
      <c r="J1234" s="132">
        <f t="shared" si="39"/>
        <v>184480</v>
      </c>
    </row>
    <row r="1235" spans="1:10">
      <c r="A1235" s="115" t="s">
        <v>473</v>
      </c>
      <c r="B1235" s="115" t="s">
        <v>474</v>
      </c>
      <c r="C1235" s="115" t="s">
        <v>1316</v>
      </c>
      <c r="D1235" s="115" t="s">
        <v>1317</v>
      </c>
      <c r="E1235" s="133" t="str">
        <f t="shared" si="38"/>
        <v>1200000194PCL-31300 YELLOW 170 HR PASTE</v>
      </c>
      <c r="F1235" s="133" t="s">
        <v>3109</v>
      </c>
      <c r="G1235" s="133" t="s">
        <v>3883</v>
      </c>
      <c r="H1235" s="133">
        <f>VLOOKUP(G1235,'packing mapping'!A:B,2,0)</f>
        <v>4</v>
      </c>
      <c r="I1235" s="137">
        <v>2268080</v>
      </c>
      <c r="J1235" s="132">
        <f t="shared" si="39"/>
        <v>567020</v>
      </c>
    </row>
    <row r="1236" spans="1:10">
      <c r="A1236" s="115" t="s">
        <v>473</v>
      </c>
      <c r="B1236" s="115" t="s">
        <v>474</v>
      </c>
      <c r="C1236" s="115" t="s">
        <v>1318</v>
      </c>
      <c r="D1236" s="115" t="s">
        <v>1319</v>
      </c>
      <c r="E1236" s="133" t="str">
        <f t="shared" si="38"/>
        <v>1200000194GZPU-21500 WHITE VN</v>
      </c>
      <c r="F1236" s="133" t="s">
        <v>3110</v>
      </c>
      <c r="G1236" s="133" t="s">
        <v>3883</v>
      </c>
      <c r="H1236" s="133">
        <f>VLOOKUP(G1236,'packing mapping'!A:B,2,0)</f>
        <v>4</v>
      </c>
      <c r="I1236" s="137">
        <v>1127200</v>
      </c>
      <c r="J1236" s="132">
        <f t="shared" si="39"/>
        <v>281800</v>
      </c>
    </row>
    <row r="1237" spans="1:10">
      <c r="A1237" s="115" t="s">
        <v>473</v>
      </c>
      <c r="B1237" s="115" t="s">
        <v>474</v>
      </c>
      <c r="C1237" s="115" t="s">
        <v>2206</v>
      </c>
      <c r="D1237" s="115" t="s">
        <v>2207</v>
      </c>
      <c r="E1237" s="133" t="str">
        <f t="shared" si="38"/>
        <v>1200000194WBSS-61104 HS VN</v>
      </c>
      <c r="F1237" s="133" t="s">
        <v>3517</v>
      </c>
      <c r="G1237" s="133" t="s">
        <v>3881</v>
      </c>
      <c r="H1237" s="133">
        <f>VLOOKUP(G1237,'packing mapping'!A:B,2,0)</f>
        <v>20</v>
      </c>
      <c r="I1237" s="137">
        <v>2974600</v>
      </c>
      <c r="J1237" s="132">
        <f t="shared" si="39"/>
        <v>148730</v>
      </c>
    </row>
    <row r="1238" spans="1:10">
      <c r="A1238" s="115" t="s">
        <v>473</v>
      </c>
      <c r="B1238" s="115" t="s">
        <v>474</v>
      </c>
      <c r="C1238" s="115" t="s">
        <v>1322</v>
      </c>
      <c r="D1238" s="115" t="s">
        <v>1323</v>
      </c>
      <c r="E1238" s="133" t="str">
        <f t="shared" si="38"/>
        <v>1200000194MPUL-13700 90 VN</v>
      </c>
      <c r="F1238" s="133" t="s">
        <v>3112</v>
      </c>
      <c r="G1238" s="133" t="s">
        <v>3890</v>
      </c>
      <c r="H1238" s="133">
        <f>VLOOKUP(G1238,'packing mapping'!A:B,2,0)</f>
        <v>16</v>
      </c>
      <c r="I1238" s="137">
        <v>2409280</v>
      </c>
      <c r="J1238" s="132">
        <f t="shared" si="39"/>
        <v>150580</v>
      </c>
    </row>
    <row r="1239" spans="1:10">
      <c r="A1239" s="115" t="s">
        <v>473</v>
      </c>
      <c r="B1239" s="115" t="s">
        <v>474</v>
      </c>
      <c r="C1239" s="115" t="s">
        <v>1802</v>
      </c>
      <c r="D1239" s="115" t="s">
        <v>1803</v>
      </c>
      <c r="E1239" s="133" t="str">
        <f t="shared" si="38"/>
        <v>1200000194DC-12207 WHITE 20 VN</v>
      </c>
      <c r="F1239" s="133" t="s">
        <v>3326</v>
      </c>
      <c r="G1239" s="133" t="s">
        <v>3881</v>
      </c>
      <c r="H1239" s="133">
        <f>VLOOKUP(G1239,'packing mapping'!A:B,2,0)</f>
        <v>20</v>
      </c>
      <c r="I1239" s="137">
        <v>3244000</v>
      </c>
      <c r="J1239" s="132">
        <f t="shared" si="39"/>
        <v>162200</v>
      </c>
    </row>
    <row r="1240" spans="1:10">
      <c r="A1240" s="115" t="s">
        <v>473</v>
      </c>
      <c r="B1240" s="115" t="s">
        <v>474</v>
      </c>
      <c r="C1240" s="115" t="s">
        <v>1496</v>
      </c>
      <c r="D1240" s="115" t="s">
        <v>1497</v>
      </c>
      <c r="E1240" s="133" t="str">
        <f t="shared" si="38"/>
        <v>1200000194PUH-56141 VN</v>
      </c>
      <c r="F1240" s="133" t="s">
        <v>3189</v>
      </c>
      <c r="G1240" s="133" t="s">
        <v>3881</v>
      </c>
      <c r="H1240" s="133">
        <f>VLOOKUP(G1240,'packing mapping'!A:B,2,0)</f>
        <v>20</v>
      </c>
      <c r="I1240" s="137">
        <v>2286400</v>
      </c>
      <c r="J1240" s="132">
        <f t="shared" si="39"/>
        <v>114320</v>
      </c>
    </row>
    <row r="1241" spans="1:10">
      <c r="A1241" s="115" t="s">
        <v>473</v>
      </c>
      <c r="B1241" s="115" t="s">
        <v>474</v>
      </c>
      <c r="C1241" s="115" t="s">
        <v>2208</v>
      </c>
      <c r="D1241" s="115" t="s">
        <v>2209</v>
      </c>
      <c r="E1241" s="133" t="str">
        <f t="shared" si="38"/>
        <v>1200000194WBP-62135 WHITE VN</v>
      </c>
      <c r="F1241" s="133" t="s">
        <v>3518</v>
      </c>
      <c r="G1241" s="133" t="s">
        <v>3881</v>
      </c>
      <c r="H1241" s="133">
        <f>VLOOKUP(G1241,'packing mapping'!A:B,2,0)</f>
        <v>20</v>
      </c>
      <c r="I1241" s="137">
        <v>2441000</v>
      </c>
      <c r="J1241" s="132">
        <f t="shared" si="39"/>
        <v>122050</v>
      </c>
    </row>
    <row r="1242" spans="1:10">
      <c r="A1242" s="115" t="s">
        <v>473</v>
      </c>
      <c r="B1242" s="115" t="s">
        <v>474</v>
      </c>
      <c r="C1242" s="115" t="s">
        <v>2210</v>
      </c>
      <c r="D1242" s="115" t="s">
        <v>2211</v>
      </c>
      <c r="E1242" s="133" t="str">
        <f t="shared" si="38"/>
        <v>1200000194DP-12123 LC MT62 HM VN</v>
      </c>
      <c r="F1242" s="133" t="s">
        <v>3519</v>
      </c>
      <c r="G1242" s="133" t="s">
        <v>3881</v>
      </c>
      <c r="H1242" s="133">
        <f>VLOOKUP(G1242,'packing mapping'!A:B,2,0)</f>
        <v>20</v>
      </c>
      <c r="I1242" s="137">
        <v>3302200</v>
      </c>
      <c r="J1242" s="132">
        <f t="shared" si="39"/>
        <v>165110</v>
      </c>
    </row>
    <row r="1243" spans="1:10">
      <c r="A1243" s="115" t="s">
        <v>473</v>
      </c>
      <c r="B1243" s="115" t="s">
        <v>474</v>
      </c>
      <c r="C1243" s="115" t="s">
        <v>2212</v>
      </c>
      <c r="D1243" s="115" t="s">
        <v>2213</v>
      </c>
      <c r="E1243" s="133" t="str">
        <f t="shared" si="38"/>
        <v>1200000194DP-12123 LC MT65 HM VN</v>
      </c>
      <c r="F1243" s="133" t="s">
        <v>3520</v>
      </c>
      <c r="G1243" s="133" t="s">
        <v>3881</v>
      </c>
      <c r="H1243" s="133">
        <f>VLOOKUP(G1243,'packing mapping'!A:B,2,0)</f>
        <v>20</v>
      </c>
      <c r="I1243" s="137">
        <v>3368400</v>
      </c>
      <c r="J1243" s="132">
        <f t="shared" si="39"/>
        <v>168420</v>
      </c>
    </row>
    <row r="1244" spans="1:10">
      <c r="A1244" s="115" t="s">
        <v>473</v>
      </c>
      <c r="B1244" s="115" t="s">
        <v>474</v>
      </c>
      <c r="C1244" s="115" t="s">
        <v>1422</v>
      </c>
      <c r="D1244" s="115" t="s">
        <v>1423</v>
      </c>
      <c r="E1244" s="133" t="str">
        <f t="shared" si="38"/>
        <v>1200000194THPU-71306 WP LC VN</v>
      </c>
      <c r="F1244" s="133" t="s">
        <v>3159</v>
      </c>
      <c r="G1244" s="133" t="s">
        <v>3880</v>
      </c>
      <c r="H1244" s="133">
        <f>VLOOKUP(G1244,'packing mapping'!A:B,2,0)</f>
        <v>20</v>
      </c>
      <c r="I1244" s="137">
        <v>1333000</v>
      </c>
      <c r="J1244" s="132">
        <f t="shared" si="39"/>
        <v>66650</v>
      </c>
    </row>
    <row r="1245" spans="1:10">
      <c r="A1245" s="115" t="s">
        <v>473</v>
      </c>
      <c r="B1245" s="115" t="s">
        <v>474</v>
      </c>
      <c r="C1245" s="115" t="s">
        <v>1332</v>
      </c>
      <c r="D1245" s="115" t="s">
        <v>1333</v>
      </c>
      <c r="E1245" s="133" t="str">
        <f t="shared" si="38"/>
        <v>1200000194WFPU-51000 VN</v>
      </c>
      <c r="F1245" s="133" t="s">
        <v>3117</v>
      </c>
      <c r="G1245" s="133" t="s">
        <v>3881</v>
      </c>
      <c r="H1245" s="133">
        <f>VLOOKUP(G1245,'packing mapping'!A:B,2,0)</f>
        <v>20</v>
      </c>
      <c r="I1245" s="137">
        <v>2039800</v>
      </c>
      <c r="J1245" s="132">
        <f t="shared" si="39"/>
        <v>101990</v>
      </c>
    </row>
    <row r="1246" spans="1:10">
      <c r="A1246" s="115" t="s">
        <v>473</v>
      </c>
      <c r="B1246" s="115" t="s">
        <v>474</v>
      </c>
      <c r="C1246" s="115" t="s">
        <v>2214</v>
      </c>
      <c r="D1246" s="115" t="s">
        <v>2215</v>
      </c>
      <c r="E1246" s="133" t="str">
        <f t="shared" si="38"/>
        <v>1200000194PUC-54205 AC MT207 30 HM VN</v>
      </c>
      <c r="F1246" s="133" t="s">
        <v>3521</v>
      </c>
      <c r="G1246" s="133" t="s">
        <v>3881</v>
      </c>
      <c r="H1246" s="133">
        <f>VLOOKUP(G1246,'packing mapping'!A:B,2,0)</f>
        <v>20</v>
      </c>
      <c r="I1246" s="137">
        <v>4335000</v>
      </c>
      <c r="J1246" s="132">
        <f t="shared" si="39"/>
        <v>216750</v>
      </c>
    </row>
    <row r="1247" spans="1:10">
      <c r="A1247" s="115" t="s">
        <v>473</v>
      </c>
      <c r="B1247" s="115" t="s">
        <v>474</v>
      </c>
      <c r="C1247" s="115" t="s">
        <v>2216</v>
      </c>
      <c r="D1247" s="115" t="s">
        <v>2217</v>
      </c>
      <c r="E1247" s="133" t="str">
        <f t="shared" si="38"/>
        <v>1200000194PUC-54205 AC MT211 10 HM VN</v>
      </c>
      <c r="F1247" s="133" t="s">
        <v>3522</v>
      </c>
      <c r="G1247" s="133" t="s">
        <v>3881</v>
      </c>
      <c r="H1247" s="133">
        <f>VLOOKUP(G1247,'packing mapping'!A:B,2,0)</f>
        <v>20</v>
      </c>
      <c r="I1247" s="137">
        <v>4385800</v>
      </c>
      <c r="J1247" s="132">
        <f t="shared" si="39"/>
        <v>219290</v>
      </c>
    </row>
    <row r="1248" spans="1:10">
      <c r="A1248" s="115" t="s">
        <v>473</v>
      </c>
      <c r="B1248" s="115" t="s">
        <v>474</v>
      </c>
      <c r="C1248" s="115" t="s">
        <v>2218</v>
      </c>
      <c r="D1248" s="115" t="s">
        <v>2219</v>
      </c>
      <c r="E1248" s="133" t="str">
        <f t="shared" si="38"/>
        <v>1200000194GZ-12700 N 64 HM VN</v>
      </c>
      <c r="F1248" s="133" t="s">
        <v>3515</v>
      </c>
      <c r="G1248" s="133" t="s">
        <v>3883</v>
      </c>
      <c r="H1248" s="133">
        <f>VLOOKUP(G1248,'packing mapping'!A:B,2,0)</f>
        <v>4</v>
      </c>
      <c r="I1248" s="137">
        <v>1072960</v>
      </c>
      <c r="J1248" s="132">
        <f t="shared" si="39"/>
        <v>268240</v>
      </c>
    </row>
    <row r="1249" spans="1:10">
      <c r="A1249" s="115" t="s">
        <v>473</v>
      </c>
      <c r="B1249" s="115" t="s">
        <v>474</v>
      </c>
      <c r="C1249" s="115" t="s">
        <v>2220</v>
      </c>
      <c r="D1249" s="115" t="s">
        <v>2221</v>
      </c>
      <c r="E1249" s="133" t="str">
        <f t="shared" si="38"/>
        <v>1200000194THGZ-72200 D40 VN</v>
      </c>
      <c r="F1249" s="133" t="s">
        <v>3344</v>
      </c>
      <c r="G1249" s="133" t="s">
        <v>3880</v>
      </c>
      <c r="H1249" s="133">
        <f>VLOOKUP(G1249,'packing mapping'!A:B,2,0)</f>
        <v>20</v>
      </c>
      <c r="I1249" s="137">
        <v>1526600</v>
      </c>
      <c r="J1249" s="132">
        <f t="shared" si="39"/>
        <v>76330</v>
      </c>
    </row>
    <row r="1250" spans="1:10">
      <c r="A1250" s="115" t="s">
        <v>237</v>
      </c>
      <c r="B1250" s="115" t="s">
        <v>238</v>
      </c>
      <c r="C1250" s="115" t="s">
        <v>1722</v>
      </c>
      <c r="D1250" s="115" t="s">
        <v>1723</v>
      </c>
      <c r="E1250" s="133" t="str">
        <f t="shared" si="38"/>
        <v>120000007411-260 AF PU THINNER</v>
      </c>
      <c r="F1250" s="133" t="s">
        <v>3296</v>
      </c>
      <c r="G1250" s="133" t="s">
        <v>3884</v>
      </c>
      <c r="H1250" s="133">
        <f>VLOOKUP(G1250,'packing mapping'!A:B,2,0)</f>
        <v>200</v>
      </c>
      <c r="I1250" s="137">
        <v>9984000</v>
      </c>
      <c r="J1250" s="132">
        <f t="shared" si="39"/>
        <v>49920</v>
      </c>
    </row>
    <row r="1251" spans="1:10">
      <c r="A1251" s="115" t="s">
        <v>237</v>
      </c>
      <c r="B1251" s="115" t="s">
        <v>238</v>
      </c>
      <c r="C1251" s="115" t="s">
        <v>2104</v>
      </c>
      <c r="D1251" s="115" t="s">
        <v>2105</v>
      </c>
      <c r="E1251" s="133" t="str">
        <f t="shared" si="38"/>
        <v>120000007411-260 AF PU THINNER</v>
      </c>
      <c r="F1251" s="133" t="s">
        <v>3296</v>
      </c>
      <c r="G1251" s="133" t="s">
        <v>3880</v>
      </c>
      <c r="H1251" s="133">
        <f>VLOOKUP(G1251,'packing mapping'!A:B,2,0)</f>
        <v>20</v>
      </c>
      <c r="I1251" s="137">
        <v>1036800</v>
      </c>
      <c r="J1251" s="132">
        <f t="shared" si="39"/>
        <v>51840</v>
      </c>
    </row>
    <row r="1252" spans="1:10">
      <c r="A1252" s="115" t="s">
        <v>237</v>
      </c>
      <c r="B1252" s="115" t="s">
        <v>238</v>
      </c>
      <c r="C1252" s="115" t="s">
        <v>2106</v>
      </c>
      <c r="D1252" s="115" t="s">
        <v>2107</v>
      </c>
      <c r="E1252" s="133" t="str">
        <f t="shared" si="38"/>
        <v>120000007411-260 AF PU THINNER HD</v>
      </c>
      <c r="F1252" s="133" t="s">
        <v>3469</v>
      </c>
      <c r="G1252" s="133" t="s">
        <v>3880</v>
      </c>
      <c r="H1252" s="133">
        <f>VLOOKUP(G1252,'packing mapping'!A:B,2,0)</f>
        <v>20</v>
      </c>
      <c r="I1252" s="137">
        <v>1128000</v>
      </c>
      <c r="J1252" s="132">
        <f t="shared" si="39"/>
        <v>56400</v>
      </c>
    </row>
    <row r="1253" spans="1:10">
      <c r="A1253" s="115" t="s">
        <v>237</v>
      </c>
      <c r="B1253" s="115" t="s">
        <v>238</v>
      </c>
      <c r="C1253" s="115" t="s">
        <v>1462</v>
      </c>
      <c r="D1253" s="115" t="s">
        <v>1463</v>
      </c>
      <c r="E1253" s="133" t="str">
        <f t="shared" si="38"/>
        <v>120000007464-56 MICRO FILLER VN</v>
      </c>
      <c r="F1253" s="133" t="s">
        <v>3178</v>
      </c>
      <c r="G1253" s="133" t="s">
        <v>3881</v>
      </c>
      <c r="H1253" s="133">
        <f>VLOOKUP(G1253,'packing mapping'!A:B,2,0)</f>
        <v>20</v>
      </c>
      <c r="I1253" s="137">
        <v>1445040</v>
      </c>
      <c r="J1253" s="132">
        <f t="shared" si="39"/>
        <v>72252</v>
      </c>
    </row>
    <row r="1254" spans="1:10">
      <c r="A1254" s="115" t="s">
        <v>237</v>
      </c>
      <c r="B1254" s="115" t="s">
        <v>238</v>
      </c>
      <c r="C1254" s="115" t="s">
        <v>1184</v>
      </c>
      <c r="D1254" s="115" t="s">
        <v>1185</v>
      </c>
      <c r="E1254" s="133" t="str">
        <f t="shared" si="38"/>
        <v>1200000074MEP-12003 CLEAR BASE VN</v>
      </c>
      <c r="F1254" s="133" t="s">
        <v>3046</v>
      </c>
      <c r="G1254" s="133" t="s">
        <v>3882</v>
      </c>
      <c r="H1254" s="133">
        <f>VLOOKUP(G1254,'packing mapping'!A:B,2,0)</f>
        <v>18</v>
      </c>
      <c r="I1254" s="137">
        <v>1527984</v>
      </c>
      <c r="J1254" s="132">
        <f t="shared" si="39"/>
        <v>84888</v>
      </c>
    </row>
    <row r="1255" spans="1:10">
      <c r="A1255" s="115" t="s">
        <v>237</v>
      </c>
      <c r="B1255" s="115" t="s">
        <v>238</v>
      </c>
      <c r="C1255" s="115" t="s">
        <v>1220</v>
      </c>
      <c r="D1255" s="115" t="s">
        <v>1221</v>
      </c>
      <c r="E1255" s="133" t="str">
        <f t="shared" si="38"/>
        <v>1200000074SST-11100 C10 BLACK</v>
      </c>
      <c r="F1255" s="133" t="s">
        <v>3064</v>
      </c>
      <c r="G1255" s="133" t="s">
        <v>3883</v>
      </c>
      <c r="H1255" s="133">
        <f>VLOOKUP(G1255,'packing mapping'!A:B,2,0)</f>
        <v>4</v>
      </c>
      <c r="I1255" s="137">
        <v>1130976</v>
      </c>
      <c r="J1255" s="132">
        <f t="shared" si="39"/>
        <v>282744</v>
      </c>
    </row>
    <row r="1256" spans="1:10">
      <c r="A1256" s="115" t="s">
        <v>237</v>
      </c>
      <c r="B1256" s="115" t="s">
        <v>238</v>
      </c>
      <c r="C1256" s="115" t="s">
        <v>1226</v>
      </c>
      <c r="D1256" s="115" t="s">
        <v>1227</v>
      </c>
      <c r="E1256" s="133" t="str">
        <f t="shared" si="38"/>
        <v>1200000074SST-11100 C10 RED</v>
      </c>
      <c r="F1256" s="133" t="s">
        <v>3067</v>
      </c>
      <c r="G1256" s="133" t="s">
        <v>3883</v>
      </c>
      <c r="H1256" s="133">
        <f>VLOOKUP(G1256,'packing mapping'!A:B,2,0)</f>
        <v>4</v>
      </c>
      <c r="I1256" s="137">
        <v>1532304</v>
      </c>
      <c r="J1256" s="132">
        <f t="shared" si="39"/>
        <v>383076</v>
      </c>
    </row>
    <row r="1257" spans="1:10">
      <c r="A1257" s="115" t="s">
        <v>237</v>
      </c>
      <c r="B1257" s="115" t="s">
        <v>238</v>
      </c>
      <c r="C1257" s="115" t="s">
        <v>1228</v>
      </c>
      <c r="D1257" s="115" t="s">
        <v>1229</v>
      </c>
      <c r="E1257" s="133" t="str">
        <f t="shared" si="38"/>
        <v>1200000074SST-11100 C10 YELLOW</v>
      </c>
      <c r="F1257" s="133" t="s">
        <v>3068</v>
      </c>
      <c r="G1257" s="133" t="s">
        <v>3883</v>
      </c>
      <c r="H1257" s="133">
        <f>VLOOKUP(G1257,'packing mapping'!A:B,2,0)</f>
        <v>4</v>
      </c>
      <c r="I1257" s="137">
        <v>1149120</v>
      </c>
      <c r="J1257" s="132">
        <f t="shared" si="39"/>
        <v>287280</v>
      </c>
    </row>
    <row r="1258" spans="1:10">
      <c r="A1258" s="115" t="s">
        <v>237</v>
      </c>
      <c r="B1258" s="115" t="s">
        <v>238</v>
      </c>
      <c r="C1258" s="115" t="s">
        <v>1402</v>
      </c>
      <c r="D1258" s="115" t="s">
        <v>1403</v>
      </c>
      <c r="E1258" s="133" t="str">
        <f t="shared" si="38"/>
        <v>1200000074THC-73100-007 VN</v>
      </c>
      <c r="F1258" s="133" t="s">
        <v>3150</v>
      </c>
      <c r="G1258" s="133" t="s">
        <v>3880</v>
      </c>
      <c r="H1258" s="133">
        <f>VLOOKUP(G1258,'packing mapping'!A:B,2,0)</f>
        <v>20</v>
      </c>
      <c r="I1258" s="137">
        <v>1620000</v>
      </c>
      <c r="J1258" s="132">
        <f t="shared" si="39"/>
        <v>81000</v>
      </c>
    </row>
    <row r="1259" spans="1:10">
      <c r="A1259" s="115" t="s">
        <v>237</v>
      </c>
      <c r="B1259" s="115" t="s">
        <v>238</v>
      </c>
      <c r="C1259" s="115" t="s">
        <v>2184</v>
      </c>
      <c r="D1259" s="115" t="s">
        <v>2185</v>
      </c>
      <c r="E1259" s="133" t="str">
        <f t="shared" si="38"/>
        <v>1200000074THC-73100-1103 KD VN</v>
      </c>
      <c r="F1259" s="133" t="s">
        <v>3506</v>
      </c>
      <c r="G1259" s="133" t="s">
        <v>3884</v>
      </c>
      <c r="H1259" s="133">
        <f>VLOOKUP(G1259,'packing mapping'!A:B,2,0)</f>
        <v>200</v>
      </c>
      <c r="I1259" s="137">
        <v>5440000</v>
      </c>
      <c r="J1259" s="132">
        <f t="shared" si="39"/>
        <v>27200</v>
      </c>
    </row>
    <row r="1260" spans="1:10">
      <c r="A1260" s="115" t="s">
        <v>237</v>
      </c>
      <c r="B1260" s="115" t="s">
        <v>238</v>
      </c>
      <c r="C1260" s="115" t="s">
        <v>1882</v>
      </c>
      <c r="D1260" s="115" t="s">
        <v>1883</v>
      </c>
      <c r="E1260" s="133" t="str">
        <f t="shared" si="38"/>
        <v>1200000074WBL-61201 CLEAR 10 VN</v>
      </c>
      <c r="F1260" s="133" t="s">
        <v>3363</v>
      </c>
      <c r="G1260" s="133" t="s">
        <v>3881</v>
      </c>
      <c r="H1260" s="133">
        <f>VLOOKUP(G1260,'packing mapping'!A:B,2,0)</f>
        <v>20</v>
      </c>
      <c r="I1260" s="137">
        <v>2164320</v>
      </c>
      <c r="J1260" s="132">
        <f t="shared" si="39"/>
        <v>108216</v>
      </c>
    </row>
    <row r="1261" spans="1:10">
      <c r="A1261" s="115" t="s">
        <v>237</v>
      </c>
      <c r="B1261" s="115" t="s">
        <v>238</v>
      </c>
      <c r="C1261" s="115" t="s">
        <v>1740</v>
      </c>
      <c r="D1261" s="115" t="s">
        <v>1741</v>
      </c>
      <c r="E1261" s="133" t="str">
        <f t="shared" si="38"/>
        <v>1200000074THPU-71300 SB VN</v>
      </c>
      <c r="F1261" s="133" t="s">
        <v>3303</v>
      </c>
      <c r="G1261" s="133" t="s">
        <v>3884</v>
      </c>
      <c r="H1261" s="133">
        <f>VLOOKUP(G1261,'packing mapping'!A:B,2,0)</f>
        <v>200</v>
      </c>
      <c r="I1261" s="137">
        <v>10880000</v>
      </c>
      <c r="J1261" s="132">
        <f t="shared" si="39"/>
        <v>54400</v>
      </c>
    </row>
    <row r="1262" spans="1:10">
      <c r="A1262" s="115" t="s">
        <v>237</v>
      </c>
      <c r="B1262" s="115" t="s">
        <v>238</v>
      </c>
      <c r="C1262" s="115" t="s">
        <v>2108</v>
      </c>
      <c r="D1262" s="115" t="s">
        <v>2109</v>
      </c>
      <c r="E1262" s="133" t="str">
        <f t="shared" si="38"/>
        <v>120000007482-4020 UE AF URT WHITE A</v>
      </c>
      <c r="F1262" s="133" t="s">
        <v>3470</v>
      </c>
      <c r="G1262" s="133" t="s">
        <v>3890</v>
      </c>
      <c r="H1262" s="133">
        <f>VLOOKUP(G1262,'packing mapping'!A:B,2,0)</f>
        <v>16</v>
      </c>
      <c r="I1262" s="137">
        <v>2165184</v>
      </c>
      <c r="J1262" s="132">
        <f t="shared" si="39"/>
        <v>135324</v>
      </c>
    </row>
    <row r="1263" spans="1:10">
      <c r="A1263" s="115" t="s">
        <v>237</v>
      </c>
      <c r="B1263" s="115" t="s">
        <v>238</v>
      </c>
      <c r="C1263" s="115" t="s">
        <v>1248</v>
      </c>
      <c r="D1263" s="115" t="s">
        <v>1249</v>
      </c>
      <c r="E1263" s="133" t="str">
        <f t="shared" si="38"/>
        <v>1200000074MEPH-12003 PS VN</v>
      </c>
      <c r="F1263" s="133" t="s">
        <v>3077</v>
      </c>
      <c r="G1263" s="133" t="s">
        <v>3887</v>
      </c>
      <c r="H1263" s="133">
        <f>VLOOKUP(G1263,'packing mapping'!A:B,2,0)</f>
        <v>2</v>
      </c>
      <c r="I1263" s="137">
        <v>353376</v>
      </c>
      <c r="J1263" s="132">
        <f t="shared" si="39"/>
        <v>176688</v>
      </c>
    </row>
    <row r="1264" spans="1:10">
      <c r="A1264" s="115" t="s">
        <v>237</v>
      </c>
      <c r="B1264" s="115" t="s">
        <v>238</v>
      </c>
      <c r="C1264" s="115" t="s">
        <v>1754</v>
      </c>
      <c r="D1264" s="115" t="s">
        <v>1755</v>
      </c>
      <c r="E1264" s="133" t="str">
        <f t="shared" si="38"/>
        <v>1200000074AL-088 VN</v>
      </c>
      <c r="F1264" s="133" t="s">
        <v>3310</v>
      </c>
      <c r="G1264" s="133" t="s">
        <v>3888</v>
      </c>
      <c r="H1264" s="133">
        <f>VLOOKUP(G1264,'packing mapping'!A:B,2,0)</f>
        <v>4</v>
      </c>
      <c r="I1264" s="137">
        <v>763344</v>
      </c>
      <c r="J1264" s="132">
        <f t="shared" si="39"/>
        <v>190836</v>
      </c>
    </row>
    <row r="1265" spans="1:10">
      <c r="A1265" s="115" t="s">
        <v>237</v>
      </c>
      <c r="B1265" s="115" t="s">
        <v>238</v>
      </c>
      <c r="C1265" s="115" t="s">
        <v>1758</v>
      </c>
      <c r="D1265" s="115" t="s">
        <v>1759</v>
      </c>
      <c r="E1265" s="133" t="str">
        <f t="shared" si="38"/>
        <v>1200000074AL-089 VN</v>
      </c>
      <c r="F1265" s="133" t="s">
        <v>3311</v>
      </c>
      <c r="G1265" s="133" t="s">
        <v>3883</v>
      </c>
      <c r="H1265" s="133">
        <f>VLOOKUP(G1265,'packing mapping'!A:B,2,0)</f>
        <v>4</v>
      </c>
      <c r="I1265" s="137">
        <v>450576</v>
      </c>
      <c r="J1265" s="132">
        <f t="shared" si="39"/>
        <v>112644</v>
      </c>
    </row>
    <row r="1266" spans="1:10">
      <c r="A1266" s="115" t="s">
        <v>237</v>
      </c>
      <c r="B1266" s="115" t="s">
        <v>238</v>
      </c>
      <c r="C1266" s="115" t="s">
        <v>1298</v>
      </c>
      <c r="D1266" s="115" t="s">
        <v>1299</v>
      </c>
      <c r="E1266" s="133" t="str">
        <f t="shared" si="38"/>
        <v>1200000074PUP-52122 PUTTY VN</v>
      </c>
      <c r="F1266" s="133" t="s">
        <v>3100</v>
      </c>
      <c r="G1266" s="133" t="s">
        <v>3883</v>
      </c>
      <c r="H1266" s="133">
        <f>VLOOKUP(G1266,'packing mapping'!A:B,2,0)</f>
        <v>4</v>
      </c>
      <c r="I1266" s="137">
        <v>216000</v>
      </c>
      <c r="J1266" s="132">
        <f t="shared" si="39"/>
        <v>54000</v>
      </c>
    </row>
    <row r="1267" spans="1:10">
      <c r="A1267" s="115" t="s">
        <v>237</v>
      </c>
      <c r="B1267" s="115" t="s">
        <v>238</v>
      </c>
      <c r="C1267" s="115" t="s">
        <v>1300</v>
      </c>
      <c r="D1267" s="115" t="s">
        <v>1301</v>
      </c>
      <c r="E1267" s="133" t="str">
        <f t="shared" si="38"/>
        <v>1200000074GZPU-21500 BLACK VN</v>
      </c>
      <c r="F1267" s="133" t="s">
        <v>3101</v>
      </c>
      <c r="G1267" s="133" t="s">
        <v>3883</v>
      </c>
      <c r="H1267" s="133">
        <f>VLOOKUP(G1267,'packing mapping'!A:B,2,0)</f>
        <v>4</v>
      </c>
      <c r="I1267" s="137">
        <v>1318896</v>
      </c>
      <c r="J1267" s="132">
        <f t="shared" si="39"/>
        <v>329724</v>
      </c>
    </row>
    <row r="1268" spans="1:10">
      <c r="A1268" s="115" t="s">
        <v>237</v>
      </c>
      <c r="B1268" s="115" t="s">
        <v>238</v>
      </c>
      <c r="C1268" s="115" t="s">
        <v>1302</v>
      </c>
      <c r="D1268" s="115" t="s">
        <v>1303</v>
      </c>
      <c r="E1268" s="133" t="str">
        <f t="shared" si="38"/>
        <v>1200000074GZPU-21500 BROWN VN</v>
      </c>
      <c r="F1268" s="133" t="s">
        <v>3102</v>
      </c>
      <c r="G1268" s="133" t="s">
        <v>3883</v>
      </c>
      <c r="H1268" s="133">
        <f>VLOOKUP(G1268,'packing mapping'!A:B,2,0)</f>
        <v>4</v>
      </c>
      <c r="I1268" s="137">
        <v>1008288</v>
      </c>
      <c r="J1268" s="132">
        <f t="shared" si="39"/>
        <v>252072</v>
      </c>
    </row>
    <row r="1269" spans="1:10">
      <c r="A1269" s="115" t="s">
        <v>237</v>
      </c>
      <c r="B1269" s="115" t="s">
        <v>238</v>
      </c>
      <c r="C1269" s="115" t="s">
        <v>2110</v>
      </c>
      <c r="D1269" s="115" t="s">
        <v>2111</v>
      </c>
      <c r="E1269" s="133" t="str">
        <f t="shared" si="38"/>
        <v>120000007482-2027 UE AF URT SANDING A</v>
      </c>
      <c r="F1269" s="133" t="s">
        <v>3471</v>
      </c>
      <c r="G1269" s="133" t="s">
        <v>3890</v>
      </c>
      <c r="H1269" s="133">
        <f>VLOOKUP(G1269,'packing mapping'!A:B,2,0)</f>
        <v>16</v>
      </c>
      <c r="I1269" s="137">
        <v>1062720</v>
      </c>
      <c r="J1269" s="132">
        <f t="shared" si="39"/>
        <v>66420</v>
      </c>
    </row>
    <row r="1270" spans="1:10">
      <c r="A1270" s="115" t="s">
        <v>237</v>
      </c>
      <c r="B1270" s="115" t="s">
        <v>238</v>
      </c>
      <c r="C1270" s="115" t="s">
        <v>1764</v>
      </c>
      <c r="D1270" s="115" t="s">
        <v>1765</v>
      </c>
      <c r="E1270" s="133" t="str">
        <f t="shared" si="38"/>
        <v>120000007482-1099 UE AF URT FLAT A</v>
      </c>
      <c r="F1270" s="133" t="s">
        <v>3313</v>
      </c>
      <c r="G1270" s="133" t="s">
        <v>3890</v>
      </c>
      <c r="H1270" s="133">
        <f>VLOOKUP(G1270,'packing mapping'!A:B,2,0)</f>
        <v>16</v>
      </c>
      <c r="I1270" s="137">
        <v>1406592</v>
      </c>
      <c r="J1270" s="132">
        <f t="shared" si="39"/>
        <v>87912</v>
      </c>
    </row>
    <row r="1271" spans="1:10">
      <c r="A1271" s="115" t="s">
        <v>237</v>
      </c>
      <c r="B1271" s="115" t="s">
        <v>238</v>
      </c>
      <c r="C1271" s="115" t="s">
        <v>2112</v>
      </c>
      <c r="D1271" s="115" t="s">
        <v>2113</v>
      </c>
      <c r="E1271" s="133" t="str">
        <f t="shared" si="38"/>
        <v>120000007411-260-1 AF PU THINNER</v>
      </c>
      <c r="F1271" s="133" t="s">
        <v>3472</v>
      </c>
      <c r="G1271" s="133" t="s">
        <v>3884</v>
      </c>
      <c r="H1271" s="133">
        <f>VLOOKUP(G1271,'packing mapping'!A:B,2,0)</f>
        <v>200</v>
      </c>
      <c r="I1271" s="137">
        <v>9984000</v>
      </c>
      <c r="J1271" s="132">
        <f t="shared" si="39"/>
        <v>49920</v>
      </c>
    </row>
    <row r="1272" spans="1:10">
      <c r="A1272" s="115" t="s">
        <v>237</v>
      </c>
      <c r="B1272" s="115" t="s">
        <v>238</v>
      </c>
      <c r="C1272" s="115" t="s">
        <v>2114</v>
      </c>
      <c r="D1272" s="115" t="s">
        <v>2115</v>
      </c>
      <c r="E1272" s="133" t="str">
        <f t="shared" si="38"/>
        <v>120000007482-5001 UE AF URT SFC WHITE A</v>
      </c>
      <c r="F1272" s="133" t="s">
        <v>3473</v>
      </c>
      <c r="G1272" s="133" t="s">
        <v>3890</v>
      </c>
      <c r="H1272" s="133">
        <f>VLOOKUP(G1272,'packing mapping'!A:B,2,0)</f>
        <v>16</v>
      </c>
      <c r="I1272" s="137">
        <v>1544832</v>
      </c>
      <c r="J1272" s="132">
        <f t="shared" si="39"/>
        <v>96552</v>
      </c>
    </row>
    <row r="1273" spans="1:10">
      <c r="A1273" s="115" t="s">
        <v>237</v>
      </c>
      <c r="B1273" s="115" t="s">
        <v>238</v>
      </c>
      <c r="C1273" s="115" t="s">
        <v>2116</v>
      </c>
      <c r="D1273" s="115" t="s">
        <v>2117</v>
      </c>
      <c r="E1273" s="133" t="str">
        <f t="shared" si="38"/>
        <v>120000007482-4029 UE AF URT WHITE A</v>
      </c>
      <c r="F1273" s="133" t="s">
        <v>3474</v>
      </c>
      <c r="G1273" s="133" t="s">
        <v>3890</v>
      </c>
      <c r="H1273" s="133">
        <f>VLOOKUP(G1273,'packing mapping'!A:B,2,0)</f>
        <v>16</v>
      </c>
      <c r="I1273" s="137">
        <v>2218752</v>
      </c>
      <c r="J1273" s="132">
        <f t="shared" si="39"/>
        <v>138672</v>
      </c>
    </row>
    <row r="1274" spans="1:10">
      <c r="A1274" s="115" t="s">
        <v>237</v>
      </c>
      <c r="B1274" s="115" t="s">
        <v>238</v>
      </c>
      <c r="C1274" s="115" t="s">
        <v>2118</v>
      </c>
      <c r="D1274" s="115" t="s">
        <v>2119</v>
      </c>
      <c r="E1274" s="133" t="str">
        <f t="shared" si="38"/>
        <v>1200000074PCA-31100 BLACK OB PASTE AF VN</v>
      </c>
      <c r="F1274" s="133" t="s">
        <v>3475</v>
      </c>
      <c r="G1274" s="133" t="s">
        <v>3883</v>
      </c>
      <c r="H1274" s="133">
        <f>VLOOKUP(G1274,'packing mapping'!A:B,2,0)</f>
        <v>4</v>
      </c>
      <c r="I1274" s="137">
        <v>1394496</v>
      </c>
      <c r="J1274" s="132">
        <f t="shared" si="39"/>
        <v>348624</v>
      </c>
    </row>
    <row r="1275" spans="1:10">
      <c r="A1275" s="115" t="s">
        <v>237</v>
      </c>
      <c r="B1275" s="115" t="s">
        <v>238</v>
      </c>
      <c r="C1275" s="115" t="s">
        <v>2120</v>
      </c>
      <c r="D1275" s="115" t="s">
        <v>2121</v>
      </c>
      <c r="E1275" s="133" t="str">
        <f t="shared" si="38"/>
        <v>1200000074PCA-31100 BROWN 645 PASTE AF VN</v>
      </c>
      <c r="F1275" s="133" t="s">
        <v>3476</v>
      </c>
      <c r="G1275" s="133" t="s">
        <v>3883</v>
      </c>
      <c r="H1275" s="133">
        <f>VLOOKUP(G1275,'packing mapping'!A:B,2,0)</f>
        <v>4</v>
      </c>
      <c r="I1275" s="137">
        <v>759456</v>
      </c>
      <c r="J1275" s="132">
        <f t="shared" si="39"/>
        <v>189864</v>
      </c>
    </row>
    <row r="1276" spans="1:10">
      <c r="A1276" s="115" t="s">
        <v>237</v>
      </c>
      <c r="B1276" s="115" t="s">
        <v>238</v>
      </c>
      <c r="C1276" s="115" t="s">
        <v>2122</v>
      </c>
      <c r="D1276" s="115" t="s">
        <v>2123</v>
      </c>
      <c r="E1276" s="133" t="str">
        <f t="shared" si="38"/>
        <v>1200000074PCA-31100 RED OB 35 PASTE AF VN</v>
      </c>
      <c r="F1276" s="133" t="s">
        <v>3477</v>
      </c>
      <c r="G1276" s="133" t="s">
        <v>3883</v>
      </c>
      <c r="H1276" s="133">
        <f>VLOOKUP(G1276,'packing mapping'!A:B,2,0)</f>
        <v>4</v>
      </c>
      <c r="I1276" s="137">
        <v>1252368</v>
      </c>
      <c r="J1276" s="132">
        <f t="shared" si="39"/>
        <v>313092</v>
      </c>
    </row>
    <row r="1277" spans="1:10">
      <c r="A1277" s="115" t="s">
        <v>237</v>
      </c>
      <c r="B1277" s="115" t="s">
        <v>238</v>
      </c>
      <c r="C1277" s="115" t="s">
        <v>2124</v>
      </c>
      <c r="D1277" s="115" t="s">
        <v>2125</v>
      </c>
      <c r="E1277" s="133" t="str">
        <f t="shared" si="38"/>
        <v>1200000074PCA-31100 WHITE PASTE AF VN</v>
      </c>
      <c r="F1277" s="133" t="s">
        <v>3478</v>
      </c>
      <c r="G1277" s="133" t="s">
        <v>3883</v>
      </c>
      <c r="H1277" s="133">
        <f>VLOOKUP(G1277,'packing mapping'!A:B,2,0)</f>
        <v>4</v>
      </c>
      <c r="I1277" s="137">
        <v>883440</v>
      </c>
      <c r="J1277" s="132">
        <f t="shared" si="39"/>
        <v>220860</v>
      </c>
    </row>
    <row r="1278" spans="1:10">
      <c r="A1278" s="115" t="s">
        <v>237</v>
      </c>
      <c r="B1278" s="115" t="s">
        <v>238</v>
      </c>
      <c r="C1278" s="115" t="s">
        <v>2126</v>
      </c>
      <c r="D1278" s="115" t="s">
        <v>2127</v>
      </c>
      <c r="E1278" s="133" t="str">
        <f t="shared" si="38"/>
        <v>1200000074PCA-31100 YELLOW HR PASTE AF VN</v>
      </c>
      <c r="F1278" s="133" t="s">
        <v>3479</v>
      </c>
      <c r="G1278" s="133" t="s">
        <v>3883</v>
      </c>
      <c r="H1278" s="133">
        <f>VLOOKUP(G1278,'packing mapping'!A:B,2,0)</f>
        <v>4</v>
      </c>
      <c r="I1278" s="137">
        <v>1013472</v>
      </c>
      <c r="J1278" s="132">
        <f t="shared" si="39"/>
        <v>253368</v>
      </c>
    </row>
    <row r="1279" spans="1:10">
      <c r="A1279" s="115" t="s">
        <v>237</v>
      </c>
      <c r="B1279" s="115" t="s">
        <v>238</v>
      </c>
      <c r="C1279" s="115" t="s">
        <v>2128</v>
      </c>
      <c r="D1279" s="115" t="s">
        <v>2129</v>
      </c>
      <c r="E1279" s="133" t="str">
        <f t="shared" si="38"/>
        <v>1200000074PCA-31100 YELLOW OG 16 PASTE AF VN</v>
      </c>
      <c r="F1279" s="133" t="s">
        <v>3480</v>
      </c>
      <c r="G1279" s="133" t="s">
        <v>3883</v>
      </c>
      <c r="H1279" s="133">
        <f>VLOOKUP(G1279,'packing mapping'!A:B,2,0)</f>
        <v>4</v>
      </c>
      <c r="I1279" s="137">
        <v>1955664</v>
      </c>
      <c r="J1279" s="132">
        <f t="shared" si="39"/>
        <v>488916</v>
      </c>
    </row>
    <row r="1280" spans="1:10">
      <c r="A1280" s="115" t="s">
        <v>237</v>
      </c>
      <c r="B1280" s="115" t="s">
        <v>238</v>
      </c>
      <c r="C1280" s="115" t="s">
        <v>2130</v>
      </c>
      <c r="D1280" s="115" t="s">
        <v>2131</v>
      </c>
      <c r="E1280" s="133" t="str">
        <f t="shared" si="38"/>
        <v>1200000074PCA-31100 YELLOW OKER PASTE AF VN</v>
      </c>
      <c r="F1280" s="133" t="s">
        <v>3481</v>
      </c>
      <c r="G1280" s="133" t="s">
        <v>3883</v>
      </c>
      <c r="H1280" s="133">
        <f>VLOOKUP(G1280,'packing mapping'!A:B,2,0)</f>
        <v>4</v>
      </c>
      <c r="I1280" s="137">
        <v>1397088</v>
      </c>
      <c r="J1280" s="132">
        <f t="shared" si="39"/>
        <v>349272</v>
      </c>
    </row>
    <row r="1281" spans="1:10">
      <c r="A1281" s="115" t="s">
        <v>237</v>
      </c>
      <c r="B1281" s="115" t="s">
        <v>238</v>
      </c>
      <c r="C1281" s="115" t="s">
        <v>2132</v>
      </c>
      <c r="D1281" s="115" t="s">
        <v>2133</v>
      </c>
      <c r="E1281" s="133" t="str">
        <f t="shared" si="38"/>
        <v>1200000074PCA-31100 BLACK PASTE AF VN</v>
      </c>
      <c r="F1281" s="133" t="s">
        <v>3482</v>
      </c>
      <c r="G1281" s="133" t="s">
        <v>3883</v>
      </c>
      <c r="H1281" s="133">
        <f>VLOOKUP(G1281,'packing mapping'!A:B,2,0)</f>
        <v>4</v>
      </c>
      <c r="I1281" s="137">
        <v>916272</v>
      </c>
      <c r="J1281" s="132">
        <f t="shared" si="39"/>
        <v>229068</v>
      </c>
    </row>
    <row r="1282" spans="1:10">
      <c r="A1282" s="115" t="s">
        <v>237</v>
      </c>
      <c r="B1282" s="115" t="s">
        <v>238</v>
      </c>
      <c r="C1282" s="115" t="s">
        <v>1766</v>
      </c>
      <c r="D1282" s="115" t="s">
        <v>1767</v>
      </c>
      <c r="E1282" s="133" t="str">
        <f t="shared" si="38"/>
        <v>120000007482-1047 UE AF URT FLAT A</v>
      </c>
      <c r="F1282" s="133" t="s">
        <v>3314</v>
      </c>
      <c r="G1282" s="133" t="s">
        <v>3890</v>
      </c>
      <c r="H1282" s="133">
        <f>VLOOKUP(G1282,'packing mapping'!A:B,2,0)</f>
        <v>16</v>
      </c>
      <c r="I1282" s="137">
        <v>1361664</v>
      </c>
      <c r="J1282" s="132">
        <f t="shared" si="39"/>
        <v>85104</v>
      </c>
    </row>
    <row r="1283" spans="1:10">
      <c r="A1283" s="115" t="s">
        <v>237</v>
      </c>
      <c r="B1283" s="115" t="s">
        <v>238</v>
      </c>
      <c r="C1283" s="115" t="s">
        <v>2134</v>
      </c>
      <c r="D1283" s="115" t="s">
        <v>2135</v>
      </c>
      <c r="E1283" s="133" t="str">
        <f t="shared" ref="E1283:E1346" si="40">A1283&amp;F1283</f>
        <v>1200000074PCL-31300 YELLOW OG 16 AF VN</v>
      </c>
      <c r="F1283" s="133" t="s">
        <v>3483</v>
      </c>
      <c r="G1283" s="133" t="s">
        <v>3883</v>
      </c>
      <c r="H1283" s="133">
        <f>VLOOKUP(G1283,'packing mapping'!A:B,2,0)</f>
        <v>4</v>
      </c>
      <c r="I1283" s="137">
        <v>1472688</v>
      </c>
      <c r="J1283" s="132">
        <f t="shared" ref="J1283:J1346" si="41">I1283/H1283</f>
        <v>368172</v>
      </c>
    </row>
    <row r="1284" spans="1:10">
      <c r="A1284" s="115" t="s">
        <v>237</v>
      </c>
      <c r="B1284" s="115" t="s">
        <v>238</v>
      </c>
      <c r="C1284" s="115" t="s">
        <v>2136</v>
      </c>
      <c r="D1284" s="115" t="s">
        <v>2137</v>
      </c>
      <c r="E1284" s="133" t="str">
        <f t="shared" si="40"/>
        <v>1200000074PCL-31300 BLACK AF VN</v>
      </c>
      <c r="F1284" s="133" t="s">
        <v>3484</v>
      </c>
      <c r="G1284" s="133" t="s">
        <v>3883</v>
      </c>
      <c r="H1284" s="133">
        <f>VLOOKUP(G1284,'packing mapping'!A:B,2,0)</f>
        <v>4</v>
      </c>
      <c r="I1284" s="137">
        <v>1168128</v>
      </c>
      <c r="J1284" s="132">
        <f t="shared" si="41"/>
        <v>292032</v>
      </c>
    </row>
    <row r="1285" spans="1:10">
      <c r="A1285" s="115" t="s">
        <v>237</v>
      </c>
      <c r="B1285" s="115" t="s">
        <v>238</v>
      </c>
      <c r="C1285" s="115" t="s">
        <v>2138</v>
      </c>
      <c r="D1285" s="115" t="s">
        <v>2139</v>
      </c>
      <c r="E1285" s="133" t="str">
        <f t="shared" si="40"/>
        <v>1200000074PCL-31300 RED OB 35 AF VN</v>
      </c>
      <c r="F1285" s="133" t="s">
        <v>3485</v>
      </c>
      <c r="G1285" s="133" t="s">
        <v>3883</v>
      </c>
      <c r="H1285" s="133">
        <f>VLOOKUP(G1285,'packing mapping'!A:B,2,0)</f>
        <v>4</v>
      </c>
      <c r="I1285" s="137">
        <v>1314576</v>
      </c>
      <c r="J1285" s="132">
        <f t="shared" si="41"/>
        <v>328644</v>
      </c>
    </row>
    <row r="1286" spans="1:10">
      <c r="A1286" s="115" t="s">
        <v>237</v>
      </c>
      <c r="B1286" s="115" t="s">
        <v>238</v>
      </c>
      <c r="C1286" s="115" t="s">
        <v>2140</v>
      </c>
      <c r="D1286" s="115" t="s">
        <v>2141</v>
      </c>
      <c r="E1286" s="133" t="str">
        <f t="shared" si="40"/>
        <v>1200000074AL-090 VN</v>
      </c>
      <c r="F1286" s="133" t="s">
        <v>3486</v>
      </c>
      <c r="G1286" s="133" t="s">
        <v>3883</v>
      </c>
      <c r="H1286" s="133">
        <f>VLOOKUP(G1286,'packing mapping'!A:B,2,0)</f>
        <v>4</v>
      </c>
      <c r="I1286" s="137">
        <v>450576</v>
      </c>
      <c r="J1286" s="132">
        <f t="shared" si="41"/>
        <v>112644</v>
      </c>
    </row>
    <row r="1287" spans="1:10">
      <c r="A1287" s="115" t="s">
        <v>237</v>
      </c>
      <c r="B1287" s="115" t="s">
        <v>238</v>
      </c>
      <c r="C1287" s="115" t="s">
        <v>2142</v>
      </c>
      <c r="D1287" s="115" t="s">
        <v>2143</v>
      </c>
      <c r="E1287" s="133" t="str">
        <f t="shared" si="40"/>
        <v>120000007411-261 AF PU THINNER</v>
      </c>
      <c r="F1287" s="133" t="s">
        <v>3487</v>
      </c>
      <c r="G1287" s="133" t="s">
        <v>3880</v>
      </c>
      <c r="H1287" s="133">
        <f>VLOOKUP(G1287,'packing mapping'!A:B,2,0)</f>
        <v>20</v>
      </c>
      <c r="I1287" s="137">
        <v>1749600</v>
      </c>
      <c r="J1287" s="132">
        <f t="shared" si="41"/>
        <v>87480</v>
      </c>
    </row>
    <row r="1288" spans="1:10">
      <c r="A1288" s="115" t="s">
        <v>237</v>
      </c>
      <c r="B1288" s="115" t="s">
        <v>238</v>
      </c>
      <c r="C1288" s="115" t="s">
        <v>2144</v>
      </c>
      <c r="D1288" s="115" t="s">
        <v>2145</v>
      </c>
      <c r="E1288" s="133" t="str">
        <f t="shared" si="40"/>
        <v>120000007411-261 AF PU THINNER</v>
      </c>
      <c r="F1288" s="133" t="s">
        <v>3487</v>
      </c>
      <c r="G1288" s="133" t="s">
        <v>3884</v>
      </c>
      <c r="H1288" s="133">
        <f>VLOOKUP(G1288,'packing mapping'!A:B,2,0)</f>
        <v>200</v>
      </c>
      <c r="I1288" s="137">
        <v>16872000</v>
      </c>
      <c r="J1288" s="132">
        <f t="shared" si="41"/>
        <v>84360</v>
      </c>
    </row>
    <row r="1289" spans="1:10">
      <c r="A1289" s="115" t="s">
        <v>237</v>
      </c>
      <c r="B1289" s="115" t="s">
        <v>238</v>
      </c>
      <c r="C1289" s="115" t="s">
        <v>2146</v>
      </c>
      <c r="D1289" s="115" t="s">
        <v>2147</v>
      </c>
      <c r="E1289" s="133" t="str">
        <f t="shared" si="40"/>
        <v>120000007482-1039 UE AF URT FLAT A 5% VN</v>
      </c>
      <c r="F1289" s="133" t="s">
        <v>3488</v>
      </c>
      <c r="G1289" s="133" t="s">
        <v>3890</v>
      </c>
      <c r="H1289" s="133">
        <f>VLOOKUP(G1289,'packing mapping'!A:B,2,0)</f>
        <v>16</v>
      </c>
      <c r="I1289" s="137">
        <v>1518912</v>
      </c>
      <c r="J1289" s="132">
        <f t="shared" si="41"/>
        <v>94932</v>
      </c>
    </row>
    <row r="1290" spans="1:10">
      <c r="A1290" s="115" t="s">
        <v>237</v>
      </c>
      <c r="B1290" s="115" t="s">
        <v>238</v>
      </c>
      <c r="C1290" s="115" t="s">
        <v>2148</v>
      </c>
      <c r="D1290" s="115" t="s">
        <v>2149</v>
      </c>
      <c r="E1290" s="133" t="str">
        <f t="shared" si="40"/>
        <v>120000007482-4169 UE AF URT WHITE A VN</v>
      </c>
      <c r="F1290" s="133" t="s">
        <v>3489</v>
      </c>
      <c r="G1290" s="133" t="s">
        <v>3890</v>
      </c>
      <c r="H1290" s="133">
        <f>VLOOKUP(G1290,'packing mapping'!A:B,2,0)</f>
        <v>16</v>
      </c>
      <c r="I1290" s="137">
        <v>1918080</v>
      </c>
      <c r="J1290" s="132">
        <f t="shared" si="41"/>
        <v>119880</v>
      </c>
    </row>
    <row r="1291" spans="1:10">
      <c r="A1291" s="115" t="s">
        <v>237</v>
      </c>
      <c r="B1291" s="115" t="s">
        <v>238</v>
      </c>
      <c r="C1291" s="115" t="s">
        <v>2150</v>
      </c>
      <c r="D1291" s="115" t="s">
        <v>2151</v>
      </c>
      <c r="E1291" s="133" t="str">
        <f t="shared" si="40"/>
        <v>1200000074AL-091 VN</v>
      </c>
      <c r="F1291" s="133" t="s">
        <v>3490</v>
      </c>
      <c r="G1291" s="133" t="s">
        <v>3883</v>
      </c>
      <c r="H1291" s="133">
        <f>VLOOKUP(G1291,'packing mapping'!A:B,2,0)</f>
        <v>4</v>
      </c>
      <c r="I1291" s="137">
        <v>588384</v>
      </c>
      <c r="J1291" s="132">
        <f t="shared" si="41"/>
        <v>147096</v>
      </c>
    </row>
    <row r="1292" spans="1:10">
      <c r="A1292" s="115" t="s">
        <v>237</v>
      </c>
      <c r="B1292" s="115" t="s">
        <v>238</v>
      </c>
      <c r="C1292" s="115" t="s">
        <v>1770</v>
      </c>
      <c r="D1292" s="115" t="s">
        <v>1771</v>
      </c>
      <c r="E1292" s="133" t="str">
        <f t="shared" si="40"/>
        <v>1200000074THPU-71300 SB VN</v>
      </c>
      <c r="F1292" s="133" t="s">
        <v>3303</v>
      </c>
      <c r="G1292" s="133" t="s">
        <v>3880</v>
      </c>
      <c r="H1292" s="133">
        <f>VLOOKUP(G1292,'packing mapping'!A:B,2,0)</f>
        <v>20</v>
      </c>
      <c r="I1292" s="137">
        <v>1150000</v>
      </c>
      <c r="J1292" s="132">
        <f t="shared" si="41"/>
        <v>57500</v>
      </c>
    </row>
    <row r="1293" spans="1:10">
      <c r="A1293" s="115" t="s">
        <v>237</v>
      </c>
      <c r="B1293" s="115" t="s">
        <v>238</v>
      </c>
      <c r="C1293" s="115" t="s">
        <v>1416</v>
      </c>
      <c r="D1293" s="115" t="s">
        <v>1417</v>
      </c>
      <c r="E1293" s="133" t="str">
        <f t="shared" si="40"/>
        <v>1200000074THC-73100 102 VN</v>
      </c>
      <c r="F1293" s="133" t="s">
        <v>3111</v>
      </c>
      <c r="G1293" s="133" t="s">
        <v>3884</v>
      </c>
      <c r="H1293" s="133">
        <f>VLOOKUP(G1293,'packing mapping'!A:B,2,0)</f>
        <v>200</v>
      </c>
      <c r="I1293" s="137">
        <v>9000000</v>
      </c>
      <c r="J1293" s="132">
        <f t="shared" si="41"/>
        <v>45000</v>
      </c>
    </row>
    <row r="1294" spans="1:10">
      <c r="A1294" s="115" t="s">
        <v>237</v>
      </c>
      <c r="B1294" s="115" t="s">
        <v>238</v>
      </c>
      <c r="C1294" s="115" t="s">
        <v>2152</v>
      </c>
      <c r="D1294" s="115" t="s">
        <v>2153</v>
      </c>
      <c r="E1294" s="133" t="str">
        <f t="shared" si="40"/>
        <v>1200000074PST-12100 WHITE IS VN</v>
      </c>
      <c r="F1294" s="133" t="s">
        <v>3491</v>
      </c>
      <c r="G1294" s="133" t="s">
        <v>3883</v>
      </c>
      <c r="H1294" s="133">
        <f>VLOOKUP(G1294,'packing mapping'!A:B,2,0)</f>
        <v>4</v>
      </c>
      <c r="I1294" s="137">
        <v>795312</v>
      </c>
      <c r="J1294" s="132">
        <f t="shared" si="41"/>
        <v>198828</v>
      </c>
    </row>
    <row r="1295" spans="1:10">
      <c r="A1295" s="115" t="s">
        <v>237</v>
      </c>
      <c r="B1295" s="115" t="s">
        <v>238</v>
      </c>
      <c r="C1295" s="115" t="s">
        <v>2154</v>
      </c>
      <c r="D1295" s="115" t="s">
        <v>2155</v>
      </c>
      <c r="E1295" s="133" t="str">
        <f t="shared" si="40"/>
        <v>120000007482-1045 UE AF URT FLAT A</v>
      </c>
      <c r="F1295" s="133" t="s">
        <v>3492</v>
      </c>
      <c r="G1295" s="133" t="s">
        <v>3890</v>
      </c>
      <c r="H1295" s="133">
        <f>VLOOKUP(G1295,'packing mapping'!A:B,2,0)</f>
        <v>16</v>
      </c>
      <c r="I1295" s="137">
        <v>1491264</v>
      </c>
      <c r="J1295" s="132">
        <f t="shared" si="41"/>
        <v>93204</v>
      </c>
    </row>
    <row r="1296" spans="1:10">
      <c r="A1296" s="115" t="s">
        <v>237</v>
      </c>
      <c r="B1296" s="115" t="s">
        <v>238</v>
      </c>
      <c r="C1296" s="115" t="s">
        <v>2156</v>
      </c>
      <c r="D1296" s="115" t="s">
        <v>2157</v>
      </c>
      <c r="E1296" s="133" t="str">
        <f t="shared" si="40"/>
        <v>1200000074AL-092 VN</v>
      </c>
      <c r="F1296" s="133" t="s">
        <v>3493</v>
      </c>
      <c r="G1296" s="133" t="s">
        <v>3881</v>
      </c>
      <c r="H1296" s="133">
        <f>VLOOKUP(G1296,'packing mapping'!A:B,2,0)</f>
        <v>20</v>
      </c>
      <c r="I1296" s="137">
        <v>2285280</v>
      </c>
      <c r="J1296" s="132">
        <f t="shared" si="41"/>
        <v>114264</v>
      </c>
    </row>
    <row r="1297" spans="1:10">
      <c r="A1297" s="115" t="s">
        <v>237</v>
      </c>
      <c r="B1297" s="115" t="s">
        <v>238</v>
      </c>
      <c r="C1297" s="115" t="s">
        <v>2158</v>
      </c>
      <c r="D1297" s="115" t="s">
        <v>2159</v>
      </c>
      <c r="E1297" s="133" t="str">
        <f t="shared" si="40"/>
        <v>120000007482-1199 UE AF URT FLAT A VN</v>
      </c>
      <c r="F1297" s="133" t="s">
        <v>3494</v>
      </c>
      <c r="G1297" s="133" t="s">
        <v>3890</v>
      </c>
      <c r="H1297" s="133">
        <f>VLOOKUP(G1297,'packing mapping'!A:B,2,0)</f>
        <v>16</v>
      </c>
      <c r="I1297" s="137">
        <v>2052864</v>
      </c>
      <c r="J1297" s="132">
        <f t="shared" si="41"/>
        <v>128304</v>
      </c>
    </row>
    <row r="1298" spans="1:10">
      <c r="A1298" s="115" t="s">
        <v>237</v>
      </c>
      <c r="B1298" s="115" t="s">
        <v>238</v>
      </c>
      <c r="C1298" s="115" t="s">
        <v>2160</v>
      </c>
      <c r="D1298" s="115" t="s">
        <v>2161</v>
      </c>
      <c r="E1298" s="133" t="str">
        <f t="shared" si="40"/>
        <v>120000007411-260 AF PU THINNER HD</v>
      </c>
      <c r="F1298" s="133" t="s">
        <v>3469</v>
      </c>
      <c r="G1298" s="133" t="s">
        <v>3884</v>
      </c>
      <c r="H1298" s="133">
        <f>VLOOKUP(G1298,'packing mapping'!A:B,2,0)</f>
        <v>200</v>
      </c>
      <c r="I1298" s="137">
        <v>11232000</v>
      </c>
      <c r="J1298" s="132">
        <f t="shared" si="41"/>
        <v>56160</v>
      </c>
    </row>
    <row r="1299" spans="1:10">
      <c r="A1299" s="115" t="s">
        <v>237</v>
      </c>
      <c r="B1299" s="115" t="s">
        <v>238</v>
      </c>
      <c r="C1299" s="115" t="s">
        <v>2162</v>
      </c>
      <c r="D1299" s="115" t="s">
        <v>2163</v>
      </c>
      <c r="E1299" s="133" t="str">
        <f t="shared" si="40"/>
        <v>1200000074PCA-31100 ORANGE PASTE AF VN</v>
      </c>
      <c r="F1299" s="133" t="s">
        <v>3495</v>
      </c>
      <c r="G1299" s="133" t="s">
        <v>3883</v>
      </c>
      <c r="H1299" s="133">
        <f>VLOOKUP(G1299,'packing mapping'!A:B,2,0)</f>
        <v>4</v>
      </c>
      <c r="I1299" s="137">
        <v>1866240</v>
      </c>
      <c r="J1299" s="132">
        <f t="shared" si="41"/>
        <v>466560</v>
      </c>
    </row>
    <row r="1300" spans="1:10">
      <c r="A1300" s="115" t="s">
        <v>237</v>
      </c>
      <c r="B1300" s="115" t="s">
        <v>238</v>
      </c>
      <c r="C1300" s="115" t="s">
        <v>2164</v>
      </c>
      <c r="D1300" s="115" t="s">
        <v>2165</v>
      </c>
      <c r="E1300" s="133" t="str">
        <f t="shared" si="40"/>
        <v>1200000074PCA-31100 VIOLET OB PASTE AF VN</v>
      </c>
      <c r="F1300" s="133" t="s">
        <v>3496</v>
      </c>
      <c r="G1300" s="133" t="s">
        <v>3883</v>
      </c>
      <c r="H1300" s="133">
        <f>VLOOKUP(G1300,'packing mapping'!A:B,2,0)</f>
        <v>4</v>
      </c>
      <c r="I1300" s="137">
        <v>3138480</v>
      </c>
      <c r="J1300" s="132">
        <f t="shared" si="41"/>
        <v>784620</v>
      </c>
    </row>
    <row r="1301" spans="1:10">
      <c r="A1301" s="115" t="s">
        <v>237</v>
      </c>
      <c r="B1301" s="115" t="s">
        <v>238</v>
      </c>
      <c r="C1301" s="115" t="s">
        <v>2166</v>
      </c>
      <c r="D1301" s="115" t="s">
        <v>2167</v>
      </c>
      <c r="E1301" s="133" t="str">
        <f t="shared" si="40"/>
        <v>1200000074PCA-31100 BLUE OG PASTE AF VN</v>
      </c>
      <c r="F1301" s="133" t="s">
        <v>3497</v>
      </c>
      <c r="G1301" s="133" t="s">
        <v>3883</v>
      </c>
      <c r="H1301" s="133">
        <f>VLOOKUP(G1301,'packing mapping'!A:B,2,0)</f>
        <v>4</v>
      </c>
      <c r="I1301" s="137">
        <v>1443744</v>
      </c>
      <c r="J1301" s="132">
        <f t="shared" si="41"/>
        <v>360936</v>
      </c>
    </row>
    <row r="1302" spans="1:10">
      <c r="A1302" s="115" t="s">
        <v>237</v>
      </c>
      <c r="B1302" s="115" t="s">
        <v>238</v>
      </c>
      <c r="C1302" s="115" t="s">
        <v>2168</v>
      </c>
      <c r="D1302" s="115" t="s">
        <v>2169</v>
      </c>
      <c r="E1302" s="133" t="str">
        <f t="shared" si="40"/>
        <v>1200000074PCA-31100 GREEN OB PASTE AF VN</v>
      </c>
      <c r="F1302" s="133" t="s">
        <v>3498</v>
      </c>
      <c r="G1302" s="133" t="s">
        <v>3883</v>
      </c>
      <c r="H1302" s="133">
        <f>VLOOKUP(G1302,'packing mapping'!A:B,2,0)</f>
        <v>4</v>
      </c>
      <c r="I1302" s="137">
        <v>1520208</v>
      </c>
      <c r="J1302" s="132">
        <f t="shared" si="41"/>
        <v>380052</v>
      </c>
    </row>
    <row r="1303" spans="1:10">
      <c r="A1303" s="115" t="s">
        <v>237</v>
      </c>
      <c r="B1303" s="115" t="s">
        <v>238</v>
      </c>
      <c r="C1303" s="115" t="s">
        <v>2170</v>
      </c>
      <c r="D1303" s="115" t="s">
        <v>2171</v>
      </c>
      <c r="E1303" s="133" t="str">
        <f t="shared" si="40"/>
        <v>120000007482-2028 UE AF URT SANDING A VN</v>
      </c>
      <c r="F1303" s="133" t="s">
        <v>3499</v>
      </c>
      <c r="G1303" s="133" t="s">
        <v>3890</v>
      </c>
      <c r="H1303" s="133">
        <f>VLOOKUP(G1303,'packing mapping'!A:B,2,0)</f>
        <v>16</v>
      </c>
      <c r="I1303" s="137">
        <v>1283904</v>
      </c>
      <c r="J1303" s="132">
        <f t="shared" si="41"/>
        <v>80244</v>
      </c>
    </row>
    <row r="1304" spans="1:10">
      <c r="A1304" s="115" t="s">
        <v>237</v>
      </c>
      <c r="B1304" s="115" t="s">
        <v>238</v>
      </c>
      <c r="C1304" s="115" t="s">
        <v>2172</v>
      </c>
      <c r="D1304" s="115" t="s">
        <v>2173</v>
      </c>
      <c r="E1304" s="133" t="str">
        <f t="shared" si="40"/>
        <v>1200000074PCL-31300 BROWN 645 PASTE AF VN</v>
      </c>
      <c r="F1304" s="133" t="s">
        <v>3500</v>
      </c>
      <c r="G1304" s="133" t="s">
        <v>3883</v>
      </c>
      <c r="H1304" s="133">
        <f>VLOOKUP(G1304,'packing mapping'!A:B,2,0)</f>
        <v>4</v>
      </c>
      <c r="I1304" s="137">
        <v>918864</v>
      </c>
      <c r="J1304" s="132">
        <f t="shared" si="41"/>
        <v>229716</v>
      </c>
    </row>
    <row r="1305" spans="1:10">
      <c r="A1305" s="115" t="s">
        <v>237</v>
      </c>
      <c r="B1305" s="115" t="s">
        <v>238</v>
      </c>
      <c r="C1305" s="115" t="s">
        <v>2174</v>
      </c>
      <c r="D1305" s="115" t="s">
        <v>2175</v>
      </c>
      <c r="E1305" s="133" t="str">
        <f t="shared" si="40"/>
        <v>120000007411-260-2 AF PU THINNER</v>
      </c>
      <c r="F1305" s="133" t="s">
        <v>3501</v>
      </c>
      <c r="G1305" s="133" t="s">
        <v>3898</v>
      </c>
      <c r="H1305" s="133">
        <f>VLOOKUP(G1305,'packing mapping'!A:B,2,0)</f>
        <v>30</v>
      </c>
      <c r="I1305" s="137">
        <v>1627200</v>
      </c>
      <c r="J1305" s="132">
        <f t="shared" si="41"/>
        <v>54240</v>
      </c>
    </row>
    <row r="1306" spans="1:10">
      <c r="A1306" s="115" t="s">
        <v>237</v>
      </c>
      <c r="B1306" s="115" t="s">
        <v>238</v>
      </c>
      <c r="C1306" s="115" t="s">
        <v>2176</v>
      </c>
      <c r="D1306" s="115" t="s">
        <v>2177</v>
      </c>
      <c r="E1306" s="133" t="str">
        <f t="shared" si="40"/>
        <v>1200000074PG-13900 WHITE 02 VN</v>
      </c>
      <c r="F1306" s="133" t="s">
        <v>3502</v>
      </c>
      <c r="G1306" s="133" t="s">
        <v>3881</v>
      </c>
      <c r="H1306" s="133">
        <f>VLOOKUP(G1306,'packing mapping'!A:B,2,0)</f>
        <v>20</v>
      </c>
      <c r="I1306" s="137">
        <v>1840000</v>
      </c>
      <c r="J1306" s="132">
        <f t="shared" si="41"/>
        <v>92000</v>
      </c>
    </row>
    <row r="1307" spans="1:10">
      <c r="A1307" s="115" t="s">
        <v>237</v>
      </c>
      <c r="B1307" s="115" t="s">
        <v>238</v>
      </c>
      <c r="C1307" s="115" t="s">
        <v>2178</v>
      </c>
      <c r="D1307" s="115" t="s">
        <v>2179</v>
      </c>
      <c r="E1307" s="133" t="str">
        <f t="shared" si="40"/>
        <v>120000007464-013 PU ANTI ABRASIVE</v>
      </c>
      <c r="F1307" s="133" t="s">
        <v>3503</v>
      </c>
      <c r="G1307" s="133" t="s">
        <v>3886</v>
      </c>
      <c r="H1307" s="133">
        <f>VLOOKUP(G1307,'packing mapping'!A:B,2,0)</f>
        <v>5</v>
      </c>
      <c r="I1307" s="137">
        <v>4085500</v>
      </c>
      <c r="J1307" s="132">
        <f t="shared" si="41"/>
        <v>817100</v>
      </c>
    </row>
    <row r="1308" spans="1:10">
      <c r="A1308" s="115" t="s">
        <v>999</v>
      </c>
      <c r="B1308" s="115" t="s">
        <v>1000</v>
      </c>
      <c r="C1308" s="115" t="s">
        <v>1192</v>
      </c>
      <c r="D1308" s="115" t="s">
        <v>1193</v>
      </c>
      <c r="E1308" s="133" t="str">
        <f t="shared" si="40"/>
        <v>1200001042PCL-31300 BLACK PASTE</v>
      </c>
      <c r="F1308" s="133" t="s">
        <v>3050</v>
      </c>
      <c r="G1308" s="133" t="s">
        <v>3883</v>
      </c>
      <c r="H1308" s="133">
        <f>VLOOKUP(G1308,'packing mapping'!A:B,2,0)</f>
        <v>4</v>
      </c>
      <c r="I1308" s="137">
        <v>2181480</v>
      </c>
      <c r="J1308" s="132">
        <f t="shared" si="41"/>
        <v>545370</v>
      </c>
    </row>
    <row r="1309" spans="1:10">
      <c r="A1309" s="115" t="s">
        <v>999</v>
      </c>
      <c r="B1309" s="115" t="s">
        <v>1000</v>
      </c>
      <c r="C1309" s="115" t="s">
        <v>1200</v>
      </c>
      <c r="D1309" s="115" t="s">
        <v>1201</v>
      </c>
      <c r="E1309" s="133" t="str">
        <f t="shared" si="40"/>
        <v>1200001042PCL-31300 RED OB 35 PASTE</v>
      </c>
      <c r="F1309" s="133" t="s">
        <v>3054</v>
      </c>
      <c r="G1309" s="133" t="s">
        <v>3883</v>
      </c>
      <c r="H1309" s="133">
        <f>VLOOKUP(G1309,'packing mapping'!A:B,2,0)</f>
        <v>4</v>
      </c>
      <c r="I1309" s="137">
        <v>1406160</v>
      </c>
      <c r="J1309" s="132">
        <f t="shared" si="41"/>
        <v>351540</v>
      </c>
    </row>
    <row r="1310" spans="1:10">
      <c r="A1310" s="115" t="s">
        <v>999</v>
      </c>
      <c r="B1310" s="115" t="s">
        <v>1000</v>
      </c>
      <c r="C1310" s="115" t="s">
        <v>1204</v>
      </c>
      <c r="D1310" s="115" t="s">
        <v>1205</v>
      </c>
      <c r="E1310" s="133" t="str">
        <f t="shared" si="40"/>
        <v>1200001042PCL-31300 YELLOW OG 16 PASTE</v>
      </c>
      <c r="F1310" s="133" t="s">
        <v>3056</v>
      </c>
      <c r="G1310" s="133" t="s">
        <v>3883</v>
      </c>
      <c r="H1310" s="133">
        <f>VLOOKUP(G1310,'packing mapping'!A:B,2,0)</f>
        <v>4</v>
      </c>
      <c r="I1310" s="137">
        <v>3563280</v>
      </c>
      <c r="J1310" s="132">
        <f t="shared" si="41"/>
        <v>890820</v>
      </c>
    </row>
    <row r="1311" spans="1:10">
      <c r="A1311" s="115" t="s">
        <v>999</v>
      </c>
      <c r="B1311" s="115" t="s">
        <v>1000</v>
      </c>
      <c r="C1311" s="115" t="s">
        <v>1388</v>
      </c>
      <c r="D1311" s="115" t="s">
        <v>1389</v>
      </c>
      <c r="E1311" s="133" t="str">
        <f t="shared" si="40"/>
        <v>1200001042PUC-54205 AC WHITE 10 VN</v>
      </c>
      <c r="F1311" s="133" t="s">
        <v>3144</v>
      </c>
      <c r="G1311" s="133" t="s">
        <v>3881</v>
      </c>
      <c r="H1311" s="133">
        <f>VLOOKUP(G1311,'packing mapping'!A:B,2,0)</f>
        <v>20</v>
      </c>
      <c r="I1311" s="137">
        <v>3068200</v>
      </c>
      <c r="J1311" s="132">
        <f t="shared" si="41"/>
        <v>153410</v>
      </c>
    </row>
    <row r="1312" spans="1:10">
      <c r="A1312" s="115" t="s">
        <v>999</v>
      </c>
      <c r="B1312" s="115" t="s">
        <v>1000</v>
      </c>
      <c r="C1312" s="115" t="s">
        <v>1210</v>
      </c>
      <c r="D1312" s="115" t="s">
        <v>1211</v>
      </c>
      <c r="E1312" s="133" t="str">
        <f t="shared" si="40"/>
        <v>1200001042PUH-56306 LY VN</v>
      </c>
      <c r="F1312" s="133" t="s">
        <v>3059</v>
      </c>
      <c r="G1312" s="133" t="s">
        <v>3879</v>
      </c>
      <c r="H1312" s="133">
        <f>VLOOKUP(G1312,'packing mapping'!A:B,2,0)</f>
        <v>20</v>
      </c>
      <c r="I1312" s="137">
        <v>2602000</v>
      </c>
      <c r="J1312" s="132">
        <f t="shared" si="41"/>
        <v>130100</v>
      </c>
    </row>
    <row r="1313" spans="1:10">
      <c r="A1313" s="115" t="s">
        <v>999</v>
      </c>
      <c r="B1313" s="115" t="s">
        <v>1000</v>
      </c>
      <c r="C1313" s="115" t="s">
        <v>1168</v>
      </c>
      <c r="D1313" s="115" t="s">
        <v>1169</v>
      </c>
      <c r="E1313" s="133" t="str">
        <f t="shared" si="40"/>
        <v>1200001042PUL-51339 CLEAR 10 VN</v>
      </c>
      <c r="F1313" s="133" t="s">
        <v>3038</v>
      </c>
      <c r="G1313" s="133" t="s">
        <v>3879</v>
      </c>
      <c r="H1313" s="133">
        <f>VLOOKUP(G1313,'packing mapping'!A:B,2,0)</f>
        <v>20</v>
      </c>
      <c r="I1313" s="137">
        <v>1825000</v>
      </c>
      <c r="J1313" s="132">
        <f t="shared" si="41"/>
        <v>91250</v>
      </c>
    </row>
    <row r="1314" spans="1:10">
      <c r="A1314" s="115" t="s">
        <v>999</v>
      </c>
      <c r="B1314" s="115" t="s">
        <v>1000</v>
      </c>
      <c r="C1314" s="115" t="s">
        <v>1396</v>
      </c>
      <c r="D1314" s="115" t="s">
        <v>1397</v>
      </c>
      <c r="E1314" s="133" t="str">
        <f t="shared" si="40"/>
        <v>1200001042PUL-53306 AC EX CLEAR 10 VN</v>
      </c>
      <c r="F1314" s="133" t="s">
        <v>3148</v>
      </c>
      <c r="G1314" s="133" t="s">
        <v>3879</v>
      </c>
      <c r="H1314" s="133">
        <f>VLOOKUP(G1314,'packing mapping'!A:B,2,0)</f>
        <v>20</v>
      </c>
      <c r="I1314" s="137">
        <v>3215200</v>
      </c>
      <c r="J1314" s="132">
        <f t="shared" si="41"/>
        <v>160760</v>
      </c>
    </row>
    <row r="1315" spans="1:10">
      <c r="A1315" s="115" t="s">
        <v>999</v>
      </c>
      <c r="B1315" s="115" t="s">
        <v>1000</v>
      </c>
      <c r="C1315" s="115" t="s">
        <v>1478</v>
      </c>
      <c r="D1315" s="115" t="s">
        <v>1479</v>
      </c>
      <c r="E1315" s="133" t="str">
        <f t="shared" si="40"/>
        <v>1200001042PUSS-51241 VN</v>
      </c>
      <c r="F1315" s="133" t="s">
        <v>3185</v>
      </c>
      <c r="G1315" s="133" t="s">
        <v>3881</v>
      </c>
      <c r="H1315" s="133">
        <f>VLOOKUP(G1315,'packing mapping'!A:B,2,0)</f>
        <v>20</v>
      </c>
      <c r="I1315" s="137">
        <v>1812400</v>
      </c>
      <c r="J1315" s="132">
        <f t="shared" si="41"/>
        <v>90620</v>
      </c>
    </row>
    <row r="1316" spans="1:10">
      <c r="A1316" s="115" t="s">
        <v>999</v>
      </c>
      <c r="B1316" s="115" t="s">
        <v>1000</v>
      </c>
      <c r="C1316" s="115" t="s">
        <v>1218</v>
      </c>
      <c r="D1316" s="115" t="s">
        <v>1219</v>
      </c>
      <c r="E1316" s="133" t="str">
        <f t="shared" si="40"/>
        <v>1200001042PUSS-53206 AC EX VN</v>
      </c>
      <c r="F1316" s="133" t="s">
        <v>3063</v>
      </c>
      <c r="G1316" s="133" t="s">
        <v>3881</v>
      </c>
      <c r="H1316" s="133">
        <f>VLOOKUP(G1316,'packing mapping'!A:B,2,0)</f>
        <v>20</v>
      </c>
      <c r="I1316" s="137">
        <v>2133600</v>
      </c>
      <c r="J1316" s="132">
        <f t="shared" si="41"/>
        <v>106680</v>
      </c>
    </row>
    <row r="1317" spans="1:10">
      <c r="A1317" s="115" t="s">
        <v>999</v>
      </c>
      <c r="B1317" s="115" t="s">
        <v>1000</v>
      </c>
      <c r="C1317" s="115" t="s">
        <v>1220</v>
      </c>
      <c r="D1317" s="115" t="s">
        <v>1221</v>
      </c>
      <c r="E1317" s="133" t="str">
        <f t="shared" si="40"/>
        <v>1200001042SST-11100 C10 BLACK</v>
      </c>
      <c r="F1317" s="133" t="s">
        <v>3064</v>
      </c>
      <c r="G1317" s="133" t="s">
        <v>3883</v>
      </c>
      <c r="H1317" s="133">
        <f>VLOOKUP(G1317,'packing mapping'!A:B,2,0)</f>
        <v>4</v>
      </c>
      <c r="I1317" s="137">
        <v>824040</v>
      </c>
      <c r="J1317" s="132">
        <f t="shared" si="41"/>
        <v>206010</v>
      </c>
    </row>
    <row r="1318" spans="1:10">
      <c r="A1318" s="115" t="s">
        <v>999</v>
      </c>
      <c r="B1318" s="115" t="s">
        <v>1000</v>
      </c>
      <c r="C1318" s="115" t="s">
        <v>1222</v>
      </c>
      <c r="D1318" s="115" t="s">
        <v>1223</v>
      </c>
      <c r="E1318" s="133" t="str">
        <f t="shared" si="40"/>
        <v>1200001042SST-11100 C10 BLUE</v>
      </c>
      <c r="F1318" s="133" t="s">
        <v>3065</v>
      </c>
      <c r="G1318" s="133" t="s">
        <v>3883</v>
      </c>
      <c r="H1318" s="133">
        <f>VLOOKUP(G1318,'packing mapping'!A:B,2,0)</f>
        <v>4</v>
      </c>
      <c r="I1318" s="137">
        <v>1671200</v>
      </c>
      <c r="J1318" s="132">
        <f t="shared" si="41"/>
        <v>417800</v>
      </c>
    </row>
    <row r="1319" spans="1:10">
      <c r="A1319" s="115" t="s">
        <v>999</v>
      </c>
      <c r="B1319" s="115" t="s">
        <v>1000</v>
      </c>
      <c r="C1319" s="115" t="s">
        <v>1226</v>
      </c>
      <c r="D1319" s="115" t="s">
        <v>1227</v>
      </c>
      <c r="E1319" s="133" t="str">
        <f t="shared" si="40"/>
        <v>1200001042SST-11100 C10 RED</v>
      </c>
      <c r="F1319" s="133" t="s">
        <v>3067</v>
      </c>
      <c r="G1319" s="133" t="s">
        <v>3883</v>
      </c>
      <c r="H1319" s="133">
        <f>VLOOKUP(G1319,'packing mapping'!A:B,2,0)</f>
        <v>4</v>
      </c>
      <c r="I1319" s="137">
        <v>1062600</v>
      </c>
      <c r="J1319" s="132">
        <f t="shared" si="41"/>
        <v>265650</v>
      </c>
    </row>
    <row r="1320" spans="1:10">
      <c r="A1320" s="115" t="s">
        <v>999</v>
      </c>
      <c r="B1320" s="115" t="s">
        <v>1000</v>
      </c>
      <c r="C1320" s="115" t="s">
        <v>1228</v>
      </c>
      <c r="D1320" s="115" t="s">
        <v>1229</v>
      </c>
      <c r="E1320" s="133" t="str">
        <f t="shared" si="40"/>
        <v>1200001042SST-11100 C10 YELLOW</v>
      </c>
      <c r="F1320" s="133" t="s">
        <v>3068</v>
      </c>
      <c r="G1320" s="133" t="s">
        <v>3883</v>
      </c>
      <c r="H1320" s="133">
        <f>VLOOKUP(G1320,'packing mapping'!A:B,2,0)</f>
        <v>4</v>
      </c>
      <c r="I1320" s="137">
        <v>742560</v>
      </c>
      <c r="J1320" s="132">
        <f t="shared" si="41"/>
        <v>185640</v>
      </c>
    </row>
    <row r="1321" spans="1:10">
      <c r="A1321" s="115" t="s">
        <v>999</v>
      </c>
      <c r="B1321" s="115" t="s">
        <v>1000</v>
      </c>
      <c r="C1321" s="115" t="s">
        <v>1402</v>
      </c>
      <c r="D1321" s="115" t="s">
        <v>1403</v>
      </c>
      <c r="E1321" s="133" t="str">
        <f t="shared" si="40"/>
        <v>1200001042THC-73100-007 VN</v>
      </c>
      <c r="F1321" s="133" t="s">
        <v>3150</v>
      </c>
      <c r="G1321" s="133" t="s">
        <v>3880</v>
      </c>
      <c r="H1321" s="133">
        <f>VLOOKUP(G1321,'packing mapping'!A:B,2,0)</f>
        <v>20</v>
      </c>
      <c r="I1321" s="137">
        <v>1506400</v>
      </c>
      <c r="J1321" s="132">
        <f t="shared" si="41"/>
        <v>75320</v>
      </c>
    </row>
    <row r="1322" spans="1:10">
      <c r="A1322" s="115" t="s">
        <v>999</v>
      </c>
      <c r="B1322" s="115" t="s">
        <v>1000</v>
      </c>
      <c r="C1322" s="115" t="s">
        <v>1232</v>
      </c>
      <c r="D1322" s="115" t="s">
        <v>1233</v>
      </c>
      <c r="E1322" s="133" t="str">
        <f t="shared" si="40"/>
        <v>1200001042THC-73100-201 VN</v>
      </c>
      <c r="F1322" s="133" t="s">
        <v>3070</v>
      </c>
      <c r="G1322" s="133" t="s">
        <v>3880</v>
      </c>
      <c r="H1322" s="133">
        <f>VLOOKUP(G1322,'packing mapping'!A:B,2,0)</f>
        <v>20</v>
      </c>
      <c r="I1322" s="137">
        <v>984000</v>
      </c>
      <c r="J1322" s="132">
        <f t="shared" si="41"/>
        <v>49200</v>
      </c>
    </row>
    <row r="1323" spans="1:10">
      <c r="A1323" s="115" t="s">
        <v>999</v>
      </c>
      <c r="B1323" s="115" t="s">
        <v>1000</v>
      </c>
      <c r="C1323" s="115" t="s">
        <v>1734</v>
      </c>
      <c r="D1323" s="115" t="s">
        <v>1735</v>
      </c>
      <c r="E1323" s="133" t="str">
        <f t="shared" si="40"/>
        <v>1200001042THC-73100-252 VN</v>
      </c>
      <c r="F1323" s="133" t="s">
        <v>3301</v>
      </c>
      <c r="G1323" s="133" t="s">
        <v>3880</v>
      </c>
      <c r="H1323" s="133">
        <f>VLOOKUP(G1323,'packing mapping'!A:B,2,0)</f>
        <v>20</v>
      </c>
      <c r="I1323" s="137">
        <v>1334400</v>
      </c>
      <c r="J1323" s="132">
        <f t="shared" si="41"/>
        <v>66720</v>
      </c>
    </row>
    <row r="1324" spans="1:10">
      <c r="A1324" s="115" t="s">
        <v>999</v>
      </c>
      <c r="B1324" s="115" t="s">
        <v>1000</v>
      </c>
      <c r="C1324" s="115" t="s">
        <v>1238</v>
      </c>
      <c r="D1324" s="115" t="s">
        <v>1239</v>
      </c>
      <c r="E1324" s="133" t="str">
        <f t="shared" si="40"/>
        <v>1200001042THGZ-72200 VN</v>
      </c>
      <c r="F1324" s="133" t="s">
        <v>3073</v>
      </c>
      <c r="G1324" s="133" t="s">
        <v>3880</v>
      </c>
      <c r="H1324" s="133">
        <f>VLOOKUP(G1324,'packing mapping'!A:B,2,0)</f>
        <v>20</v>
      </c>
      <c r="I1324" s="137">
        <v>1539200</v>
      </c>
      <c r="J1324" s="132">
        <f t="shared" si="41"/>
        <v>76960</v>
      </c>
    </row>
    <row r="1325" spans="1:10">
      <c r="A1325" s="115" t="s">
        <v>999</v>
      </c>
      <c r="B1325" s="115" t="s">
        <v>1000</v>
      </c>
      <c r="C1325" s="115" t="s">
        <v>1242</v>
      </c>
      <c r="D1325" s="115" t="s">
        <v>1243</v>
      </c>
      <c r="E1325" s="133" t="str">
        <f t="shared" si="40"/>
        <v>1200001042THPU-71306 ST VN</v>
      </c>
      <c r="F1325" s="133" t="s">
        <v>3039</v>
      </c>
      <c r="G1325" s="133" t="s">
        <v>3884</v>
      </c>
      <c r="H1325" s="133">
        <f>VLOOKUP(G1325,'packing mapping'!A:B,2,0)</f>
        <v>200</v>
      </c>
      <c r="I1325" s="137">
        <v>10584000</v>
      </c>
      <c r="J1325" s="132">
        <f t="shared" si="41"/>
        <v>52920</v>
      </c>
    </row>
    <row r="1326" spans="1:10">
      <c r="A1326" s="115" t="s">
        <v>999</v>
      </c>
      <c r="B1326" s="115" t="s">
        <v>1000</v>
      </c>
      <c r="C1326" s="115" t="s">
        <v>1170</v>
      </c>
      <c r="D1326" s="115" t="s">
        <v>1171</v>
      </c>
      <c r="E1326" s="133" t="str">
        <f t="shared" si="40"/>
        <v>1200001042THPU-71306 ST VN</v>
      </c>
      <c r="F1326" s="133" t="s">
        <v>3039</v>
      </c>
      <c r="G1326" s="133" t="s">
        <v>3880</v>
      </c>
      <c r="H1326" s="133">
        <f>VLOOKUP(G1326,'packing mapping'!A:B,2,0)</f>
        <v>20</v>
      </c>
      <c r="I1326" s="137">
        <v>1173600</v>
      </c>
      <c r="J1326" s="132">
        <f t="shared" si="41"/>
        <v>58680</v>
      </c>
    </row>
    <row r="1327" spans="1:10">
      <c r="A1327" s="115" t="s">
        <v>999</v>
      </c>
      <c r="B1327" s="115" t="s">
        <v>1000</v>
      </c>
      <c r="C1327" s="115" t="s">
        <v>1244</v>
      </c>
      <c r="D1327" s="115" t="s">
        <v>1245</v>
      </c>
      <c r="E1327" s="133" t="str">
        <f t="shared" si="40"/>
        <v>1200001042TOL-76114 W VN</v>
      </c>
      <c r="F1327" s="133" t="s">
        <v>3075</v>
      </c>
      <c r="G1327" s="133" t="s">
        <v>3880</v>
      </c>
      <c r="H1327" s="133">
        <f>VLOOKUP(G1327,'packing mapping'!A:B,2,0)</f>
        <v>20</v>
      </c>
      <c r="I1327" s="137">
        <v>2236000</v>
      </c>
      <c r="J1327" s="132">
        <f t="shared" si="41"/>
        <v>111800</v>
      </c>
    </row>
    <row r="1328" spans="1:10">
      <c r="A1328" s="115" t="s">
        <v>999</v>
      </c>
      <c r="B1328" s="115" t="s">
        <v>1000</v>
      </c>
      <c r="C1328" s="115" t="s">
        <v>1546</v>
      </c>
      <c r="D1328" s="115" t="s">
        <v>1547</v>
      </c>
      <c r="E1328" s="133" t="str">
        <f t="shared" si="40"/>
        <v>1200001042TOL-76301 N CLEAR BASE VN</v>
      </c>
      <c r="F1328" s="133" t="s">
        <v>3213</v>
      </c>
      <c r="G1328" s="133" t="s">
        <v>3880</v>
      </c>
      <c r="H1328" s="133">
        <f>VLOOKUP(G1328,'packing mapping'!A:B,2,0)</f>
        <v>20</v>
      </c>
      <c r="I1328" s="137">
        <v>2186000</v>
      </c>
      <c r="J1328" s="132">
        <f t="shared" si="41"/>
        <v>109300</v>
      </c>
    </row>
    <row r="1329" spans="1:10">
      <c r="A1329" s="115" t="s">
        <v>999</v>
      </c>
      <c r="B1329" s="115" t="s">
        <v>1000</v>
      </c>
      <c r="C1329" s="115" t="s">
        <v>1260</v>
      </c>
      <c r="D1329" s="115" t="s">
        <v>1261</v>
      </c>
      <c r="E1329" s="133" t="str">
        <f t="shared" si="40"/>
        <v>1200001042NCL-11329 LC CLEAR 05 VN</v>
      </c>
      <c r="F1329" s="133" t="s">
        <v>3083</v>
      </c>
      <c r="G1329" s="133" t="s">
        <v>3879</v>
      </c>
      <c r="H1329" s="133">
        <f>VLOOKUP(G1329,'packing mapping'!A:B,2,0)</f>
        <v>20</v>
      </c>
      <c r="I1329" s="137">
        <v>2442400</v>
      </c>
      <c r="J1329" s="132">
        <f t="shared" si="41"/>
        <v>122120</v>
      </c>
    </row>
    <row r="1330" spans="1:10">
      <c r="A1330" s="115" t="s">
        <v>999</v>
      </c>
      <c r="B1330" s="115" t="s">
        <v>1000</v>
      </c>
      <c r="C1330" s="115" t="s">
        <v>1272</v>
      </c>
      <c r="D1330" s="115" t="s">
        <v>1273</v>
      </c>
      <c r="E1330" s="133" t="str">
        <f t="shared" si="40"/>
        <v>1200001042NCSS-11229 LC VN</v>
      </c>
      <c r="F1330" s="133" t="s">
        <v>3089</v>
      </c>
      <c r="G1330" s="133" t="s">
        <v>3879</v>
      </c>
      <c r="H1330" s="133">
        <f>VLOOKUP(G1330,'packing mapping'!A:B,2,0)</f>
        <v>20</v>
      </c>
      <c r="I1330" s="137">
        <v>2312600</v>
      </c>
      <c r="J1330" s="132">
        <f t="shared" si="41"/>
        <v>115630</v>
      </c>
    </row>
    <row r="1331" spans="1:10">
      <c r="A1331" s="115" t="s">
        <v>999</v>
      </c>
      <c r="B1331" s="115" t="s">
        <v>1000</v>
      </c>
      <c r="C1331" s="115" t="s">
        <v>1172</v>
      </c>
      <c r="D1331" s="115" t="s">
        <v>1173</v>
      </c>
      <c r="E1331" s="133" t="str">
        <f t="shared" si="40"/>
        <v>1200001042PUH-56135 S VN</v>
      </c>
      <c r="F1331" s="133" t="s">
        <v>3040</v>
      </c>
      <c r="G1331" s="133" t="s">
        <v>3881</v>
      </c>
      <c r="H1331" s="133">
        <f>VLOOKUP(G1331,'packing mapping'!A:B,2,0)</f>
        <v>20</v>
      </c>
      <c r="I1331" s="137">
        <v>1915200</v>
      </c>
      <c r="J1331" s="132">
        <f t="shared" si="41"/>
        <v>95760</v>
      </c>
    </row>
    <row r="1332" spans="1:10">
      <c r="A1332" s="115" t="s">
        <v>999</v>
      </c>
      <c r="B1332" s="115" t="s">
        <v>1000</v>
      </c>
      <c r="C1332" s="115" t="s">
        <v>1174</v>
      </c>
      <c r="D1332" s="115" t="s">
        <v>1175</v>
      </c>
      <c r="E1332" s="133" t="str">
        <f t="shared" si="40"/>
        <v>1200001042PUH-56139 VN</v>
      </c>
      <c r="F1332" s="133" t="s">
        <v>3041</v>
      </c>
      <c r="G1332" s="133" t="s">
        <v>3881</v>
      </c>
      <c r="H1332" s="133">
        <f>VLOOKUP(G1332,'packing mapping'!A:B,2,0)</f>
        <v>20</v>
      </c>
      <c r="I1332" s="137">
        <v>2091600</v>
      </c>
      <c r="J1332" s="132">
        <f t="shared" si="41"/>
        <v>104580</v>
      </c>
    </row>
    <row r="1333" spans="1:10">
      <c r="A1333" s="115" t="s">
        <v>999</v>
      </c>
      <c r="B1333" s="115" t="s">
        <v>1000</v>
      </c>
      <c r="C1333" s="115" t="s">
        <v>1292</v>
      </c>
      <c r="D1333" s="115" t="s">
        <v>1293</v>
      </c>
      <c r="E1333" s="133" t="str">
        <f t="shared" si="40"/>
        <v>1200001042PUP-52135 WHITE VN</v>
      </c>
      <c r="F1333" s="133" t="s">
        <v>3098</v>
      </c>
      <c r="G1333" s="133" t="s">
        <v>3881</v>
      </c>
      <c r="H1333" s="133">
        <f>VLOOKUP(G1333,'packing mapping'!A:B,2,0)</f>
        <v>20</v>
      </c>
      <c r="I1333" s="137">
        <v>1982400</v>
      </c>
      <c r="J1333" s="132">
        <f t="shared" si="41"/>
        <v>99120</v>
      </c>
    </row>
    <row r="1334" spans="1:10">
      <c r="A1334" s="115" t="s">
        <v>999</v>
      </c>
      <c r="B1334" s="115" t="s">
        <v>1000</v>
      </c>
      <c r="C1334" s="115" t="s">
        <v>1298</v>
      </c>
      <c r="D1334" s="115" t="s">
        <v>1299</v>
      </c>
      <c r="E1334" s="133" t="str">
        <f t="shared" si="40"/>
        <v>1200001042PUP-52122 PUTTY VN</v>
      </c>
      <c r="F1334" s="133" t="s">
        <v>3100</v>
      </c>
      <c r="G1334" s="133" t="s">
        <v>3883</v>
      </c>
      <c r="H1334" s="133">
        <f>VLOOKUP(G1334,'packing mapping'!A:B,2,0)</f>
        <v>4</v>
      </c>
      <c r="I1334" s="137">
        <v>502760</v>
      </c>
      <c r="J1334" s="132">
        <f t="shared" si="41"/>
        <v>125690</v>
      </c>
    </row>
    <row r="1335" spans="1:10">
      <c r="A1335" s="115" t="s">
        <v>999</v>
      </c>
      <c r="B1335" s="115" t="s">
        <v>1000</v>
      </c>
      <c r="C1335" s="115" t="s">
        <v>1300</v>
      </c>
      <c r="D1335" s="115" t="s">
        <v>1301</v>
      </c>
      <c r="E1335" s="133" t="str">
        <f t="shared" si="40"/>
        <v>1200001042GZPU-21500 BLACK VN</v>
      </c>
      <c r="F1335" s="133" t="s">
        <v>3101</v>
      </c>
      <c r="G1335" s="133" t="s">
        <v>3883</v>
      </c>
      <c r="H1335" s="133">
        <f>VLOOKUP(G1335,'packing mapping'!A:B,2,0)</f>
        <v>4</v>
      </c>
      <c r="I1335" s="137">
        <v>1231880</v>
      </c>
      <c r="J1335" s="132">
        <f t="shared" si="41"/>
        <v>307970</v>
      </c>
    </row>
    <row r="1336" spans="1:10">
      <c r="A1336" s="115" t="s">
        <v>999</v>
      </c>
      <c r="B1336" s="115" t="s">
        <v>1000</v>
      </c>
      <c r="C1336" s="115" t="s">
        <v>1496</v>
      </c>
      <c r="D1336" s="115" t="s">
        <v>1497</v>
      </c>
      <c r="E1336" s="133" t="str">
        <f t="shared" si="40"/>
        <v>1200001042PUH-56141 VN</v>
      </c>
      <c r="F1336" s="133" t="s">
        <v>3189</v>
      </c>
      <c r="G1336" s="133" t="s">
        <v>3881</v>
      </c>
      <c r="H1336" s="133">
        <f>VLOOKUP(G1336,'packing mapping'!A:B,2,0)</f>
        <v>20</v>
      </c>
      <c r="I1336" s="137">
        <v>2024400</v>
      </c>
      <c r="J1336" s="132">
        <f t="shared" si="41"/>
        <v>101220</v>
      </c>
    </row>
    <row r="1337" spans="1:10">
      <c r="A1337" s="115" t="s">
        <v>999</v>
      </c>
      <c r="B1337" s="115" t="s">
        <v>1000</v>
      </c>
      <c r="C1337" s="115" t="s">
        <v>1422</v>
      </c>
      <c r="D1337" s="115" t="s">
        <v>1423</v>
      </c>
      <c r="E1337" s="133" t="str">
        <f t="shared" si="40"/>
        <v>1200001042THPU-71306 WP LC VN</v>
      </c>
      <c r="F1337" s="133" t="s">
        <v>3159</v>
      </c>
      <c r="G1337" s="133" t="s">
        <v>3880</v>
      </c>
      <c r="H1337" s="133">
        <f>VLOOKUP(G1337,'packing mapping'!A:B,2,0)</f>
        <v>20</v>
      </c>
      <c r="I1337" s="137">
        <v>1075200</v>
      </c>
      <c r="J1337" s="132">
        <f t="shared" si="41"/>
        <v>53760</v>
      </c>
    </row>
    <row r="1338" spans="1:10">
      <c r="A1338" s="115" t="s">
        <v>999</v>
      </c>
      <c r="B1338" s="115" t="s">
        <v>1000</v>
      </c>
      <c r="C1338" s="115" t="s">
        <v>1332</v>
      </c>
      <c r="D1338" s="115" t="s">
        <v>1333</v>
      </c>
      <c r="E1338" s="133" t="str">
        <f t="shared" si="40"/>
        <v>1200001042WFPU-51000 VN</v>
      </c>
      <c r="F1338" s="133" t="s">
        <v>3117</v>
      </c>
      <c r="G1338" s="133" t="s">
        <v>3881</v>
      </c>
      <c r="H1338" s="133">
        <f>VLOOKUP(G1338,'packing mapping'!A:B,2,0)</f>
        <v>20</v>
      </c>
      <c r="I1338" s="137">
        <v>1799800</v>
      </c>
      <c r="J1338" s="132">
        <f t="shared" si="41"/>
        <v>89990</v>
      </c>
    </row>
    <row r="1339" spans="1:10">
      <c r="A1339" s="115" t="s">
        <v>999</v>
      </c>
      <c r="B1339" s="115" t="s">
        <v>1000</v>
      </c>
      <c r="C1339" s="115" t="s">
        <v>2222</v>
      </c>
      <c r="D1339" s="115" t="s">
        <v>2223</v>
      </c>
      <c r="E1339" s="133" t="str">
        <f t="shared" si="40"/>
        <v>1200001042THNC-51</v>
      </c>
      <c r="F1339" s="133" t="s">
        <v>3328</v>
      </c>
      <c r="G1339" s="133" t="s">
        <v>3880</v>
      </c>
      <c r="H1339" s="133">
        <f>VLOOKUP(G1339,'packing mapping'!A:B,2,0)</f>
        <v>20</v>
      </c>
      <c r="I1339" s="137">
        <v>950400</v>
      </c>
      <c r="J1339" s="132">
        <f t="shared" si="41"/>
        <v>47520</v>
      </c>
    </row>
    <row r="1340" spans="1:10">
      <c r="A1340" s="115" t="s">
        <v>999</v>
      </c>
      <c r="B1340" s="115" t="s">
        <v>1000</v>
      </c>
      <c r="C1340" s="115" t="s">
        <v>1808</v>
      </c>
      <c r="D1340" s="115" t="s">
        <v>1809</v>
      </c>
      <c r="E1340" s="133" t="str">
        <f t="shared" si="40"/>
        <v>1200001042THNC-51</v>
      </c>
      <c r="F1340" s="133" t="s">
        <v>3328</v>
      </c>
      <c r="G1340" s="133" t="s">
        <v>3884</v>
      </c>
      <c r="H1340" s="133">
        <f>VLOOKUP(G1340,'packing mapping'!A:B,2,0)</f>
        <v>200</v>
      </c>
      <c r="I1340" s="137">
        <v>9048000</v>
      </c>
      <c r="J1340" s="132">
        <f t="shared" si="41"/>
        <v>45240</v>
      </c>
    </row>
    <row r="1341" spans="1:10">
      <c r="A1341" s="115" t="s">
        <v>999</v>
      </c>
      <c r="B1341" s="115" t="s">
        <v>1000</v>
      </c>
      <c r="C1341" s="115" t="s">
        <v>2224</v>
      </c>
      <c r="D1341" s="115" t="s">
        <v>2225</v>
      </c>
      <c r="E1341" s="133" t="str">
        <f t="shared" si="40"/>
        <v>1200001042GZPU-21500 BLACK 02 THH VN</v>
      </c>
      <c r="F1341" s="133" t="s">
        <v>3523</v>
      </c>
      <c r="G1341" s="133" t="s">
        <v>3882</v>
      </c>
      <c r="H1341" s="133">
        <f>VLOOKUP(G1341,'packing mapping'!A:B,2,0)</f>
        <v>18</v>
      </c>
      <c r="I1341" s="137">
        <v>3952080</v>
      </c>
      <c r="J1341" s="132">
        <f t="shared" si="41"/>
        <v>219560</v>
      </c>
    </row>
    <row r="1342" spans="1:10">
      <c r="A1342" s="115" t="s">
        <v>999</v>
      </c>
      <c r="B1342" s="115" t="s">
        <v>1000</v>
      </c>
      <c r="C1342" s="115" t="s">
        <v>2226</v>
      </c>
      <c r="D1342" s="115" t="s">
        <v>2227</v>
      </c>
      <c r="E1342" s="133" t="str">
        <f t="shared" si="40"/>
        <v>1200001042WFPU-51000 BLACK 04 THH VN</v>
      </c>
      <c r="F1342" s="133" t="s">
        <v>3524</v>
      </c>
      <c r="G1342" s="133" t="s">
        <v>3881</v>
      </c>
      <c r="H1342" s="133">
        <f>VLOOKUP(G1342,'packing mapping'!A:B,2,0)</f>
        <v>20</v>
      </c>
      <c r="I1342" s="137">
        <v>1892200</v>
      </c>
      <c r="J1342" s="132">
        <f t="shared" si="41"/>
        <v>94610</v>
      </c>
    </row>
    <row r="1343" spans="1:10">
      <c r="A1343" s="115" t="s">
        <v>999</v>
      </c>
      <c r="B1343" s="115" t="s">
        <v>1000</v>
      </c>
      <c r="C1343" s="115" t="s">
        <v>2228</v>
      </c>
      <c r="D1343" s="115" t="s">
        <v>2229</v>
      </c>
      <c r="E1343" s="133" t="str">
        <f t="shared" si="40"/>
        <v>1200001042SST-11100 BROWN 05 THH VN</v>
      </c>
      <c r="F1343" s="133" t="s">
        <v>3525</v>
      </c>
      <c r="G1343" s="133" t="s">
        <v>3895</v>
      </c>
      <c r="H1343" s="133">
        <f>VLOOKUP(G1343,'packing mapping'!A:B,2,0)</f>
        <v>16</v>
      </c>
      <c r="I1343" s="137">
        <v>1398400</v>
      </c>
      <c r="J1343" s="132">
        <f t="shared" si="41"/>
        <v>87400</v>
      </c>
    </row>
    <row r="1344" spans="1:10">
      <c r="A1344" s="115" t="s">
        <v>999</v>
      </c>
      <c r="B1344" s="115" t="s">
        <v>1000</v>
      </c>
      <c r="C1344" s="115" t="s">
        <v>2230</v>
      </c>
      <c r="D1344" s="115" t="s">
        <v>2231</v>
      </c>
      <c r="E1344" s="133" t="str">
        <f t="shared" si="40"/>
        <v>1200001042GZ-12700 N GREY 05 THH VN</v>
      </c>
      <c r="F1344" s="133" t="s">
        <v>3526</v>
      </c>
      <c r="G1344" s="133" t="s">
        <v>3890</v>
      </c>
      <c r="H1344" s="133">
        <f>VLOOKUP(G1344,'packing mapping'!A:B,2,0)</f>
        <v>16</v>
      </c>
      <c r="I1344" s="137">
        <v>4777920</v>
      </c>
      <c r="J1344" s="132">
        <f t="shared" si="41"/>
        <v>298620</v>
      </c>
    </row>
    <row r="1345" spans="1:10">
      <c r="A1345" s="115" t="s">
        <v>999</v>
      </c>
      <c r="B1345" s="115" t="s">
        <v>1000</v>
      </c>
      <c r="C1345" s="115" t="s">
        <v>2232</v>
      </c>
      <c r="D1345" s="115" t="s">
        <v>2233</v>
      </c>
      <c r="E1345" s="133" t="str">
        <f t="shared" si="40"/>
        <v>1200001042SST-11100 BROWN 06 THH VN</v>
      </c>
      <c r="F1345" s="133" t="s">
        <v>3527</v>
      </c>
      <c r="G1345" s="133" t="s">
        <v>3895</v>
      </c>
      <c r="H1345" s="133">
        <f>VLOOKUP(G1345,'packing mapping'!A:B,2,0)</f>
        <v>16</v>
      </c>
      <c r="I1345" s="137">
        <v>1552960</v>
      </c>
      <c r="J1345" s="132">
        <f t="shared" si="41"/>
        <v>97060</v>
      </c>
    </row>
    <row r="1346" spans="1:10">
      <c r="A1346" s="115" t="s">
        <v>999</v>
      </c>
      <c r="B1346" s="115" t="s">
        <v>1000</v>
      </c>
      <c r="C1346" s="115" t="s">
        <v>2234</v>
      </c>
      <c r="D1346" s="115" t="s">
        <v>2235</v>
      </c>
      <c r="E1346" s="133" t="str">
        <f t="shared" si="40"/>
        <v>1200001042PUC-52239 BLUE 10 THH VN</v>
      </c>
      <c r="F1346" s="133" t="s">
        <v>3528</v>
      </c>
      <c r="G1346" s="133" t="s">
        <v>3881</v>
      </c>
      <c r="H1346" s="133">
        <f>VLOOKUP(G1346,'packing mapping'!A:B,2,0)</f>
        <v>20</v>
      </c>
      <c r="I1346" s="137">
        <v>2828800</v>
      </c>
      <c r="J1346" s="132">
        <f t="shared" si="41"/>
        <v>141440</v>
      </c>
    </row>
    <row r="1347" spans="1:10">
      <c r="A1347" s="115" t="s">
        <v>149</v>
      </c>
      <c r="B1347" s="115" t="s">
        <v>150</v>
      </c>
      <c r="C1347" s="115" t="s">
        <v>1210</v>
      </c>
      <c r="D1347" s="115" t="s">
        <v>1211</v>
      </c>
      <c r="E1347" s="133" t="str">
        <f t="shared" ref="E1347:E1410" si="42">A1347&amp;F1347</f>
        <v>1200000030PUH-56306 LY VN</v>
      </c>
      <c r="F1347" s="133" t="s">
        <v>3059</v>
      </c>
      <c r="G1347" s="133" t="s">
        <v>3879</v>
      </c>
      <c r="H1347" s="133">
        <f>VLOOKUP(G1347,'packing mapping'!A:B,2,0)</f>
        <v>20</v>
      </c>
      <c r="I1347" s="137">
        <v>4218400</v>
      </c>
      <c r="J1347" s="132">
        <f t="shared" ref="J1347:J1410" si="43">I1347/H1347</f>
        <v>210920</v>
      </c>
    </row>
    <row r="1348" spans="1:10">
      <c r="A1348" s="115" t="s">
        <v>149</v>
      </c>
      <c r="B1348" s="115" t="s">
        <v>150</v>
      </c>
      <c r="C1348" s="115" t="s">
        <v>1172</v>
      </c>
      <c r="D1348" s="115" t="s">
        <v>1173</v>
      </c>
      <c r="E1348" s="133" t="str">
        <f t="shared" si="42"/>
        <v>1200000030PUH-56135 S VN</v>
      </c>
      <c r="F1348" s="133" t="s">
        <v>3040</v>
      </c>
      <c r="G1348" s="133" t="s">
        <v>3881</v>
      </c>
      <c r="H1348" s="133">
        <f>VLOOKUP(G1348,'packing mapping'!A:B,2,0)</f>
        <v>20</v>
      </c>
      <c r="I1348" s="137">
        <v>2489000</v>
      </c>
      <c r="J1348" s="132">
        <f t="shared" si="43"/>
        <v>124450</v>
      </c>
    </row>
    <row r="1349" spans="1:10">
      <c r="A1349" s="115" t="s">
        <v>1089</v>
      </c>
      <c r="B1349" s="115" t="s">
        <v>1090</v>
      </c>
      <c r="C1349" s="115" t="s">
        <v>1192</v>
      </c>
      <c r="D1349" s="115" t="s">
        <v>1193</v>
      </c>
      <c r="E1349" s="133" t="str">
        <f t="shared" si="42"/>
        <v>1200001133PCL-31300 BLACK PASTE</v>
      </c>
      <c r="F1349" s="133" t="s">
        <v>3050</v>
      </c>
      <c r="G1349" s="133" t="s">
        <v>3883</v>
      </c>
      <c r="H1349" s="133">
        <f>VLOOKUP(G1349,'packing mapping'!A:B,2,0)</f>
        <v>4</v>
      </c>
      <c r="I1349" s="137">
        <v>3044600</v>
      </c>
      <c r="J1349" s="132">
        <f t="shared" si="43"/>
        <v>761150</v>
      </c>
    </row>
    <row r="1350" spans="1:10">
      <c r="A1350" s="115" t="s">
        <v>1089</v>
      </c>
      <c r="B1350" s="115" t="s">
        <v>1090</v>
      </c>
      <c r="C1350" s="115" t="s">
        <v>1198</v>
      </c>
      <c r="D1350" s="115" t="s">
        <v>1199</v>
      </c>
      <c r="E1350" s="133" t="str">
        <f t="shared" si="42"/>
        <v>1200001133PCL-31300 BROWN PASTE VN</v>
      </c>
      <c r="F1350" s="133" t="s">
        <v>3053</v>
      </c>
      <c r="G1350" s="133" t="s">
        <v>3883</v>
      </c>
      <c r="H1350" s="133">
        <f>VLOOKUP(G1350,'packing mapping'!A:B,2,0)</f>
        <v>4</v>
      </c>
      <c r="I1350" s="137">
        <v>1597280</v>
      </c>
      <c r="J1350" s="132">
        <f t="shared" si="43"/>
        <v>399320</v>
      </c>
    </row>
    <row r="1351" spans="1:10">
      <c r="A1351" s="115" t="s">
        <v>1089</v>
      </c>
      <c r="B1351" s="115" t="s">
        <v>1090</v>
      </c>
      <c r="C1351" s="115" t="s">
        <v>1380</v>
      </c>
      <c r="D1351" s="115" t="s">
        <v>1381</v>
      </c>
      <c r="E1351" s="133" t="str">
        <f t="shared" si="42"/>
        <v>1200001133PCL-31300 OXIDE RED PASTE</v>
      </c>
      <c r="F1351" s="133" t="s">
        <v>3140</v>
      </c>
      <c r="G1351" s="133" t="s">
        <v>3883</v>
      </c>
      <c r="H1351" s="133">
        <f>VLOOKUP(G1351,'packing mapping'!A:B,2,0)</f>
        <v>4</v>
      </c>
      <c r="I1351" s="137">
        <v>1777440</v>
      </c>
      <c r="J1351" s="132">
        <f t="shared" si="43"/>
        <v>444360</v>
      </c>
    </row>
    <row r="1352" spans="1:10">
      <c r="A1352" s="115" t="s">
        <v>1089</v>
      </c>
      <c r="B1352" s="115" t="s">
        <v>1090</v>
      </c>
      <c r="C1352" s="115" t="s">
        <v>1202</v>
      </c>
      <c r="D1352" s="115" t="s">
        <v>1203</v>
      </c>
      <c r="E1352" s="133" t="str">
        <f t="shared" si="42"/>
        <v>1200001133PCL-31300 WHITE PASTE</v>
      </c>
      <c r="F1352" s="133" t="s">
        <v>3055</v>
      </c>
      <c r="G1352" s="133" t="s">
        <v>3883</v>
      </c>
      <c r="H1352" s="133">
        <f>VLOOKUP(G1352,'packing mapping'!A:B,2,0)</f>
        <v>4</v>
      </c>
      <c r="I1352" s="137">
        <v>1167200</v>
      </c>
      <c r="J1352" s="132">
        <f t="shared" si="43"/>
        <v>291800</v>
      </c>
    </row>
    <row r="1353" spans="1:10">
      <c r="A1353" s="115" t="s">
        <v>1089</v>
      </c>
      <c r="B1353" s="115" t="s">
        <v>1090</v>
      </c>
      <c r="C1353" s="115" t="s">
        <v>1206</v>
      </c>
      <c r="D1353" s="115" t="s">
        <v>1207</v>
      </c>
      <c r="E1353" s="133" t="str">
        <f t="shared" si="42"/>
        <v>1200001133PCL-31300 YELLOW OKER PASTE</v>
      </c>
      <c r="F1353" s="133" t="s">
        <v>3057</v>
      </c>
      <c r="G1353" s="133" t="s">
        <v>3883</v>
      </c>
      <c r="H1353" s="133">
        <f>VLOOKUP(G1353,'packing mapping'!A:B,2,0)</f>
        <v>4</v>
      </c>
      <c r="I1353" s="137">
        <v>1688400</v>
      </c>
      <c r="J1353" s="132">
        <f t="shared" si="43"/>
        <v>422100</v>
      </c>
    </row>
    <row r="1354" spans="1:10">
      <c r="A1354" s="115" t="s">
        <v>1089</v>
      </c>
      <c r="B1354" s="115" t="s">
        <v>1090</v>
      </c>
      <c r="C1354" s="115" t="s">
        <v>1208</v>
      </c>
      <c r="D1354" s="115" t="s">
        <v>1209</v>
      </c>
      <c r="E1354" s="133" t="str">
        <f t="shared" si="42"/>
        <v>1200001133PG-13900 WHITE 01 VN</v>
      </c>
      <c r="F1354" s="133" t="s">
        <v>3058</v>
      </c>
      <c r="G1354" s="133" t="s">
        <v>3881</v>
      </c>
      <c r="H1354" s="133">
        <f>VLOOKUP(G1354,'packing mapping'!A:B,2,0)</f>
        <v>20</v>
      </c>
      <c r="I1354" s="137">
        <v>1711600</v>
      </c>
      <c r="J1354" s="132">
        <f t="shared" si="43"/>
        <v>85580</v>
      </c>
    </row>
    <row r="1355" spans="1:10">
      <c r="A1355" s="115" t="s">
        <v>1089</v>
      </c>
      <c r="B1355" s="115" t="s">
        <v>1090</v>
      </c>
      <c r="C1355" s="115" t="s">
        <v>1210</v>
      </c>
      <c r="D1355" s="115" t="s">
        <v>1211</v>
      </c>
      <c r="E1355" s="133" t="str">
        <f t="shared" si="42"/>
        <v>1200001133PUH-56306 LY VN</v>
      </c>
      <c r="F1355" s="133" t="s">
        <v>3059</v>
      </c>
      <c r="G1355" s="133" t="s">
        <v>3879</v>
      </c>
      <c r="H1355" s="133">
        <f>VLOOKUP(G1355,'packing mapping'!A:B,2,0)</f>
        <v>20</v>
      </c>
      <c r="I1355" s="137">
        <v>2998800</v>
      </c>
      <c r="J1355" s="132">
        <f t="shared" si="43"/>
        <v>149940</v>
      </c>
    </row>
    <row r="1356" spans="1:10">
      <c r="A1356" s="115" t="s">
        <v>1089</v>
      </c>
      <c r="B1356" s="115" t="s">
        <v>1090</v>
      </c>
      <c r="C1356" s="115" t="s">
        <v>1396</v>
      </c>
      <c r="D1356" s="115" t="s">
        <v>1397</v>
      </c>
      <c r="E1356" s="133" t="str">
        <f t="shared" si="42"/>
        <v>1200001133PUL-53306 AC EX CLEAR 10 VN</v>
      </c>
      <c r="F1356" s="133" t="s">
        <v>3148</v>
      </c>
      <c r="G1356" s="133" t="s">
        <v>3879</v>
      </c>
      <c r="H1356" s="133">
        <f>VLOOKUP(G1356,'packing mapping'!A:B,2,0)</f>
        <v>20</v>
      </c>
      <c r="I1356" s="137">
        <v>3610000</v>
      </c>
      <c r="J1356" s="132">
        <f t="shared" si="43"/>
        <v>180500</v>
      </c>
    </row>
    <row r="1357" spans="1:10">
      <c r="A1357" s="115" t="s">
        <v>1089</v>
      </c>
      <c r="B1357" s="115" t="s">
        <v>1090</v>
      </c>
      <c r="C1357" s="115" t="s">
        <v>1218</v>
      </c>
      <c r="D1357" s="115" t="s">
        <v>1219</v>
      </c>
      <c r="E1357" s="133" t="str">
        <f t="shared" si="42"/>
        <v>1200001133PUSS-53206 AC EX VN</v>
      </c>
      <c r="F1357" s="133" t="s">
        <v>3063</v>
      </c>
      <c r="G1357" s="133" t="s">
        <v>3881</v>
      </c>
      <c r="H1357" s="133">
        <f>VLOOKUP(G1357,'packing mapping'!A:B,2,0)</f>
        <v>20</v>
      </c>
      <c r="I1357" s="137">
        <v>2473800</v>
      </c>
      <c r="J1357" s="132">
        <f t="shared" si="43"/>
        <v>123690</v>
      </c>
    </row>
    <row r="1358" spans="1:10">
      <c r="A1358" s="115" t="s">
        <v>1089</v>
      </c>
      <c r="B1358" s="115" t="s">
        <v>1090</v>
      </c>
      <c r="C1358" s="115" t="s">
        <v>1402</v>
      </c>
      <c r="D1358" s="115" t="s">
        <v>1403</v>
      </c>
      <c r="E1358" s="133" t="str">
        <f t="shared" si="42"/>
        <v>1200001133THC-73100-007 VN</v>
      </c>
      <c r="F1358" s="133" t="s">
        <v>3150</v>
      </c>
      <c r="G1358" s="133" t="s">
        <v>3880</v>
      </c>
      <c r="H1358" s="133">
        <f>VLOOKUP(G1358,'packing mapping'!A:B,2,0)</f>
        <v>20</v>
      </c>
      <c r="I1358" s="137">
        <v>1188000</v>
      </c>
      <c r="J1358" s="132">
        <f t="shared" si="43"/>
        <v>59400</v>
      </c>
    </row>
    <row r="1359" spans="1:10">
      <c r="A1359" s="115" t="s">
        <v>1089</v>
      </c>
      <c r="B1359" s="115" t="s">
        <v>1090</v>
      </c>
      <c r="C1359" s="115" t="s">
        <v>1170</v>
      </c>
      <c r="D1359" s="115" t="s">
        <v>1171</v>
      </c>
      <c r="E1359" s="133" t="str">
        <f t="shared" si="42"/>
        <v>1200001133THPU-71306 ST VN</v>
      </c>
      <c r="F1359" s="133" t="s">
        <v>3039</v>
      </c>
      <c r="G1359" s="133" t="s">
        <v>3880</v>
      </c>
      <c r="H1359" s="133">
        <f>VLOOKUP(G1359,'packing mapping'!A:B,2,0)</f>
        <v>20</v>
      </c>
      <c r="I1359" s="137">
        <v>1144800</v>
      </c>
      <c r="J1359" s="132">
        <f t="shared" si="43"/>
        <v>57240</v>
      </c>
    </row>
    <row r="1360" spans="1:10">
      <c r="A1360" s="115" t="s">
        <v>2236</v>
      </c>
      <c r="B1360" s="115" t="s">
        <v>2237</v>
      </c>
      <c r="C1360" s="115" t="s">
        <v>2238</v>
      </c>
      <c r="D1360" s="115" t="s">
        <v>2239</v>
      </c>
      <c r="E1360" s="133" t="str">
        <f t="shared" si="42"/>
        <v>1200000867UFM-930 LIGHT GREY VN</v>
      </c>
      <c r="F1360" s="133" t="s">
        <v>3529</v>
      </c>
      <c r="G1360" s="133" t="s">
        <v>3881</v>
      </c>
      <c r="H1360" s="133">
        <f>VLOOKUP(G1360,'packing mapping'!A:B,2,0)</f>
        <v>20</v>
      </c>
      <c r="I1360" s="137">
        <v>1600000</v>
      </c>
      <c r="J1360" s="132">
        <f t="shared" si="43"/>
        <v>80000</v>
      </c>
    </row>
    <row r="1361" spans="1:10">
      <c r="A1361" s="115" t="s">
        <v>239</v>
      </c>
      <c r="B1361" s="115" t="s">
        <v>240</v>
      </c>
      <c r="C1361" s="115" t="s">
        <v>1686</v>
      </c>
      <c r="D1361" s="115" t="s">
        <v>1687</v>
      </c>
      <c r="E1361" s="133" t="str">
        <f t="shared" si="42"/>
        <v>1200000075FLX-66300 WB VN</v>
      </c>
      <c r="F1361" s="133" t="s">
        <v>3280</v>
      </c>
      <c r="G1361" s="133" t="s">
        <v>3881</v>
      </c>
      <c r="H1361" s="133">
        <f>VLOOKUP(G1361,'packing mapping'!A:B,2,0)</f>
        <v>20</v>
      </c>
      <c r="I1361" s="137">
        <v>1629140</v>
      </c>
      <c r="J1361" s="132">
        <f t="shared" si="43"/>
        <v>81457</v>
      </c>
    </row>
    <row r="1362" spans="1:10">
      <c r="A1362" s="115" t="s">
        <v>239</v>
      </c>
      <c r="B1362" s="115" t="s">
        <v>240</v>
      </c>
      <c r="C1362" s="115" t="s">
        <v>1180</v>
      </c>
      <c r="D1362" s="115" t="s">
        <v>1181</v>
      </c>
      <c r="E1362" s="133" t="str">
        <f t="shared" si="42"/>
        <v>1200000075GZPU-21500 RU BASE VN</v>
      </c>
      <c r="F1362" s="133" t="s">
        <v>3044</v>
      </c>
      <c r="G1362" s="133" t="s">
        <v>3882</v>
      </c>
      <c r="H1362" s="133">
        <f>VLOOKUP(G1362,'packing mapping'!A:B,2,0)</f>
        <v>18</v>
      </c>
      <c r="I1362" s="137">
        <v>2649942</v>
      </c>
      <c r="J1362" s="132">
        <f t="shared" si="43"/>
        <v>147219</v>
      </c>
    </row>
    <row r="1363" spans="1:10">
      <c r="A1363" s="115" t="s">
        <v>239</v>
      </c>
      <c r="B1363" s="115" t="s">
        <v>240</v>
      </c>
      <c r="C1363" s="115" t="s">
        <v>1374</v>
      </c>
      <c r="D1363" s="115" t="s">
        <v>1375</v>
      </c>
      <c r="E1363" s="133" t="str">
        <f t="shared" si="42"/>
        <v>1200000075PCA-31100 RED OB 35 PASTE VN</v>
      </c>
      <c r="F1363" s="133" t="s">
        <v>3137</v>
      </c>
      <c r="G1363" s="133" t="s">
        <v>3883</v>
      </c>
      <c r="H1363" s="133">
        <f>VLOOKUP(G1363,'packing mapping'!A:B,2,0)</f>
        <v>4</v>
      </c>
      <c r="I1363" s="137">
        <v>2538532</v>
      </c>
      <c r="J1363" s="132">
        <f t="shared" si="43"/>
        <v>634633</v>
      </c>
    </row>
    <row r="1364" spans="1:10">
      <c r="A1364" s="115" t="s">
        <v>239</v>
      </c>
      <c r="B1364" s="115" t="s">
        <v>240</v>
      </c>
      <c r="C1364" s="115" t="s">
        <v>2240</v>
      </c>
      <c r="D1364" s="115" t="s">
        <v>2241</v>
      </c>
      <c r="E1364" s="133" t="str">
        <f t="shared" si="42"/>
        <v>1200000075PCA-31100 RX C50 BLACK VN</v>
      </c>
      <c r="F1364" s="133" t="s">
        <v>3530</v>
      </c>
      <c r="G1364" s="133" t="s">
        <v>3882</v>
      </c>
      <c r="H1364" s="133">
        <f>VLOOKUP(G1364,'packing mapping'!A:B,2,0)</f>
        <v>18</v>
      </c>
      <c r="I1364" s="137">
        <v>6771636</v>
      </c>
      <c r="J1364" s="132">
        <f t="shared" si="43"/>
        <v>376202</v>
      </c>
    </row>
    <row r="1365" spans="1:10">
      <c r="A1365" s="115" t="s">
        <v>239</v>
      </c>
      <c r="B1365" s="115" t="s">
        <v>240</v>
      </c>
      <c r="C1365" s="115" t="s">
        <v>1190</v>
      </c>
      <c r="D1365" s="115" t="s">
        <v>1191</v>
      </c>
      <c r="E1365" s="133" t="str">
        <f t="shared" si="42"/>
        <v>1200000075PCA-31100 WHITE PASTE VN</v>
      </c>
      <c r="F1365" s="133" t="s">
        <v>3049</v>
      </c>
      <c r="G1365" s="133" t="s">
        <v>3883</v>
      </c>
      <c r="H1365" s="133">
        <f>VLOOKUP(G1365,'packing mapping'!A:B,2,0)</f>
        <v>4</v>
      </c>
      <c r="I1365" s="137">
        <v>893628</v>
      </c>
      <c r="J1365" s="132">
        <f t="shared" si="43"/>
        <v>223407</v>
      </c>
    </row>
    <row r="1366" spans="1:10">
      <c r="A1366" s="115" t="s">
        <v>239</v>
      </c>
      <c r="B1366" s="115" t="s">
        <v>240</v>
      </c>
      <c r="C1366" s="115" t="s">
        <v>1468</v>
      </c>
      <c r="D1366" s="115" t="s">
        <v>1469</v>
      </c>
      <c r="E1366" s="133" t="str">
        <f t="shared" si="42"/>
        <v>1200000075PCA-31100 YELLOW OG 16 PASTE VN</v>
      </c>
      <c r="F1366" s="133" t="s">
        <v>3180</v>
      </c>
      <c r="G1366" s="133" t="s">
        <v>3883</v>
      </c>
      <c r="H1366" s="133">
        <f>VLOOKUP(G1366,'packing mapping'!A:B,2,0)</f>
        <v>4</v>
      </c>
      <c r="I1366" s="137">
        <v>2540252</v>
      </c>
      <c r="J1366" s="132">
        <f t="shared" si="43"/>
        <v>635063</v>
      </c>
    </row>
    <row r="1367" spans="1:10">
      <c r="A1367" s="115" t="s">
        <v>239</v>
      </c>
      <c r="B1367" s="115" t="s">
        <v>240</v>
      </c>
      <c r="C1367" s="115" t="s">
        <v>1192</v>
      </c>
      <c r="D1367" s="115" t="s">
        <v>1193</v>
      </c>
      <c r="E1367" s="133" t="str">
        <f t="shared" si="42"/>
        <v>1200000075PCL-31300 BLACK PASTE</v>
      </c>
      <c r="F1367" s="133" t="s">
        <v>3050</v>
      </c>
      <c r="G1367" s="133" t="s">
        <v>3883</v>
      </c>
      <c r="H1367" s="133">
        <f>VLOOKUP(G1367,'packing mapping'!A:B,2,0)</f>
        <v>4</v>
      </c>
      <c r="I1367" s="137">
        <v>1472584</v>
      </c>
      <c r="J1367" s="132">
        <f t="shared" si="43"/>
        <v>368146</v>
      </c>
    </row>
    <row r="1368" spans="1:10">
      <c r="A1368" s="115" t="s">
        <v>239</v>
      </c>
      <c r="B1368" s="115" t="s">
        <v>240</v>
      </c>
      <c r="C1368" s="115" t="s">
        <v>1208</v>
      </c>
      <c r="D1368" s="115" t="s">
        <v>1209</v>
      </c>
      <c r="E1368" s="133" t="str">
        <f t="shared" si="42"/>
        <v>1200000075PG-13900 WHITE 01 VN</v>
      </c>
      <c r="F1368" s="133" t="s">
        <v>3058</v>
      </c>
      <c r="G1368" s="133" t="s">
        <v>3881</v>
      </c>
      <c r="H1368" s="133">
        <f>VLOOKUP(G1368,'packing mapping'!A:B,2,0)</f>
        <v>20</v>
      </c>
      <c r="I1368" s="137">
        <v>2332040</v>
      </c>
      <c r="J1368" s="132">
        <f t="shared" si="43"/>
        <v>116602</v>
      </c>
    </row>
    <row r="1369" spans="1:10">
      <c r="A1369" s="115" t="s">
        <v>239</v>
      </c>
      <c r="B1369" s="115" t="s">
        <v>240</v>
      </c>
      <c r="C1369" s="115" t="s">
        <v>1538</v>
      </c>
      <c r="D1369" s="115" t="s">
        <v>1539</v>
      </c>
      <c r="E1369" s="133" t="str">
        <f t="shared" si="42"/>
        <v>1200000075PST-12100 C20 WHITE</v>
      </c>
      <c r="F1369" s="133" t="s">
        <v>3209</v>
      </c>
      <c r="G1369" s="133" t="s">
        <v>3883</v>
      </c>
      <c r="H1369" s="133">
        <f>VLOOKUP(G1369,'packing mapping'!A:B,2,0)</f>
        <v>4</v>
      </c>
      <c r="I1369" s="137">
        <v>1611404</v>
      </c>
      <c r="J1369" s="132">
        <f t="shared" si="43"/>
        <v>402851</v>
      </c>
    </row>
    <row r="1370" spans="1:10">
      <c r="A1370" s="115" t="s">
        <v>239</v>
      </c>
      <c r="B1370" s="115" t="s">
        <v>240</v>
      </c>
      <c r="C1370" s="115" t="s">
        <v>1210</v>
      </c>
      <c r="D1370" s="115" t="s">
        <v>1211</v>
      </c>
      <c r="E1370" s="133" t="str">
        <f t="shared" si="42"/>
        <v>1200000075PUH-56306 LY VN</v>
      </c>
      <c r="F1370" s="133" t="s">
        <v>3059</v>
      </c>
      <c r="G1370" s="133" t="s">
        <v>3879</v>
      </c>
      <c r="H1370" s="133">
        <f>VLOOKUP(G1370,'packing mapping'!A:B,2,0)</f>
        <v>20</v>
      </c>
      <c r="I1370" s="137">
        <v>3537520</v>
      </c>
      <c r="J1370" s="132">
        <f t="shared" si="43"/>
        <v>176876</v>
      </c>
    </row>
    <row r="1371" spans="1:10">
      <c r="A1371" s="115" t="s">
        <v>239</v>
      </c>
      <c r="B1371" s="115" t="s">
        <v>240</v>
      </c>
      <c r="C1371" s="115" t="s">
        <v>1688</v>
      </c>
      <c r="D1371" s="115" t="s">
        <v>1689</v>
      </c>
      <c r="E1371" s="133" t="str">
        <f t="shared" si="42"/>
        <v>1200000075PUL-51339 CLEAR 05 VN</v>
      </c>
      <c r="F1371" s="133" t="s">
        <v>3281</v>
      </c>
      <c r="G1371" s="133" t="s">
        <v>3879</v>
      </c>
      <c r="H1371" s="133">
        <f>VLOOKUP(G1371,'packing mapping'!A:B,2,0)</f>
        <v>20</v>
      </c>
      <c r="I1371" s="137">
        <v>1775260</v>
      </c>
      <c r="J1371" s="132">
        <f t="shared" si="43"/>
        <v>88763</v>
      </c>
    </row>
    <row r="1372" spans="1:10">
      <c r="A1372" s="115" t="s">
        <v>239</v>
      </c>
      <c r="B1372" s="115" t="s">
        <v>240</v>
      </c>
      <c r="C1372" s="115" t="s">
        <v>1718</v>
      </c>
      <c r="D1372" s="115" t="s">
        <v>1719</v>
      </c>
      <c r="E1372" s="133" t="str">
        <f t="shared" si="42"/>
        <v>1200000075PUL-51341 CLEAR 10 VN</v>
      </c>
      <c r="F1372" s="133" t="s">
        <v>3294</v>
      </c>
      <c r="G1372" s="133" t="s">
        <v>3882</v>
      </c>
      <c r="H1372" s="133">
        <f>VLOOKUP(G1372,'packing mapping'!A:B,2,0)</f>
        <v>18</v>
      </c>
      <c r="I1372" s="137">
        <v>1372338</v>
      </c>
      <c r="J1372" s="132">
        <f t="shared" si="43"/>
        <v>76241</v>
      </c>
    </row>
    <row r="1373" spans="1:10">
      <c r="A1373" s="115" t="s">
        <v>239</v>
      </c>
      <c r="B1373" s="115" t="s">
        <v>240</v>
      </c>
      <c r="C1373" s="115" t="s">
        <v>1874</v>
      </c>
      <c r="D1373" s="115" t="s">
        <v>1875</v>
      </c>
      <c r="E1373" s="133" t="str">
        <f t="shared" si="42"/>
        <v>1200000075PUL-51341 CLEAR 20 VN</v>
      </c>
      <c r="F1373" s="133" t="s">
        <v>3360</v>
      </c>
      <c r="G1373" s="133" t="s">
        <v>3882</v>
      </c>
      <c r="H1373" s="133">
        <f>VLOOKUP(G1373,'packing mapping'!A:B,2,0)</f>
        <v>18</v>
      </c>
      <c r="I1373" s="137">
        <v>1348182</v>
      </c>
      <c r="J1373" s="132">
        <f t="shared" si="43"/>
        <v>74899</v>
      </c>
    </row>
    <row r="1374" spans="1:10">
      <c r="A1374" s="115" t="s">
        <v>239</v>
      </c>
      <c r="B1374" s="115" t="s">
        <v>240</v>
      </c>
      <c r="C1374" s="115" t="s">
        <v>1396</v>
      </c>
      <c r="D1374" s="115" t="s">
        <v>1397</v>
      </c>
      <c r="E1374" s="133" t="str">
        <f t="shared" si="42"/>
        <v>1200000075PUL-53306 AC EX CLEAR 10 VN</v>
      </c>
      <c r="F1374" s="133" t="s">
        <v>3148</v>
      </c>
      <c r="G1374" s="133" t="s">
        <v>3879</v>
      </c>
      <c r="H1374" s="133">
        <f>VLOOKUP(G1374,'packing mapping'!A:B,2,0)</f>
        <v>20</v>
      </c>
      <c r="I1374" s="137">
        <v>2899180</v>
      </c>
      <c r="J1374" s="132">
        <f t="shared" si="43"/>
        <v>144959</v>
      </c>
    </row>
    <row r="1375" spans="1:10">
      <c r="A1375" s="115" t="s">
        <v>239</v>
      </c>
      <c r="B1375" s="115" t="s">
        <v>240</v>
      </c>
      <c r="C1375" s="115" t="s">
        <v>1476</v>
      </c>
      <c r="D1375" s="115" t="s">
        <v>1477</v>
      </c>
      <c r="E1375" s="133" t="str">
        <f t="shared" si="42"/>
        <v>1200000075PUP-52141 WHITE 01 VN</v>
      </c>
      <c r="F1375" s="133" t="s">
        <v>3184</v>
      </c>
      <c r="G1375" s="133" t="s">
        <v>3881</v>
      </c>
      <c r="H1375" s="133">
        <f>VLOOKUP(G1375,'packing mapping'!A:B,2,0)</f>
        <v>20</v>
      </c>
      <c r="I1375" s="137">
        <v>2104580</v>
      </c>
      <c r="J1375" s="132">
        <f t="shared" si="43"/>
        <v>105229</v>
      </c>
    </row>
    <row r="1376" spans="1:10">
      <c r="A1376" s="115" t="s">
        <v>239</v>
      </c>
      <c r="B1376" s="115" t="s">
        <v>240</v>
      </c>
      <c r="C1376" s="115" t="s">
        <v>2242</v>
      </c>
      <c r="D1376" s="115" t="s">
        <v>2243</v>
      </c>
      <c r="E1376" s="133" t="str">
        <f t="shared" si="42"/>
        <v>1200000075PUP-52141 WHITE 01 VN</v>
      </c>
      <c r="F1376" s="133" t="s">
        <v>3184</v>
      </c>
      <c r="G1376" s="133" t="s">
        <v>3889</v>
      </c>
      <c r="H1376" s="133">
        <f>VLOOKUP(G1376,'packing mapping'!A:B,2,0)</f>
        <v>200</v>
      </c>
      <c r="I1376" s="137">
        <v>20494800</v>
      </c>
      <c r="J1376" s="132">
        <f t="shared" si="43"/>
        <v>102474</v>
      </c>
    </row>
    <row r="1377" spans="1:10">
      <c r="A1377" s="115" t="s">
        <v>239</v>
      </c>
      <c r="B1377" s="115" t="s">
        <v>240</v>
      </c>
      <c r="C1377" s="115" t="s">
        <v>1880</v>
      </c>
      <c r="D1377" s="115" t="s">
        <v>1881</v>
      </c>
      <c r="E1377" s="133" t="str">
        <f t="shared" si="42"/>
        <v>1200000075PUSS-51241 VN</v>
      </c>
      <c r="F1377" s="133" t="s">
        <v>3185</v>
      </c>
      <c r="G1377" s="133" t="s">
        <v>3889</v>
      </c>
      <c r="H1377" s="133">
        <f>VLOOKUP(G1377,'packing mapping'!A:B,2,0)</f>
        <v>200</v>
      </c>
      <c r="I1377" s="137">
        <v>11515600</v>
      </c>
      <c r="J1377" s="132">
        <f t="shared" si="43"/>
        <v>57578</v>
      </c>
    </row>
    <row r="1378" spans="1:10">
      <c r="A1378" s="115" t="s">
        <v>239</v>
      </c>
      <c r="B1378" s="115" t="s">
        <v>240</v>
      </c>
      <c r="C1378" s="115" t="s">
        <v>1480</v>
      </c>
      <c r="D1378" s="115" t="s">
        <v>1481</v>
      </c>
      <c r="E1378" s="133" t="str">
        <f t="shared" si="42"/>
        <v>1200000075PUSS-53206 AC EX VN</v>
      </c>
      <c r="F1378" s="133" t="s">
        <v>3063</v>
      </c>
      <c r="G1378" s="133" t="s">
        <v>3889</v>
      </c>
      <c r="H1378" s="133">
        <f>VLOOKUP(G1378,'packing mapping'!A:B,2,0)</f>
        <v>200</v>
      </c>
      <c r="I1378" s="137">
        <v>20439600</v>
      </c>
      <c r="J1378" s="132">
        <f t="shared" si="43"/>
        <v>102198</v>
      </c>
    </row>
    <row r="1379" spans="1:10">
      <c r="A1379" s="115" t="s">
        <v>239</v>
      </c>
      <c r="B1379" s="115" t="s">
        <v>240</v>
      </c>
      <c r="C1379" s="115" t="s">
        <v>1398</v>
      </c>
      <c r="D1379" s="115" t="s">
        <v>1399</v>
      </c>
      <c r="E1379" s="133" t="str">
        <f t="shared" si="42"/>
        <v>1200000075THC-73100 402 VN</v>
      </c>
      <c r="F1379" s="133" t="s">
        <v>3149</v>
      </c>
      <c r="G1379" s="133" t="s">
        <v>3884</v>
      </c>
      <c r="H1379" s="133">
        <f>VLOOKUP(G1379,'packing mapping'!A:B,2,0)</f>
        <v>200</v>
      </c>
      <c r="I1379" s="137">
        <v>10762800</v>
      </c>
      <c r="J1379" s="132">
        <f t="shared" si="43"/>
        <v>53814</v>
      </c>
    </row>
    <row r="1380" spans="1:10">
      <c r="A1380" s="115" t="s">
        <v>239</v>
      </c>
      <c r="B1380" s="115" t="s">
        <v>240</v>
      </c>
      <c r="C1380" s="115" t="s">
        <v>1400</v>
      </c>
      <c r="D1380" s="115" t="s">
        <v>1401</v>
      </c>
      <c r="E1380" s="133" t="str">
        <f t="shared" si="42"/>
        <v>1200000075THC-73100-007 VN</v>
      </c>
      <c r="F1380" s="133" t="s">
        <v>3150</v>
      </c>
      <c r="G1380" s="133" t="s">
        <v>3884</v>
      </c>
      <c r="H1380" s="133">
        <f>VLOOKUP(G1380,'packing mapping'!A:B,2,0)</f>
        <v>200</v>
      </c>
      <c r="I1380" s="137">
        <v>14703400</v>
      </c>
      <c r="J1380" s="132">
        <f t="shared" si="43"/>
        <v>73517</v>
      </c>
    </row>
    <row r="1381" spans="1:10">
      <c r="A1381" s="115" t="s">
        <v>239</v>
      </c>
      <c r="B1381" s="115" t="s">
        <v>240</v>
      </c>
      <c r="C1381" s="115" t="s">
        <v>1402</v>
      </c>
      <c r="D1381" s="115" t="s">
        <v>1403</v>
      </c>
      <c r="E1381" s="133" t="str">
        <f t="shared" si="42"/>
        <v>1200000075THC-73100-007 VN</v>
      </c>
      <c r="F1381" s="133" t="s">
        <v>3150</v>
      </c>
      <c r="G1381" s="133" t="s">
        <v>3880</v>
      </c>
      <c r="H1381" s="133">
        <f>VLOOKUP(G1381,'packing mapping'!A:B,2,0)</f>
        <v>20</v>
      </c>
      <c r="I1381" s="137">
        <v>1486200</v>
      </c>
      <c r="J1381" s="132">
        <f t="shared" si="43"/>
        <v>74310</v>
      </c>
    </row>
    <row r="1382" spans="1:10">
      <c r="A1382" s="115" t="s">
        <v>239</v>
      </c>
      <c r="B1382" s="115" t="s">
        <v>240</v>
      </c>
      <c r="C1382" s="115" t="s">
        <v>1690</v>
      </c>
      <c r="D1382" s="115" t="s">
        <v>1691</v>
      </c>
      <c r="E1382" s="133" t="str">
        <f t="shared" si="42"/>
        <v>1200000075THGZ-72200 VN</v>
      </c>
      <c r="F1382" s="133" t="s">
        <v>3073</v>
      </c>
      <c r="G1382" s="133" t="s">
        <v>3884</v>
      </c>
      <c r="H1382" s="133">
        <f>VLOOKUP(G1382,'packing mapping'!A:B,2,0)</f>
        <v>200</v>
      </c>
      <c r="I1382" s="137">
        <v>11007400</v>
      </c>
      <c r="J1382" s="132">
        <f t="shared" si="43"/>
        <v>55037</v>
      </c>
    </row>
    <row r="1383" spans="1:10">
      <c r="A1383" s="115" t="s">
        <v>239</v>
      </c>
      <c r="B1383" s="115" t="s">
        <v>240</v>
      </c>
      <c r="C1383" s="115" t="s">
        <v>1240</v>
      </c>
      <c r="D1383" s="115" t="s">
        <v>1241</v>
      </c>
      <c r="E1383" s="133" t="str">
        <f t="shared" si="42"/>
        <v>1200000075THNC-71100 SD VN</v>
      </c>
      <c r="F1383" s="133" t="s">
        <v>3074</v>
      </c>
      <c r="G1383" s="133" t="s">
        <v>3884</v>
      </c>
      <c r="H1383" s="133">
        <f>VLOOKUP(G1383,'packing mapping'!A:B,2,0)</f>
        <v>200</v>
      </c>
      <c r="I1383" s="137">
        <v>9809600</v>
      </c>
      <c r="J1383" s="132">
        <f t="shared" si="43"/>
        <v>49048</v>
      </c>
    </row>
    <row r="1384" spans="1:10">
      <c r="A1384" s="115" t="s">
        <v>239</v>
      </c>
      <c r="B1384" s="115" t="s">
        <v>240</v>
      </c>
      <c r="C1384" s="115" t="s">
        <v>2244</v>
      </c>
      <c r="D1384" s="115" t="s">
        <v>2245</v>
      </c>
      <c r="E1384" s="133" t="str">
        <f t="shared" si="42"/>
        <v>1200000075THPU-71306</v>
      </c>
      <c r="F1384" s="133" t="s">
        <v>3531</v>
      </c>
      <c r="G1384" s="133" t="s">
        <v>3884</v>
      </c>
      <c r="H1384" s="133">
        <f>VLOOKUP(G1384,'packing mapping'!A:B,2,0)</f>
        <v>200</v>
      </c>
      <c r="I1384" s="137">
        <v>10615000</v>
      </c>
      <c r="J1384" s="132">
        <f t="shared" si="43"/>
        <v>53075</v>
      </c>
    </row>
    <row r="1385" spans="1:10">
      <c r="A1385" s="115" t="s">
        <v>239</v>
      </c>
      <c r="B1385" s="115" t="s">
        <v>240</v>
      </c>
      <c r="C1385" s="115" t="s">
        <v>2246</v>
      </c>
      <c r="D1385" s="115" t="s">
        <v>2247</v>
      </c>
      <c r="E1385" s="133" t="str">
        <f t="shared" si="42"/>
        <v>1200000075GZ-12700 N BLACK VN</v>
      </c>
      <c r="F1385" s="133" t="s">
        <v>3103</v>
      </c>
      <c r="G1385" s="133" t="s">
        <v>3882</v>
      </c>
      <c r="H1385" s="133">
        <f>VLOOKUP(G1385,'packing mapping'!A:B,2,0)</f>
        <v>18</v>
      </c>
      <c r="I1385" s="137">
        <v>2176002</v>
      </c>
      <c r="J1385" s="132">
        <f t="shared" si="43"/>
        <v>120889</v>
      </c>
    </row>
    <row r="1386" spans="1:10">
      <c r="A1386" s="115" t="s">
        <v>239</v>
      </c>
      <c r="B1386" s="115" t="s">
        <v>240</v>
      </c>
      <c r="C1386" s="115" t="s">
        <v>2248</v>
      </c>
      <c r="D1386" s="115" t="s">
        <v>2249</v>
      </c>
      <c r="E1386" s="133" t="str">
        <f t="shared" si="42"/>
        <v>1200000075NCSS-11201 AC VN</v>
      </c>
      <c r="F1386" s="133" t="s">
        <v>3532</v>
      </c>
      <c r="G1386" s="133" t="s">
        <v>3879</v>
      </c>
      <c r="H1386" s="133">
        <f>VLOOKUP(G1386,'packing mapping'!A:B,2,0)</f>
        <v>20</v>
      </c>
      <c r="I1386" s="137">
        <v>1766560</v>
      </c>
      <c r="J1386" s="132">
        <f t="shared" si="43"/>
        <v>88328</v>
      </c>
    </row>
    <row r="1387" spans="1:10">
      <c r="A1387" s="115" t="s">
        <v>239</v>
      </c>
      <c r="B1387" s="115" t="s">
        <v>240</v>
      </c>
      <c r="C1387" s="115" t="s">
        <v>2250</v>
      </c>
      <c r="D1387" s="115" t="s">
        <v>2251</v>
      </c>
      <c r="E1387" s="133" t="str">
        <f t="shared" si="42"/>
        <v>1200000075NCL-11301 AC CLEAR 05 VN</v>
      </c>
      <c r="F1387" s="133" t="s">
        <v>3533</v>
      </c>
      <c r="G1387" s="133" t="s">
        <v>3879</v>
      </c>
      <c r="H1387" s="133">
        <f>VLOOKUP(G1387,'packing mapping'!A:B,2,0)</f>
        <v>20</v>
      </c>
      <c r="I1387" s="137">
        <v>2129920</v>
      </c>
      <c r="J1387" s="132">
        <f t="shared" si="43"/>
        <v>106496</v>
      </c>
    </row>
    <row r="1388" spans="1:10">
      <c r="A1388" s="115" t="s">
        <v>239</v>
      </c>
      <c r="B1388" s="115" t="s">
        <v>240</v>
      </c>
      <c r="C1388" s="115" t="s">
        <v>2252</v>
      </c>
      <c r="D1388" s="115" t="s">
        <v>2253</v>
      </c>
      <c r="E1388" s="133" t="str">
        <f t="shared" si="42"/>
        <v>1200000075DP-12123 LC WHITE 01 VN</v>
      </c>
      <c r="F1388" s="133" t="s">
        <v>3082</v>
      </c>
      <c r="G1388" s="133" t="s">
        <v>3889</v>
      </c>
      <c r="H1388" s="133">
        <f>VLOOKUP(G1388,'packing mapping'!A:B,2,0)</f>
        <v>200</v>
      </c>
      <c r="I1388" s="137">
        <v>18774400</v>
      </c>
      <c r="J1388" s="132">
        <f t="shared" si="43"/>
        <v>93872</v>
      </c>
    </row>
    <row r="1389" spans="1:10">
      <c r="A1389" s="115" t="s">
        <v>239</v>
      </c>
      <c r="B1389" s="115" t="s">
        <v>240</v>
      </c>
      <c r="C1389" s="115" t="s">
        <v>1258</v>
      </c>
      <c r="D1389" s="115" t="s">
        <v>1259</v>
      </c>
      <c r="E1389" s="133" t="str">
        <f t="shared" si="42"/>
        <v>1200000075DP-12123 LC WHITE 01 VN</v>
      </c>
      <c r="F1389" s="133" t="s">
        <v>3082</v>
      </c>
      <c r="G1389" s="133" t="s">
        <v>3881</v>
      </c>
      <c r="H1389" s="133">
        <f>VLOOKUP(G1389,'packing mapping'!A:B,2,0)</f>
        <v>20</v>
      </c>
      <c r="I1389" s="137">
        <v>1921360</v>
      </c>
      <c r="J1389" s="132">
        <f t="shared" si="43"/>
        <v>96068</v>
      </c>
    </row>
    <row r="1390" spans="1:10">
      <c r="A1390" s="115" t="s">
        <v>239</v>
      </c>
      <c r="B1390" s="115" t="s">
        <v>240</v>
      </c>
      <c r="C1390" s="115" t="s">
        <v>2254</v>
      </c>
      <c r="D1390" s="115" t="s">
        <v>2255</v>
      </c>
      <c r="E1390" s="133" t="str">
        <f t="shared" si="42"/>
        <v>1200000075NCL-1113-29 LC 10 AK</v>
      </c>
      <c r="F1390" s="133" t="s">
        <v>3534</v>
      </c>
      <c r="G1390" s="133" t="s">
        <v>3879</v>
      </c>
      <c r="H1390" s="133">
        <f>VLOOKUP(G1390,'packing mapping'!A:B,2,0)</f>
        <v>20</v>
      </c>
      <c r="I1390" s="137">
        <v>1271240</v>
      </c>
      <c r="J1390" s="132">
        <f t="shared" si="43"/>
        <v>63562</v>
      </c>
    </row>
    <row r="1391" spans="1:10">
      <c r="A1391" s="115" t="s">
        <v>239</v>
      </c>
      <c r="B1391" s="115" t="s">
        <v>240</v>
      </c>
      <c r="C1391" s="115" t="s">
        <v>2256</v>
      </c>
      <c r="D1391" s="115" t="s">
        <v>2257</v>
      </c>
      <c r="E1391" s="133" t="str">
        <f t="shared" si="42"/>
        <v>1200000075NCL-1113-29 LC 15 AK</v>
      </c>
      <c r="F1391" s="133" t="s">
        <v>3535</v>
      </c>
      <c r="G1391" s="133" t="s">
        <v>3879</v>
      </c>
      <c r="H1391" s="133">
        <f>VLOOKUP(G1391,'packing mapping'!A:B,2,0)</f>
        <v>20</v>
      </c>
      <c r="I1391" s="137">
        <v>1271240</v>
      </c>
      <c r="J1391" s="132">
        <f t="shared" si="43"/>
        <v>63562</v>
      </c>
    </row>
    <row r="1392" spans="1:10">
      <c r="A1392" s="115" t="s">
        <v>239</v>
      </c>
      <c r="B1392" s="115" t="s">
        <v>240</v>
      </c>
      <c r="C1392" s="115" t="s">
        <v>2258</v>
      </c>
      <c r="D1392" s="115" t="s">
        <v>2259</v>
      </c>
      <c r="E1392" s="133" t="str">
        <f t="shared" si="42"/>
        <v>1200000075NCL-1113-29 LC 25 AK</v>
      </c>
      <c r="F1392" s="133" t="s">
        <v>3536</v>
      </c>
      <c r="G1392" s="133" t="s">
        <v>3879</v>
      </c>
      <c r="H1392" s="133">
        <f>VLOOKUP(G1392,'packing mapping'!A:B,2,0)</f>
        <v>20</v>
      </c>
      <c r="I1392" s="137">
        <v>1257280</v>
      </c>
      <c r="J1392" s="132">
        <f t="shared" si="43"/>
        <v>62864</v>
      </c>
    </row>
    <row r="1393" spans="1:10">
      <c r="A1393" s="115" t="s">
        <v>239</v>
      </c>
      <c r="B1393" s="115" t="s">
        <v>240</v>
      </c>
      <c r="C1393" s="115" t="s">
        <v>2260</v>
      </c>
      <c r="D1393" s="115" t="s">
        <v>2261</v>
      </c>
      <c r="E1393" s="133" t="str">
        <f t="shared" si="42"/>
        <v>1200000075NCL-1113-29 LC 35 AK</v>
      </c>
      <c r="F1393" s="133" t="s">
        <v>3537</v>
      </c>
      <c r="G1393" s="133" t="s">
        <v>3879</v>
      </c>
      <c r="H1393" s="133">
        <f>VLOOKUP(G1393,'packing mapping'!A:B,2,0)</f>
        <v>20</v>
      </c>
      <c r="I1393" s="137">
        <v>1291660</v>
      </c>
      <c r="J1393" s="132">
        <f t="shared" si="43"/>
        <v>64583</v>
      </c>
    </row>
    <row r="1394" spans="1:10">
      <c r="A1394" s="115" t="s">
        <v>239</v>
      </c>
      <c r="B1394" s="115" t="s">
        <v>240</v>
      </c>
      <c r="C1394" s="115" t="s">
        <v>2262</v>
      </c>
      <c r="D1394" s="115" t="s">
        <v>2263</v>
      </c>
      <c r="E1394" s="133" t="str">
        <f t="shared" si="42"/>
        <v>1200000075NCL-1113-29 LC 5 AK</v>
      </c>
      <c r="F1394" s="133" t="s">
        <v>3538</v>
      </c>
      <c r="G1394" s="133" t="s">
        <v>3879</v>
      </c>
      <c r="H1394" s="133">
        <f>VLOOKUP(G1394,'packing mapping'!A:B,2,0)</f>
        <v>20</v>
      </c>
      <c r="I1394" s="137">
        <v>1284180</v>
      </c>
      <c r="J1394" s="132">
        <f t="shared" si="43"/>
        <v>64209</v>
      </c>
    </row>
    <row r="1395" spans="1:10">
      <c r="A1395" s="115" t="s">
        <v>239</v>
      </c>
      <c r="B1395" s="115" t="s">
        <v>240</v>
      </c>
      <c r="C1395" s="115" t="s">
        <v>2264</v>
      </c>
      <c r="D1395" s="115" t="s">
        <v>2265</v>
      </c>
      <c r="E1395" s="133" t="str">
        <f t="shared" si="42"/>
        <v>1200000075NCSS-1112-29 LC AK</v>
      </c>
      <c r="F1395" s="133" t="s">
        <v>3516</v>
      </c>
      <c r="G1395" s="133" t="s">
        <v>3896</v>
      </c>
      <c r="H1395" s="133">
        <f>VLOOKUP(G1395,'packing mapping'!A:B,2,0)</f>
        <v>200</v>
      </c>
      <c r="I1395" s="137">
        <v>12566200</v>
      </c>
      <c r="J1395" s="132">
        <f t="shared" si="43"/>
        <v>62831</v>
      </c>
    </row>
    <row r="1396" spans="1:10">
      <c r="A1396" s="115" t="s">
        <v>239</v>
      </c>
      <c r="B1396" s="115" t="s">
        <v>240</v>
      </c>
      <c r="C1396" s="115" t="s">
        <v>1274</v>
      </c>
      <c r="D1396" s="115" t="s">
        <v>1275</v>
      </c>
      <c r="E1396" s="133" t="str">
        <f t="shared" si="42"/>
        <v>1200000075PSV-76000 SB HC MY VN</v>
      </c>
      <c r="F1396" s="133" t="s">
        <v>3090</v>
      </c>
      <c r="G1396" s="133" t="s">
        <v>3880</v>
      </c>
      <c r="H1396" s="133">
        <f>VLOOKUP(G1396,'packing mapping'!A:B,2,0)</f>
        <v>20</v>
      </c>
      <c r="I1396" s="137">
        <v>7835700</v>
      </c>
      <c r="J1396" s="132">
        <f t="shared" si="43"/>
        <v>391785</v>
      </c>
    </row>
    <row r="1397" spans="1:10">
      <c r="A1397" s="115" t="s">
        <v>239</v>
      </c>
      <c r="B1397" s="115" t="s">
        <v>240</v>
      </c>
      <c r="C1397" s="115" t="s">
        <v>1172</v>
      </c>
      <c r="D1397" s="115" t="s">
        <v>1173</v>
      </c>
      <c r="E1397" s="133" t="str">
        <f t="shared" si="42"/>
        <v>1200000075PUH-56135 S VN</v>
      </c>
      <c r="F1397" s="133" t="s">
        <v>3040</v>
      </c>
      <c r="G1397" s="133" t="s">
        <v>3881</v>
      </c>
      <c r="H1397" s="133">
        <f>VLOOKUP(G1397,'packing mapping'!A:B,2,0)</f>
        <v>20</v>
      </c>
      <c r="I1397" s="137">
        <v>2566120</v>
      </c>
      <c r="J1397" s="132">
        <f t="shared" si="43"/>
        <v>128306</v>
      </c>
    </row>
    <row r="1398" spans="1:10">
      <c r="A1398" s="115" t="s">
        <v>239</v>
      </c>
      <c r="B1398" s="115" t="s">
        <v>240</v>
      </c>
      <c r="C1398" s="115" t="s">
        <v>1174</v>
      </c>
      <c r="D1398" s="115" t="s">
        <v>1175</v>
      </c>
      <c r="E1398" s="133" t="str">
        <f t="shared" si="42"/>
        <v>1200000075PUH-56139 VN</v>
      </c>
      <c r="F1398" s="133" t="s">
        <v>3041</v>
      </c>
      <c r="G1398" s="133" t="s">
        <v>3881</v>
      </c>
      <c r="H1398" s="133">
        <f>VLOOKUP(G1398,'packing mapping'!A:B,2,0)</f>
        <v>20</v>
      </c>
      <c r="I1398" s="137">
        <v>3092720</v>
      </c>
      <c r="J1398" s="132">
        <f t="shared" si="43"/>
        <v>154636</v>
      </c>
    </row>
    <row r="1399" spans="1:10">
      <c r="A1399" s="115" t="s">
        <v>239</v>
      </c>
      <c r="B1399" s="115" t="s">
        <v>240</v>
      </c>
      <c r="C1399" s="115" t="s">
        <v>1290</v>
      </c>
      <c r="D1399" s="115" t="s">
        <v>1291</v>
      </c>
      <c r="E1399" s="133" t="str">
        <f t="shared" si="42"/>
        <v>1200000075PUP-52135 WHITE VN</v>
      </c>
      <c r="F1399" s="133" t="s">
        <v>3098</v>
      </c>
      <c r="G1399" s="133" t="s">
        <v>3889</v>
      </c>
      <c r="H1399" s="133">
        <f>VLOOKUP(G1399,'packing mapping'!A:B,2,0)</f>
        <v>200</v>
      </c>
      <c r="I1399" s="137">
        <v>18182400</v>
      </c>
      <c r="J1399" s="132">
        <f t="shared" si="43"/>
        <v>90912</v>
      </c>
    </row>
    <row r="1400" spans="1:10">
      <c r="A1400" s="115" t="s">
        <v>239</v>
      </c>
      <c r="B1400" s="115" t="s">
        <v>240</v>
      </c>
      <c r="C1400" s="115" t="s">
        <v>2042</v>
      </c>
      <c r="D1400" s="115" t="s">
        <v>2043</v>
      </c>
      <c r="E1400" s="133" t="str">
        <f t="shared" si="42"/>
        <v>1200000075RD-74106 VN</v>
      </c>
      <c r="F1400" s="133" t="s">
        <v>3099</v>
      </c>
      <c r="G1400" s="133" t="s">
        <v>3884</v>
      </c>
      <c r="H1400" s="133">
        <f>VLOOKUP(G1400,'packing mapping'!A:B,2,0)</f>
        <v>200</v>
      </c>
      <c r="I1400" s="137">
        <v>8671800</v>
      </c>
      <c r="J1400" s="132">
        <f t="shared" si="43"/>
        <v>43359</v>
      </c>
    </row>
    <row r="1401" spans="1:10">
      <c r="A1401" s="115" t="s">
        <v>239</v>
      </c>
      <c r="B1401" s="115" t="s">
        <v>240</v>
      </c>
      <c r="C1401" s="115" t="s">
        <v>1300</v>
      </c>
      <c r="D1401" s="115" t="s">
        <v>1301</v>
      </c>
      <c r="E1401" s="133" t="str">
        <f t="shared" si="42"/>
        <v>1200000075GZPU-21500 BLACK VN</v>
      </c>
      <c r="F1401" s="133" t="s">
        <v>3101</v>
      </c>
      <c r="G1401" s="133" t="s">
        <v>3883</v>
      </c>
      <c r="H1401" s="133">
        <f>VLOOKUP(G1401,'packing mapping'!A:B,2,0)</f>
        <v>4</v>
      </c>
      <c r="I1401" s="137">
        <v>1551396</v>
      </c>
      <c r="J1401" s="132">
        <f t="shared" si="43"/>
        <v>387849</v>
      </c>
    </row>
    <row r="1402" spans="1:10">
      <c r="A1402" s="115" t="s">
        <v>239</v>
      </c>
      <c r="B1402" s="115" t="s">
        <v>240</v>
      </c>
      <c r="C1402" s="115" t="s">
        <v>1302</v>
      </c>
      <c r="D1402" s="115" t="s">
        <v>1303</v>
      </c>
      <c r="E1402" s="133" t="str">
        <f t="shared" si="42"/>
        <v>1200000075GZPU-21500 BROWN VN</v>
      </c>
      <c r="F1402" s="133" t="s">
        <v>3102</v>
      </c>
      <c r="G1402" s="133" t="s">
        <v>3883</v>
      </c>
      <c r="H1402" s="133">
        <f>VLOOKUP(G1402,'packing mapping'!A:B,2,0)</f>
        <v>4</v>
      </c>
      <c r="I1402" s="137">
        <v>1351528</v>
      </c>
      <c r="J1402" s="132">
        <f t="shared" si="43"/>
        <v>337882</v>
      </c>
    </row>
    <row r="1403" spans="1:10">
      <c r="A1403" s="115" t="s">
        <v>239</v>
      </c>
      <c r="B1403" s="115" t="s">
        <v>240</v>
      </c>
      <c r="C1403" s="115" t="s">
        <v>1306</v>
      </c>
      <c r="D1403" s="115" t="s">
        <v>1307</v>
      </c>
      <c r="E1403" s="133" t="str">
        <f t="shared" si="42"/>
        <v>1200000075GZ-12700 N RED VN</v>
      </c>
      <c r="F1403" s="133" t="s">
        <v>3104</v>
      </c>
      <c r="G1403" s="133" t="s">
        <v>3883</v>
      </c>
      <c r="H1403" s="133">
        <f>VLOOKUP(G1403,'packing mapping'!A:B,2,0)</f>
        <v>4</v>
      </c>
      <c r="I1403" s="137">
        <v>1362240</v>
      </c>
      <c r="J1403" s="132">
        <f t="shared" si="43"/>
        <v>340560</v>
      </c>
    </row>
    <row r="1404" spans="1:10">
      <c r="A1404" s="115" t="s">
        <v>239</v>
      </c>
      <c r="B1404" s="115" t="s">
        <v>240</v>
      </c>
      <c r="C1404" s="115" t="s">
        <v>1308</v>
      </c>
      <c r="D1404" s="115" t="s">
        <v>1309</v>
      </c>
      <c r="E1404" s="133" t="str">
        <f t="shared" si="42"/>
        <v>1200000075GZ-12700 N YELLOW</v>
      </c>
      <c r="F1404" s="133" t="s">
        <v>3105</v>
      </c>
      <c r="G1404" s="133" t="s">
        <v>3883</v>
      </c>
      <c r="H1404" s="133">
        <f>VLOOKUP(G1404,'packing mapping'!A:B,2,0)</f>
        <v>4</v>
      </c>
      <c r="I1404" s="137">
        <v>1344564</v>
      </c>
      <c r="J1404" s="132">
        <f t="shared" si="43"/>
        <v>336141</v>
      </c>
    </row>
    <row r="1405" spans="1:10">
      <c r="A1405" s="115" t="s">
        <v>239</v>
      </c>
      <c r="B1405" s="115" t="s">
        <v>240</v>
      </c>
      <c r="C1405" s="115" t="s">
        <v>1696</v>
      </c>
      <c r="D1405" s="115" t="s">
        <v>1697</v>
      </c>
      <c r="E1405" s="133" t="str">
        <f t="shared" si="42"/>
        <v>1200000075GZ-9127-WS-AK</v>
      </c>
      <c r="F1405" s="133" t="s">
        <v>3284</v>
      </c>
      <c r="G1405" s="133" t="s">
        <v>3883</v>
      </c>
      <c r="H1405" s="133">
        <f>VLOOKUP(G1405,'packing mapping'!A:B,2,0)</f>
        <v>4</v>
      </c>
      <c r="I1405" s="137">
        <v>1120880</v>
      </c>
      <c r="J1405" s="132">
        <f t="shared" si="43"/>
        <v>280220</v>
      </c>
    </row>
    <row r="1406" spans="1:10">
      <c r="A1406" s="115" t="s">
        <v>239</v>
      </c>
      <c r="B1406" s="115" t="s">
        <v>240</v>
      </c>
      <c r="C1406" s="115" t="s">
        <v>1488</v>
      </c>
      <c r="D1406" s="115" t="s">
        <v>1489</v>
      </c>
      <c r="E1406" s="133" t="str">
        <f t="shared" si="42"/>
        <v>1200000075SST-11100 C10 RED</v>
      </c>
      <c r="F1406" s="133" t="s">
        <v>3067</v>
      </c>
      <c r="G1406" s="133" t="s">
        <v>3895</v>
      </c>
      <c r="H1406" s="133">
        <f>VLOOKUP(G1406,'packing mapping'!A:B,2,0)</f>
        <v>16</v>
      </c>
      <c r="I1406" s="137">
        <v>5804272</v>
      </c>
      <c r="J1406" s="132">
        <f t="shared" si="43"/>
        <v>362767</v>
      </c>
    </row>
    <row r="1407" spans="1:10">
      <c r="A1407" s="115" t="s">
        <v>239</v>
      </c>
      <c r="B1407" s="115" t="s">
        <v>240</v>
      </c>
      <c r="C1407" s="115" t="s">
        <v>1490</v>
      </c>
      <c r="D1407" s="115" t="s">
        <v>1491</v>
      </c>
      <c r="E1407" s="133" t="str">
        <f t="shared" si="42"/>
        <v>1200000075SST-11100 C10 BLACK</v>
      </c>
      <c r="F1407" s="133" t="s">
        <v>3064</v>
      </c>
      <c r="G1407" s="133" t="s">
        <v>3895</v>
      </c>
      <c r="H1407" s="133">
        <f>VLOOKUP(G1407,'packing mapping'!A:B,2,0)</f>
        <v>16</v>
      </c>
      <c r="I1407" s="137">
        <v>5402064</v>
      </c>
      <c r="J1407" s="132">
        <f t="shared" si="43"/>
        <v>337629</v>
      </c>
    </row>
    <row r="1408" spans="1:10">
      <c r="A1408" s="115" t="s">
        <v>239</v>
      </c>
      <c r="B1408" s="115" t="s">
        <v>240</v>
      </c>
      <c r="C1408" s="115" t="s">
        <v>1492</v>
      </c>
      <c r="D1408" s="115" t="s">
        <v>1493</v>
      </c>
      <c r="E1408" s="133" t="str">
        <f t="shared" si="42"/>
        <v>1200000075SST-11100 C10 BLUE</v>
      </c>
      <c r="F1408" s="133" t="s">
        <v>3065</v>
      </c>
      <c r="G1408" s="133" t="s">
        <v>3895</v>
      </c>
      <c r="H1408" s="133">
        <f>VLOOKUP(G1408,'packing mapping'!A:B,2,0)</f>
        <v>16</v>
      </c>
      <c r="I1408" s="137">
        <v>5823328</v>
      </c>
      <c r="J1408" s="132">
        <f t="shared" si="43"/>
        <v>363958</v>
      </c>
    </row>
    <row r="1409" spans="1:10">
      <c r="A1409" s="115" t="s">
        <v>239</v>
      </c>
      <c r="B1409" s="115" t="s">
        <v>240</v>
      </c>
      <c r="C1409" s="115" t="s">
        <v>2266</v>
      </c>
      <c r="D1409" s="115" t="s">
        <v>2267</v>
      </c>
      <c r="E1409" s="133" t="str">
        <f t="shared" si="42"/>
        <v>1200000075NCSS-1112-AC-AK</v>
      </c>
      <c r="F1409" s="133" t="s">
        <v>3539</v>
      </c>
      <c r="G1409" s="133" t="s">
        <v>3879</v>
      </c>
      <c r="H1409" s="133">
        <f>VLOOKUP(G1409,'packing mapping'!A:B,2,0)</f>
        <v>20</v>
      </c>
      <c r="I1409" s="137">
        <v>3792340</v>
      </c>
      <c r="J1409" s="132">
        <f t="shared" si="43"/>
        <v>189617</v>
      </c>
    </row>
    <row r="1410" spans="1:10">
      <c r="A1410" s="115" t="s">
        <v>239</v>
      </c>
      <c r="B1410" s="115" t="s">
        <v>240</v>
      </c>
      <c r="C1410" s="115" t="s">
        <v>2268</v>
      </c>
      <c r="D1410" s="115" t="s">
        <v>2269</v>
      </c>
      <c r="E1410" s="133" t="str">
        <f t="shared" si="42"/>
        <v>1200000075PUL-53306 AC EX CLEAR 05 STB VN</v>
      </c>
      <c r="F1410" s="133" t="s">
        <v>3540</v>
      </c>
      <c r="G1410" s="133" t="s">
        <v>3879</v>
      </c>
      <c r="H1410" s="133">
        <f>VLOOKUP(G1410,'packing mapping'!A:B,2,0)</f>
        <v>20</v>
      </c>
      <c r="I1410" s="137">
        <v>3376400</v>
      </c>
      <c r="J1410" s="132">
        <f t="shared" si="43"/>
        <v>168820</v>
      </c>
    </row>
    <row r="1411" spans="1:10">
      <c r="A1411" s="115" t="s">
        <v>239</v>
      </c>
      <c r="B1411" s="115" t="s">
        <v>240</v>
      </c>
      <c r="C1411" s="115" t="s">
        <v>2270</v>
      </c>
      <c r="D1411" s="115" t="s">
        <v>2271</v>
      </c>
      <c r="E1411" s="133" t="str">
        <f t="shared" ref="E1411:E1474" si="44">A1411&amp;F1411</f>
        <v>1200000075PUSS-53206 AC EX STB VN</v>
      </c>
      <c r="F1411" s="133" t="s">
        <v>3541</v>
      </c>
      <c r="G1411" s="133" t="s">
        <v>3881</v>
      </c>
      <c r="H1411" s="133">
        <f>VLOOKUP(G1411,'packing mapping'!A:B,2,0)</f>
        <v>20</v>
      </c>
      <c r="I1411" s="137">
        <v>2583320</v>
      </c>
      <c r="J1411" s="132">
        <f t="shared" ref="J1411:J1474" si="45">I1411/H1411</f>
        <v>129166</v>
      </c>
    </row>
    <row r="1412" spans="1:10">
      <c r="A1412" s="115" t="s">
        <v>239</v>
      </c>
      <c r="B1412" s="115" t="s">
        <v>240</v>
      </c>
      <c r="C1412" s="115" t="s">
        <v>2272</v>
      </c>
      <c r="D1412" s="115" t="s">
        <v>2273</v>
      </c>
      <c r="E1412" s="133" t="str">
        <f t="shared" si="44"/>
        <v>1200000075THGZ-72200 VN</v>
      </c>
      <c r="F1412" s="133" t="s">
        <v>3073</v>
      </c>
      <c r="G1412" s="133" t="s">
        <v>3899</v>
      </c>
      <c r="H1412" s="133">
        <f>VLOOKUP(G1412,'packing mapping'!A:B,2,0)</f>
        <v>160</v>
      </c>
      <c r="I1412" s="137">
        <v>11007360</v>
      </c>
      <c r="J1412" s="132">
        <f t="shared" si="45"/>
        <v>68796</v>
      </c>
    </row>
    <row r="1413" spans="1:10">
      <c r="A1413" s="115" t="s">
        <v>239</v>
      </c>
      <c r="B1413" s="115" t="s">
        <v>240</v>
      </c>
      <c r="C1413" s="115" t="s">
        <v>2274</v>
      </c>
      <c r="D1413" s="115" t="s">
        <v>2275</v>
      </c>
      <c r="E1413" s="133" t="str">
        <f t="shared" si="44"/>
        <v>1200000075THPU-71324-1 EST YJ VN</v>
      </c>
      <c r="F1413" s="133" t="s">
        <v>3542</v>
      </c>
      <c r="G1413" s="133" t="s">
        <v>3884</v>
      </c>
      <c r="H1413" s="133">
        <f>VLOOKUP(G1413,'packing mapping'!A:B,2,0)</f>
        <v>200</v>
      </c>
      <c r="I1413" s="137">
        <v>11424000</v>
      </c>
      <c r="J1413" s="132">
        <f t="shared" si="45"/>
        <v>57120</v>
      </c>
    </row>
    <row r="1414" spans="1:10">
      <c r="A1414" s="115" t="s">
        <v>239</v>
      </c>
      <c r="B1414" s="115" t="s">
        <v>240</v>
      </c>
      <c r="C1414" s="115" t="s">
        <v>1496</v>
      </c>
      <c r="D1414" s="115" t="s">
        <v>1497</v>
      </c>
      <c r="E1414" s="133" t="str">
        <f t="shared" si="44"/>
        <v>1200000075PUH-56141 VN</v>
      </c>
      <c r="F1414" s="133" t="s">
        <v>3189</v>
      </c>
      <c r="G1414" s="133" t="s">
        <v>3881</v>
      </c>
      <c r="H1414" s="133">
        <f>VLOOKUP(G1414,'packing mapping'!A:B,2,0)</f>
        <v>20</v>
      </c>
      <c r="I1414" s="137">
        <v>1714860</v>
      </c>
      <c r="J1414" s="132">
        <f t="shared" si="45"/>
        <v>85743</v>
      </c>
    </row>
    <row r="1415" spans="1:10">
      <c r="A1415" s="115" t="s">
        <v>239</v>
      </c>
      <c r="B1415" s="115" t="s">
        <v>240</v>
      </c>
      <c r="C1415" s="115" t="s">
        <v>1702</v>
      </c>
      <c r="D1415" s="115" t="s">
        <v>1703</v>
      </c>
      <c r="E1415" s="133" t="str">
        <f t="shared" si="44"/>
        <v>1200000075WBMG-97100-1 VN</v>
      </c>
      <c r="F1415" s="133" t="s">
        <v>3287</v>
      </c>
      <c r="G1415" s="133" t="s">
        <v>3883</v>
      </c>
      <c r="H1415" s="133">
        <f>VLOOKUP(G1415,'packing mapping'!A:B,2,0)</f>
        <v>4</v>
      </c>
      <c r="I1415" s="137">
        <v>251016</v>
      </c>
      <c r="J1415" s="132">
        <f t="shared" si="45"/>
        <v>62754</v>
      </c>
    </row>
    <row r="1416" spans="1:10">
      <c r="A1416" s="115" t="s">
        <v>239</v>
      </c>
      <c r="B1416" s="115" t="s">
        <v>240</v>
      </c>
      <c r="C1416" s="115" t="s">
        <v>2276</v>
      </c>
      <c r="D1416" s="115" t="s">
        <v>2277</v>
      </c>
      <c r="E1416" s="133" t="str">
        <f t="shared" si="44"/>
        <v>1200000075SST-11100 YELLOW KD VN</v>
      </c>
      <c r="F1416" s="133" t="s">
        <v>3543</v>
      </c>
      <c r="G1416" s="133" t="s">
        <v>3895</v>
      </c>
      <c r="H1416" s="133">
        <f>VLOOKUP(G1416,'packing mapping'!A:B,2,0)</f>
        <v>16</v>
      </c>
      <c r="I1416" s="137">
        <v>5639232</v>
      </c>
      <c r="J1416" s="132">
        <f t="shared" si="45"/>
        <v>352452</v>
      </c>
    </row>
    <row r="1417" spans="1:10">
      <c r="A1417" s="115" t="s">
        <v>239</v>
      </c>
      <c r="B1417" s="115" t="s">
        <v>240</v>
      </c>
      <c r="C1417" s="115" t="s">
        <v>2278</v>
      </c>
      <c r="D1417" s="115" t="s">
        <v>2279</v>
      </c>
      <c r="E1417" s="133" t="str">
        <f t="shared" si="44"/>
        <v>1200000075PUL-53306 AC EX CLEAR 10 STB VN</v>
      </c>
      <c r="F1417" s="133" t="s">
        <v>3544</v>
      </c>
      <c r="G1417" s="133" t="s">
        <v>3879</v>
      </c>
      <c r="H1417" s="133">
        <f>VLOOKUP(G1417,'packing mapping'!A:B,2,0)</f>
        <v>20</v>
      </c>
      <c r="I1417" s="137">
        <v>3084100</v>
      </c>
      <c r="J1417" s="132">
        <f t="shared" si="45"/>
        <v>154205</v>
      </c>
    </row>
    <row r="1418" spans="1:10">
      <c r="A1418" s="115" t="s">
        <v>239</v>
      </c>
      <c r="B1418" s="115" t="s">
        <v>240</v>
      </c>
      <c r="C1418" s="115" t="s">
        <v>1424</v>
      </c>
      <c r="D1418" s="115" t="s">
        <v>1425</v>
      </c>
      <c r="E1418" s="133" t="str">
        <f t="shared" si="44"/>
        <v>1200000075PS-15100 BASE VN</v>
      </c>
      <c r="F1418" s="133" t="s">
        <v>3160</v>
      </c>
      <c r="G1418" s="133" t="s">
        <v>3880</v>
      </c>
      <c r="H1418" s="133">
        <f>VLOOKUP(G1418,'packing mapping'!A:B,2,0)</f>
        <v>20</v>
      </c>
      <c r="I1418" s="137">
        <v>1379820</v>
      </c>
      <c r="J1418" s="132">
        <f t="shared" si="45"/>
        <v>68991</v>
      </c>
    </row>
    <row r="1419" spans="1:10">
      <c r="A1419" s="115" t="s">
        <v>239</v>
      </c>
      <c r="B1419" s="115" t="s">
        <v>240</v>
      </c>
      <c r="C1419" s="115" t="s">
        <v>2280</v>
      </c>
      <c r="D1419" s="115" t="s">
        <v>2281</v>
      </c>
      <c r="E1419" s="133" t="str">
        <f t="shared" si="44"/>
        <v>1200000075PUP-54111 AC DUNE KD VN</v>
      </c>
      <c r="F1419" s="133" t="s">
        <v>3545</v>
      </c>
      <c r="G1419" s="133" t="s">
        <v>3881</v>
      </c>
      <c r="H1419" s="133">
        <f>VLOOKUP(G1419,'packing mapping'!A:B,2,0)</f>
        <v>20</v>
      </c>
      <c r="I1419" s="137">
        <v>3277420</v>
      </c>
      <c r="J1419" s="132">
        <f t="shared" si="45"/>
        <v>163871</v>
      </c>
    </row>
    <row r="1420" spans="1:10">
      <c r="A1420" s="115" t="s">
        <v>239</v>
      </c>
      <c r="B1420" s="115" t="s">
        <v>240</v>
      </c>
      <c r="C1420" s="115" t="s">
        <v>1586</v>
      </c>
      <c r="D1420" s="115" t="s">
        <v>1587</v>
      </c>
      <c r="E1420" s="133" t="str">
        <f t="shared" si="44"/>
        <v>1200000075THPU-71306 01 KD VN</v>
      </c>
      <c r="F1420" s="133" t="s">
        <v>3231</v>
      </c>
      <c r="G1420" s="133" t="s">
        <v>3884</v>
      </c>
      <c r="H1420" s="133">
        <f>VLOOKUP(G1420,'packing mapping'!A:B,2,0)</f>
        <v>200</v>
      </c>
      <c r="I1420" s="137">
        <v>9168600</v>
      </c>
      <c r="J1420" s="132">
        <f t="shared" si="45"/>
        <v>45843</v>
      </c>
    </row>
    <row r="1421" spans="1:10">
      <c r="A1421" s="115" t="s">
        <v>239</v>
      </c>
      <c r="B1421" s="115" t="s">
        <v>240</v>
      </c>
      <c r="C1421" s="115" t="s">
        <v>2282</v>
      </c>
      <c r="D1421" s="115" t="s">
        <v>2283</v>
      </c>
      <c r="E1421" s="133" t="str">
        <f t="shared" si="44"/>
        <v>1200000075DP-12123 LC BLONDE KD VN</v>
      </c>
      <c r="F1421" s="133" t="s">
        <v>3546</v>
      </c>
      <c r="G1421" s="133" t="s">
        <v>3882</v>
      </c>
      <c r="H1421" s="133">
        <f>VLOOKUP(G1421,'packing mapping'!A:B,2,0)</f>
        <v>18</v>
      </c>
      <c r="I1421" s="137">
        <v>2812230</v>
      </c>
      <c r="J1421" s="132">
        <f t="shared" si="45"/>
        <v>156235</v>
      </c>
    </row>
    <row r="1422" spans="1:10">
      <c r="A1422" s="115" t="s">
        <v>239</v>
      </c>
      <c r="B1422" s="115" t="s">
        <v>240</v>
      </c>
      <c r="C1422" s="115" t="s">
        <v>2284</v>
      </c>
      <c r="D1422" s="115" t="s">
        <v>2285</v>
      </c>
      <c r="E1422" s="133" t="str">
        <f t="shared" si="44"/>
        <v>1200000075PUP-52141 XAM SILVERY KD VN</v>
      </c>
      <c r="F1422" s="133" t="s">
        <v>3547</v>
      </c>
      <c r="G1422" s="133" t="s">
        <v>3881</v>
      </c>
      <c r="H1422" s="133">
        <f>VLOOKUP(G1422,'packing mapping'!A:B,2,0)</f>
        <v>20</v>
      </c>
      <c r="I1422" s="137">
        <v>2703660</v>
      </c>
      <c r="J1422" s="132">
        <f t="shared" si="45"/>
        <v>135183</v>
      </c>
    </row>
    <row r="1423" spans="1:10">
      <c r="A1423" s="115" t="s">
        <v>239</v>
      </c>
      <c r="B1423" s="115" t="s">
        <v>240</v>
      </c>
      <c r="C1423" s="115" t="s">
        <v>2286</v>
      </c>
      <c r="D1423" s="115" t="s">
        <v>2287</v>
      </c>
      <c r="E1423" s="133" t="str">
        <f t="shared" si="44"/>
        <v>1200000075DP-12123 LC BLONDE NEW KD VN</v>
      </c>
      <c r="F1423" s="133" t="s">
        <v>3548</v>
      </c>
      <c r="G1423" s="133" t="s">
        <v>3882</v>
      </c>
      <c r="H1423" s="133">
        <f>VLOOKUP(G1423,'packing mapping'!A:B,2,0)</f>
        <v>18</v>
      </c>
      <c r="I1423" s="137">
        <v>2742138</v>
      </c>
      <c r="J1423" s="132">
        <f t="shared" si="45"/>
        <v>152341</v>
      </c>
    </row>
    <row r="1424" spans="1:10">
      <c r="A1424" s="115" t="s">
        <v>239</v>
      </c>
      <c r="B1424" s="115" t="s">
        <v>240</v>
      </c>
      <c r="C1424" s="115" t="s">
        <v>2288</v>
      </c>
      <c r="D1424" s="115" t="s">
        <v>2289</v>
      </c>
      <c r="E1424" s="133" t="str">
        <f t="shared" si="44"/>
        <v>1200000075PUP-52141 DW 18 KD VN</v>
      </c>
      <c r="F1424" s="133" t="s">
        <v>3549</v>
      </c>
      <c r="G1424" s="133" t="s">
        <v>3881</v>
      </c>
      <c r="H1424" s="133">
        <f>VLOOKUP(G1424,'packing mapping'!A:B,2,0)</f>
        <v>20</v>
      </c>
      <c r="I1424" s="137">
        <v>2651660</v>
      </c>
      <c r="J1424" s="132">
        <f t="shared" si="45"/>
        <v>132583</v>
      </c>
    </row>
    <row r="1425" spans="1:10">
      <c r="A1425" s="115" t="s">
        <v>239</v>
      </c>
      <c r="B1425" s="115" t="s">
        <v>240</v>
      </c>
      <c r="C1425" s="115" t="s">
        <v>2290</v>
      </c>
      <c r="D1425" s="115" t="s">
        <v>2291</v>
      </c>
      <c r="E1425" s="133" t="str">
        <f t="shared" si="44"/>
        <v>1200000075PUP-52141 S009 KD VN</v>
      </c>
      <c r="F1425" s="133" t="s">
        <v>3550</v>
      </c>
      <c r="G1425" s="133" t="s">
        <v>3881</v>
      </c>
      <c r="H1425" s="133">
        <f>VLOOKUP(G1425,'packing mapping'!A:B,2,0)</f>
        <v>20</v>
      </c>
      <c r="I1425" s="137">
        <v>2541440</v>
      </c>
      <c r="J1425" s="132">
        <f t="shared" si="45"/>
        <v>127072</v>
      </c>
    </row>
    <row r="1426" spans="1:10">
      <c r="A1426" s="115" t="s">
        <v>239</v>
      </c>
      <c r="B1426" s="115" t="s">
        <v>240</v>
      </c>
      <c r="C1426" s="115" t="s">
        <v>2292</v>
      </c>
      <c r="D1426" s="115" t="s">
        <v>2293</v>
      </c>
      <c r="E1426" s="133" t="str">
        <f t="shared" si="44"/>
        <v>1200000075PUP-52135 WA19 KD VN</v>
      </c>
      <c r="F1426" s="133" t="s">
        <v>3551</v>
      </c>
      <c r="G1426" s="133" t="s">
        <v>3881</v>
      </c>
      <c r="H1426" s="133">
        <f>VLOOKUP(G1426,'packing mapping'!A:B,2,0)</f>
        <v>20</v>
      </c>
      <c r="I1426" s="137">
        <v>2437980</v>
      </c>
      <c r="J1426" s="132">
        <f t="shared" si="45"/>
        <v>121899</v>
      </c>
    </row>
    <row r="1427" spans="1:10">
      <c r="A1427" s="115" t="s">
        <v>239</v>
      </c>
      <c r="B1427" s="115" t="s">
        <v>240</v>
      </c>
      <c r="C1427" s="115" t="s">
        <v>2294</v>
      </c>
      <c r="D1427" s="115" t="s">
        <v>2295</v>
      </c>
      <c r="E1427" s="133" t="str">
        <f t="shared" si="44"/>
        <v>1200000075PUP-52135 DW 18 KD VN</v>
      </c>
      <c r="F1427" s="133" t="s">
        <v>3552</v>
      </c>
      <c r="G1427" s="133" t="s">
        <v>3881</v>
      </c>
      <c r="H1427" s="133">
        <f>VLOOKUP(G1427,'packing mapping'!A:B,2,0)</f>
        <v>20</v>
      </c>
      <c r="I1427" s="137">
        <v>2773820</v>
      </c>
      <c r="J1427" s="132">
        <f t="shared" si="45"/>
        <v>138691</v>
      </c>
    </row>
    <row r="1428" spans="1:10">
      <c r="A1428" s="115" t="s">
        <v>239</v>
      </c>
      <c r="B1428" s="115" t="s">
        <v>240</v>
      </c>
      <c r="C1428" s="115" t="s">
        <v>2296</v>
      </c>
      <c r="D1428" s="115" t="s">
        <v>2297</v>
      </c>
      <c r="E1428" s="133" t="str">
        <f t="shared" si="44"/>
        <v>1200000075PUP-52135 SO 09 KD VN</v>
      </c>
      <c r="F1428" s="133" t="s">
        <v>3553</v>
      </c>
      <c r="G1428" s="133" t="s">
        <v>3881</v>
      </c>
      <c r="H1428" s="133">
        <f>VLOOKUP(G1428,'packing mapping'!A:B,2,0)</f>
        <v>20</v>
      </c>
      <c r="I1428" s="137">
        <v>2613660</v>
      </c>
      <c r="J1428" s="132">
        <f t="shared" si="45"/>
        <v>130683</v>
      </c>
    </row>
    <row r="1429" spans="1:10">
      <c r="A1429" s="115" t="s">
        <v>239</v>
      </c>
      <c r="B1429" s="115" t="s">
        <v>240</v>
      </c>
      <c r="C1429" s="115" t="s">
        <v>2298</v>
      </c>
      <c r="D1429" s="115" t="s">
        <v>2299</v>
      </c>
      <c r="E1429" s="133" t="str">
        <f t="shared" si="44"/>
        <v>1200000075DP-12129 LC BROWN 458B KD VN</v>
      </c>
      <c r="F1429" s="133" t="s">
        <v>3554</v>
      </c>
      <c r="G1429" s="133" t="s">
        <v>3882</v>
      </c>
      <c r="H1429" s="133">
        <f>VLOOKUP(G1429,'packing mapping'!A:B,2,0)</f>
        <v>18</v>
      </c>
      <c r="I1429" s="137">
        <v>2428146</v>
      </c>
      <c r="J1429" s="132">
        <f t="shared" si="45"/>
        <v>134897</v>
      </c>
    </row>
    <row r="1430" spans="1:10">
      <c r="A1430" s="115" t="s">
        <v>239</v>
      </c>
      <c r="B1430" s="115" t="s">
        <v>240</v>
      </c>
      <c r="C1430" s="115" t="s">
        <v>2300</v>
      </c>
      <c r="D1430" s="115" t="s">
        <v>2301</v>
      </c>
      <c r="E1430" s="133" t="str">
        <f t="shared" si="44"/>
        <v>1200000075PCA-31100 YELLOW OKER PASTE AK VN</v>
      </c>
      <c r="F1430" s="133" t="s">
        <v>3555</v>
      </c>
      <c r="G1430" s="133" t="s">
        <v>3883</v>
      </c>
      <c r="H1430" s="133">
        <f>VLOOKUP(G1430,'packing mapping'!A:B,2,0)</f>
        <v>4</v>
      </c>
      <c r="I1430" s="137">
        <v>1930880</v>
      </c>
      <c r="J1430" s="132">
        <f t="shared" si="45"/>
        <v>482720</v>
      </c>
    </row>
    <row r="1431" spans="1:10">
      <c r="A1431" s="115" t="s">
        <v>239</v>
      </c>
      <c r="B1431" s="115" t="s">
        <v>240</v>
      </c>
      <c r="C1431" s="115" t="s">
        <v>2302</v>
      </c>
      <c r="D1431" s="115" t="s">
        <v>2303</v>
      </c>
      <c r="E1431" s="133" t="str">
        <f t="shared" si="44"/>
        <v>1200000075GZ-12700 N STRATON KD VN</v>
      </c>
      <c r="F1431" s="133" t="s">
        <v>3556</v>
      </c>
      <c r="G1431" s="133" t="s">
        <v>3882</v>
      </c>
      <c r="H1431" s="133">
        <f>VLOOKUP(G1431,'packing mapping'!A:B,2,0)</f>
        <v>18</v>
      </c>
      <c r="I1431" s="137">
        <v>2460276</v>
      </c>
      <c r="J1431" s="132">
        <f t="shared" si="45"/>
        <v>136682</v>
      </c>
    </row>
    <row r="1432" spans="1:10">
      <c r="A1432" s="115" t="s">
        <v>239</v>
      </c>
      <c r="B1432" s="115" t="s">
        <v>240</v>
      </c>
      <c r="C1432" s="115" t="s">
        <v>2304</v>
      </c>
      <c r="D1432" s="115" t="s">
        <v>2305</v>
      </c>
      <c r="E1432" s="133" t="str">
        <f t="shared" si="44"/>
        <v>1200000075DP-12123 LC BLONDE NEW-1 KD VN</v>
      </c>
      <c r="F1432" s="133" t="s">
        <v>3557</v>
      </c>
      <c r="G1432" s="133" t="s">
        <v>3882</v>
      </c>
      <c r="H1432" s="133">
        <f>VLOOKUP(G1432,'packing mapping'!A:B,2,0)</f>
        <v>18</v>
      </c>
      <c r="I1432" s="137">
        <v>2473632</v>
      </c>
      <c r="J1432" s="132">
        <f t="shared" si="45"/>
        <v>137424</v>
      </c>
    </row>
    <row r="1433" spans="1:10">
      <c r="A1433" s="115" t="s">
        <v>239</v>
      </c>
      <c r="B1433" s="115" t="s">
        <v>240</v>
      </c>
      <c r="C1433" s="115" t="s">
        <v>2306</v>
      </c>
      <c r="D1433" s="115" t="s">
        <v>2307</v>
      </c>
      <c r="E1433" s="133" t="str">
        <f t="shared" si="44"/>
        <v>1200000075PCA-31100 YELLOW PASTE AK VN</v>
      </c>
      <c r="F1433" s="133" t="s">
        <v>3558</v>
      </c>
      <c r="G1433" s="133" t="s">
        <v>3883</v>
      </c>
      <c r="H1433" s="133">
        <f>VLOOKUP(G1433,'packing mapping'!A:B,2,0)</f>
        <v>4</v>
      </c>
      <c r="I1433" s="137">
        <v>2412232</v>
      </c>
      <c r="J1433" s="132">
        <f t="shared" si="45"/>
        <v>603058</v>
      </c>
    </row>
    <row r="1434" spans="1:10">
      <c r="A1434" s="115" t="s">
        <v>239</v>
      </c>
      <c r="B1434" s="115" t="s">
        <v>240</v>
      </c>
      <c r="C1434" s="115" t="s">
        <v>2308</v>
      </c>
      <c r="D1434" s="115" t="s">
        <v>2309</v>
      </c>
      <c r="E1434" s="133" t="str">
        <f t="shared" si="44"/>
        <v>1200000075NCL-1113-SR10AK</v>
      </c>
      <c r="F1434" s="133" t="s">
        <v>3559</v>
      </c>
      <c r="G1434" s="133" t="s">
        <v>3882</v>
      </c>
      <c r="H1434" s="133">
        <f>VLOOKUP(G1434,'packing mapping'!A:B,2,0)</f>
        <v>18</v>
      </c>
      <c r="I1434" s="137">
        <v>1952064</v>
      </c>
      <c r="J1434" s="132">
        <f t="shared" si="45"/>
        <v>108448</v>
      </c>
    </row>
    <row r="1435" spans="1:10">
      <c r="A1435" s="115" t="s">
        <v>239</v>
      </c>
      <c r="B1435" s="115" t="s">
        <v>240</v>
      </c>
      <c r="C1435" s="115" t="s">
        <v>2310</v>
      </c>
      <c r="D1435" s="115" t="s">
        <v>2311</v>
      </c>
      <c r="E1435" s="133" t="str">
        <f t="shared" si="44"/>
        <v>1200000075NCL-1113-SR05AK</v>
      </c>
      <c r="F1435" s="133" t="s">
        <v>3560</v>
      </c>
      <c r="G1435" s="133" t="s">
        <v>3882</v>
      </c>
      <c r="H1435" s="133">
        <f>VLOOKUP(G1435,'packing mapping'!A:B,2,0)</f>
        <v>18</v>
      </c>
      <c r="I1435" s="137">
        <v>2209140</v>
      </c>
      <c r="J1435" s="132">
        <f t="shared" si="45"/>
        <v>122730</v>
      </c>
    </row>
    <row r="1436" spans="1:10">
      <c r="A1436" s="115" t="s">
        <v>239</v>
      </c>
      <c r="B1436" s="115" t="s">
        <v>240</v>
      </c>
      <c r="C1436" s="115" t="s">
        <v>2312</v>
      </c>
      <c r="D1436" s="115" t="s">
        <v>2313</v>
      </c>
      <c r="E1436" s="133" t="str">
        <f t="shared" si="44"/>
        <v>1200000075THPU-71324-1 EST YJ VN</v>
      </c>
      <c r="F1436" s="133" t="s">
        <v>3542</v>
      </c>
      <c r="G1436" s="133" t="s">
        <v>3880</v>
      </c>
      <c r="H1436" s="133">
        <f>VLOOKUP(G1436,'packing mapping'!A:B,2,0)</f>
        <v>20</v>
      </c>
      <c r="I1436" s="137">
        <v>1142400</v>
      </c>
      <c r="J1436" s="132">
        <f t="shared" si="45"/>
        <v>57120</v>
      </c>
    </row>
    <row r="1437" spans="1:10">
      <c r="A1437" s="115" t="s">
        <v>239</v>
      </c>
      <c r="B1437" s="115" t="s">
        <v>240</v>
      </c>
      <c r="C1437" s="115" t="s">
        <v>2314</v>
      </c>
      <c r="D1437" s="115" t="s">
        <v>2315</v>
      </c>
      <c r="E1437" s="133" t="str">
        <f t="shared" si="44"/>
        <v>1200000075NCL-1113-29 LC 10 AK</v>
      </c>
      <c r="F1437" s="133" t="s">
        <v>3534</v>
      </c>
      <c r="G1437" s="133" t="s">
        <v>3882</v>
      </c>
      <c r="H1437" s="133">
        <f>VLOOKUP(G1437,'packing mapping'!A:B,2,0)</f>
        <v>18</v>
      </c>
      <c r="I1437" s="137">
        <v>1460592</v>
      </c>
      <c r="J1437" s="132">
        <f t="shared" si="45"/>
        <v>81144</v>
      </c>
    </row>
    <row r="1438" spans="1:10">
      <c r="A1438" s="115" t="s">
        <v>239</v>
      </c>
      <c r="B1438" s="115" t="s">
        <v>240</v>
      </c>
      <c r="C1438" s="115" t="s">
        <v>2316</v>
      </c>
      <c r="D1438" s="115" t="s">
        <v>2317</v>
      </c>
      <c r="E1438" s="133" t="str">
        <f t="shared" si="44"/>
        <v>1200000075NCL-1113-29 LC 15 AK</v>
      </c>
      <c r="F1438" s="133" t="s">
        <v>3535</v>
      </c>
      <c r="G1438" s="133" t="s">
        <v>3882</v>
      </c>
      <c r="H1438" s="133">
        <f>VLOOKUP(G1438,'packing mapping'!A:B,2,0)</f>
        <v>18</v>
      </c>
      <c r="I1438" s="137">
        <v>1415430</v>
      </c>
      <c r="J1438" s="132">
        <f t="shared" si="45"/>
        <v>78635</v>
      </c>
    </row>
    <row r="1439" spans="1:10">
      <c r="A1439" s="115" t="s">
        <v>239</v>
      </c>
      <c r="B1439" s="115" t="s">
        <v>240</v>
      </c>
      <c r="C1439" s="115" t="s">
        <v>2318</v>
      </c>
      <c r="D1439" s="115" t="s">
        <v>2319</v>
      </c>
      <c r="E1439" s="133" t="str">
        <f t="shared" si="44"/>
        <v>1200000075NCL-1113-29 LC 25 AK</v>
      </c>
      <c r="F1439" s="133" t="s">
        <v>3536</v>
      </c>
      <c r="G1439" s="133" t="s">
        <v>3882</v>
      </c>
      <c r="H1439" s="133">
        <f>VLOOKUP(G1439,'packing mapping'!A:B,2,0)</f>
        <v>18</v>
      </c>
      <c r="I1439" s="137">
        <v>1399878</v>
      </c>
      <c r="J1439" s="132">
        <f t="shared" si="45"/>
        <v>77771</v>
      </c>
    </row>
    <row r="1440" spans="1:10">
      <c r="A1440" s="115" t="s">
        <v>239</v>
      </c>
      <c r="B1440" s="115" t="s">
        <v>240</v>
      </c>
      <c r="C1440" s="115" t="s">
        <v>2320</v>
      </c>
      <c r="D1440" s="115" t="s">
        <v>2321</v>
      </c>
      <c r="E1440" s="133" t="str">
        <f t="shared" si="44"/>
        <v>1200000075NCL-1113-29 LC 35 AK</v>
      </c>
      <c r="F1440" s="133" t="s">
        <v>3537</v>
      </c>
      <c r="G1440" s="133" t="s">
        <v>3882</v>
      </c>
      <c r="H1440" s="133">
        <f>VLOOKUP(G1440,'packing mapping'!A:B,2,0)</f>
        <v>18</v>
      </c>
      <c r="I1440" s="137">
        <v>1395000</v>
      </c>
      <c r="J1440" s="132">
        <f t="shared" si="45"/>
        <v>77500</v>
      </c>
    </row>
    <row r="1441" spans="1:10">
      <c r="A1441" s="115" t="s">
        <v>239</v>
      </c>
      <c r="B1441" s="115" t="s">
        <v>240</v>
      </c>
      <c r="C1441" s="115" t="s">
        <v>2322</v>
      </c>
      <c r="D1441" s="115" t="s">
        <v>2323</v>
      </c>
      <c r="E1441" s="133" t="str">
        <f t="shared" si="44"/>
        <v>1200000075NCL-1113-29 LC 5 AK</v>
      </c>
      <c r="F1441" s="133" t="s">
        <v>3538</v>
      </c>
      <c r="G1441" s="133" t="s">
        <v>3882</v>
      </c>
      <c r="H1441" s="133">
        <f>VLOOKUP(G1441,'packing mapping'!A:B,2,0)</f>
        <v>18</v>
      </c>
      <c r="I1441" s="137">
        <v>1386918</v>
      </c>
      <c r="J1441" s="132">
        <f t="shared" si="45"/>
        <v>77051</v>
      </c>
    </row>
    <row r="1442" spans="1:10">
      <c r="A1442" s="115" t="s">
        <v>239</v>
      </c>
      <c r="B1442" s="115" t="s">
        <v>240</v>
      </c>
      <c r="C1442" s="115" t="s">
        <v>2324</v>
      </c>
      <c r="D1442" s="115" t="s">
        <v>2325</v>
      </c>
      <c r="E1442" s="133" t="str">
        <f t="shared" si="44"/>
        <v>1200000075NCL-11301 AC CLEAR 05 VN</v>
      </c>
      <c r="F1442" s="133" t="s">
        <v>3533</v>
      </c>
      <c r="G1442" s="133" t="s">
        <v>3882</v>
      </c>
      <c r="H1442" s="133">
        <f>VLOOKUP(G1442,'packing mapping'!A:B,2,0)</f>
        <v>18</v>
      </c>
      <c r="I1442" s="137">
        <v>2371464</v>
      </c>
      <c r="J1442" s="132">
        <f t="shared" si="45"/>
        <v>131748</v>
      </c>
    </row>
    <row r="1443" spans="1:10">
      <c r="A1443" s="115" t="s">
        <v>239</v>
      </c>
      <c r="B1443" s="115" t="s">
        <v>240</v>
      </c>
      <c r="C1443" s="115" t="s">
        <v>2326</v>
      </c>
      <c r="D1443" s="115" t="s">
        <v>2327</v>
      </c>
      <c r="E1443" s="133" t="str">
        <f t="shared" si="44"/>
        <v>1200000075NCSS-1112-29 LC AK</v>
      </c>
      <c r="F1443" s="133" t="s">
        <v>3516</v>
      </c>
      <c r="G1443" s="133" t="s">
        <v>3904</v>
      </c>
      <c r="H1443" s="133">
        <f>VLOOKUP(G1443,'packing mapping'!A:B,2,0)</f>
        <v>180</v>
      </c>
      <c r="I1443" s="137">
        <v>13708620</v>
      </c>
      <c r="J1443" s="132">
        <f t="shared" si="45"/>
        <v>76159</v>
      </c>
    </row>
    <row r="1444" spans="1:10">
      <c r="A1444" s="115" t="s">
        <v>239</v>
      </c>
      <c r="B1444" s="115" t="s">
        <v>240</v>
      </c>
      <c r="C1444" s="115" t="s">
        <v>2328</v>
      </c>
      <c r="D1444" s="115" t="s">
        <v>2329</v>
      </c>
      <c r="E1444" s="133" t="str">
        <f t="shared" si="44"/>
        <v>1200000075NCSS-1112-AC-AK</v>
      </c>
      <c r="F1444" s="133" t="s">
        <v>3539</v>
      </c>
      <c r="G1444" s="133" t="s">
        <v>3882</v>
      </c>
      <c r="H1444" s="133">
        <f>VLOOKUP(G1444,'packing mapping'!A:B,2,0)</f>
        <v>18</v>
      </c>
      <c r="I1444" s="137">
        <v>4311270</v>
      </c>
      <c r="J1444" s="132">
        <f t="shared" si="45"/>
        <v>239515</v>
      </c>
    </row>
    <row r="1445" spans="1:10">
      <c r="A1445" s="115" t="s">
        <v>239</v>
      </c>
      <c r="B1445" s="115" t="s">
        <v>240</v>
      </c>
      <c r="C1445" s="115" t="s">
        <v>2330</v>
      </c>
      <c r="D1445" s="115" t="s">
        <v>2331</v>
      </c>
      <c r="E1445" s="133" t="str">
        <f t="shared" si="44"/>
        <v>1200000075NCSS-11201 AC VN</v>
      </c>
      <c r="F1445" s="133" t="s">
        <v>3532</v>
      </c>
      <c r="G1445" s="133" t="s">
        <v>3882</v>
      </c>
      <c r="H1445" s="133">
        <f>VLOOKUP(G1445,'packing mapping'!A:B,2,0)</f>
        <v>18</v>
      </c>
      <c r="I1445" s="137">
        <v>2029662</v>
      </c>
      <c r="J1445" s="132">
        <f t="shared" si="45"/>
        <v>112759</v>
      </c>
    </row>
    <row r="1446" spans="1:10">
      <c r="A1446" s="115" t="s">
        <v>239</v>
      </c>
      <c r="B1446" s="115" t="s">
        <v>240</v>
      </c>
      <c r="C1446" s="115" t="s">
        <v>1456</v>
      </c>
      <c r="D1446" s="115" t="s">
        <v>1457</v>
      </c>
      <c r="E1446" s="133" t="str">
        <f t="shared" si="44"/>
        <v>1200000075PS-15100 BASE VN</v>
      </c>
      <c r="F1446" s="133" t="s">
        <v>3160</v>
      </c>
      <c r="G1446" s="133" t="s">
        <v>3895</v>
      </c>
      <c r="H1446" s="133">
        <f>VLOOKUP(G1446,'packing mapping'!A:B,2,0)</f>
        <v>16</v>
      </c>
      <c r="I1446" s="137">
        <v>1379840</v>
      </c>
      <c r="J1446" s="132">
        <f t="shared" si="45"/>
        <v>86240</v>
      </c>
    </row>
    <row r="1447" spans="1:10">
      <c r="A1447" s="115" t="s">
        <v>239</v>
      </c>
      <c r="B1447" s="115" t="s">
        <v>240</v>
      </c>
      <c r="C1447" s="115" t="s">
        <v>2332</v>
      </c>
      <c r="D1447" s="115" t="s">
        <v>2333</v>
      </c>
      <c r="E1447" s="133" t="str">
        <f t="shared" si="44"/>
        <v>1200000075PSV-76000 SB HC MY VN</v>
      </c>
      <c r="F1447" s="133" t="s">
        <v>3090</v>
      </c>
      <c r="G1447" s="133" t="s">
        <v>3885</v>
      </c>
      <c r="H1447" s="133">
        <f>VLOOKUP(G1447,'packing mapping'!A:B,2,0)</f>
        <v>18</v>
      </c>
      <c r="I1447" s="137">
        <v>7232958</v>
      </c>
      <c r="J1447" s="132">
        <f t="shared" si="45"/>
        <v>401831</v>
      </c>
    </row>
    <row r="1448" spans="1:10">
      <c r="A1448" s="115" t="s">
        <v>239</v>
      </c>
      <c r="B1448" s="115" t="s">
        <v>240</v>
      </c>
      <c r="C1448" s="115" t="s">
        <v>2334</v>
      </c>
      <c r="D1448" s="115" t="s">
        <v>2335</v>
      </c>
      <c r="E1448" s="133" t="str">
        <f t="shared" si="44"/>
        <v>1200000075PUH-56306 LY VN</v>
      </c>
      <c r="F1448" s="133" t="s">
        <v>3059</v>
      </c>
      <c r="G1448" s="133" t="s">
        <v>3882</v>
      </c>
      <c r="H1448" s="133">
        <f>VLOOKUP(G1448,'packing mapping'!A:B,2,0)</f>
        <v>18</v>
      </c>
      <c r="I1448" s="137">
        <v>3248748</v>
      </c>
      <c r="J1448" s="132">
        <f t="shared" si="45"/>
        <v>180486</v>
      </c>
    </row>
    <row r="1449" spans="1:10">
      <c r="A1449" s="115" t="s">
        <v>239</v>
      </c>
      <c r="B1449" s="115" t="s">
        <v>240</v>
      </c>
      <c r="C1449" s="115" t="s">
        <v>2336</v>
      </c>
      <c r="D1449" s="115" t="s">
        <v>2337</v>
      </c>
      <c r="E1449" s="133" t="str">
        <f t="shared" si="44"/>
        <v>1200000075PUL-51339 CLEAR 05 VN</v>
      </c>
      <c r="F1449" s="133" t="s">
        <v>3281</v>
      </c>
      <c r="G1449" s="133" t="s">
        <v>3882</v>
      </c>
      <c r="H1449" s="133">
        <f>VLOOKUP(G1449,'packing mapping'!A:B,2,0)</f>
        <v>18</v>
      </c>
      <c r="I1449" s="137">
        <v>1613862</v>
      </c>
      <c r="J1449" s="132">
        <f t="shared" si="45"/>
        <v>89659</v>
      </c>
    </row>
    <row r="1450" spans="1:10">
      <c r="A1450" s="115" t="s">
        <v>239</v>
      </c>
      <c r="B1450" s="115" t="s">
        <v>240</v>
      </c>
      <c r="C1450" s="115" t="s">
        <v>2338</v>
      </c>
      <c r="D1450" s="115" t="s">
        <v>2339</v>
      </c>
      <c r="E1450" s="133" t="str">
        <f t="shared" si="44"/>
        <v>1200000075PUL-53306 AC EX CLEAR 05 STB VN</v>
      </c>
      <c r="F1450" s="133" t="s">
        <v>3540</v>
      </c>
      <c r="G1450" s="133" t="s">
        <v>3882</v>
      </c>
      <c r="H1450" s="133">
        <f>VLOOKUP(G1450,'packing mapping'!A:B,2,0)</f>
        <v>18</v>
      </c>
      <c r="I1450" s="137">
        <v>3165372</v>
      </c>
      <c r="J1450" s="132">
        <f t="shared" si="45"/>
        <v>175854</v>
      </c>
    </row>
    <row r="1451" spans="1:10">
      <c r="A1451" s="115" t="s">
        <v>239</v>
      </c>
      <c r="B1451" s="115" t="s">
        <v>240</v>
      </c>
      <c r="C1451" s="115" t="s">
        <v>2340</v>
      </c>
      <c r="D1451" s="115" t="s">
        <v>2341</v>
      </c>
      <c r="E1451" s="133" t="str">
        <f t="shared" si="44"/>
        <v>1200000075PUL-53306 AC EX CLEAR 10 STB VN</v>
      </c>
      <c r="F1451" s="133" t="s">
        <v>3544</v>
      </c>
      <c r="G1451" s="133" t="s">
        <v>3882</v>
      </c>
      <c r="H1451" s="133">
        <f>VLOOKUP(G1451,'packing mapping'!A:B,2,0)</f>
        <v>18</v>
      </c>
      <c r="I1451" s="137">
        <v>2891358</v>
      </c>
      <c r="J1451" s="132">
        <f t="shared" si="45"/>
        <v>160631</v>
      </c>
    </row>
    <row r="1452" spans="1:10">
      <c r="A1452" s="115" t="s">
        <v>239</v>
      </c>
      <c r="B1452" s="115" t="s">
        <v>240</v>
      </c>
      <c r="C1452" s="115" t="s">
        <v>2342</v>
      </c>
      <c r="D1452" s="115" t="s">
        <v>2343</v>
      </c>
      <c r="E1452" s="133" t="str">
        <f t="shared" si="44"/>
        <v>1200000075PUL-53306 AC EX CLEAR 10 VN</v>
      </c>
      <c r="F1452" s="133" t="s">
        <v>3148</v>
      </c>
      <c r="G1452" s="133" t="s">
        <v>3882</v>
      </c>
      <c r="H1452" s="133">
        <f>VLOOKUP(G1452,'packing mapping'!A:B,2,0)</f>
        <v>18</v>
      </c>
      <c r="I1452" s="137">
        <v>2717982</v>
      </c>
      <c r="J1452" s="132">
        <f t="shared" si="45"/>
        <v>150999</v>
      </c>
    </row>
    <row r="1453" spans="1:10">
      <c r="A1453" s="115" t="s">
        <v>239</v>
      </c>
      <c r="B1453" s="115" t="s">
        <v>240</v>
      </c>
      <c r="C1453" s="115" t="s">
        <v>2344</v>
      </c>
      <c r="D1453" s="115" t="s">
        <v>2345</v>
      </c>
      <c r="E1453" s="133" t="str">
        <f t="shared" si="44"/>
        <v>1200000075RD-74106 VN</v>
      </c>
      <c r="F1453" s="133" t="s">
        <v>3099</v>
      </c>
      <c r="G1453" s="133" t="s">
        <v>3893</v>
      </c>
      <c r="H1453" s="133">
        <f>VLOOKUP(G1453,'packing mapping'!A:B,2,0)</f>
        <v>180</v>
      </c>
      <c r="I1453" s="137">
        <v>7963740</v>
      </c>
      <c r="J1453" s="132">
        <f t="shared" si="45"/>
        <v>44243</v>
      </c>
    </row>
    <row r="1454" spans="1:10">
      <c r="A1454" s="115" t="s">
        <v>239</v>
      </c>
      <c r="B1454" s="115" t="s">
        <v>240</v>
      </c>
      <c r="C1454" s="115" t="s">
        <v>2346</v>
      </c>
      <c r="D1454" s="115" t="s">
        <v>2347</v>
      </c>
      <c r="E1454" s="133" t="str">
        <f t="shared" si="44"/>
        <v>1200000075THC-73100 402 VN</v>
      </c>
      <c r="F1454" s="133" t="s">
        <v>3149</v>
      </c>
      <c r="G1454" s="133" t="s">
        <v>3899</v>
      </c>
      <c r="H1454" s="133">
        <f>VLOOKUP(G1454,'packing mapping'!A:B,2,0)</f>
        <v>160</v>
      </c>
      <c r="I1454" s="137">
        <v>9896800</v>
      </c>
      <c r="J1454" s="132">
        <f t="shared" si="45"/>
        <v>61855</v>
      </c>
    </row>
    <row r="1455" spans="1:10">
      <c r="A1455" s="115" t="s">
        <v>239</v>
      </c>
      <c r="B1455" s="115" t="s">
        <v>240</v>
      </c>
      <c r="C1455" s="115" t="s">
        <v>2348</v>
      </c>
      <c r="D1455" s="115" t="s">
        <v>2349</v>
      </c>
      <c r="E1455" s="133" t="str">
        <f t="shared" si="44"/>
        <v>1200000075THC-73100-007 VN</v>
      </c>
      <c r="F1455" s="133" t="s">
        <v>3150</v>
      </c>
      <c r="G1455" s="133" t="s">
        <v>3899</v>
      </c>
      <c r="H1455" s="133">
        <f>VLOOKUP(G1455,'packing mapping'!A:B,2,0)</f>
        <v>160</v>
      </c>
      <c r="I1455" s="137">
        <v>13366720</v>
      </c>
      <c r="J1455" s="132">
        <f t="shared" si="45"/>
        <v>83542</v>
      </c>
    </row>
    <row r="1456" spans="1:10">
      <c r="A1456" s="115" t="s">
        <v>239</v>
      </c>
      <c r="B1456" s="115" t="s">
        <v>240</v>
      </c>
      <c r="C1456" s="115" t="s">
        <v>2350</v>
      </c>
      <c r="D1456" s="115" t="s">
        <v>2351</v>
      </c>
      <c r="E1456" s="133" t="str">
        <f t="shared" si="44"/>
        <v>1200000075THC-73100-007 VN</v>
      </c>
      <c r="F1456" s="133" t="s">
        <v>3150</v>
      </c>
      <c r="G1456" s="133" t="s">
        <v>3895</v>
      </c>
      <c r="H1456" s="133">
        <f>VLOOKUP(G1456,'packing mapping'!A:B,2,0)</f>
        <v>16</v>
      </c>
      <c r="I1456" s="137">
        <v>1351072</v>
      </c>
      <c r="J1456" s="132">
        <f t="shared" si="45"/>
        <v>84442</v>
      </c>
    </row>
    <row r="1457" spans="1:10">
      <c r="A1457" s="115" t="s">
        <v>239</v>
      </c>
      <c r="B1457" s="115" t="s">
        <v>240</v>
      </c>
      <c r="C1457" s="115" t="s">
        <v>2352</v>
      </c>
      <c r="D1457" s="115" t="s">
        <v>2353</v>
      </c>
      <c r="E1457" s="133" t="str">
        <f t="shared" si="44"/>
        <v>1200000075THNC-71100 SD VN</v>
      </c>
      <c r="F1457" s="133" t="s">
        <v>3074</v>
      </c>
      <c r="G1457" s="133" t="s">
        <v>3893</v>
      </c>
      <c r="H1457" s="133">
        <f>VLOOKUP(G1457,'packing mapping'!A:B,2,0)</f>
        <v>180</v>
      </c>
      <c r="I1457" s="137">
        <v>9809640</v>
      </c>
      <c r="J1457" s="132">
        <f t="shared" si="45"/>
        <v>54498</v>
      </c>
    </row>
    <row r="1458" spans="1:10">
      <c r="A1458" s="115" t="s">
        <v>239</v>
      </c>
      <c r="B1458" s="115" t="s">
        <v>240</v>
      </c>
      <c r="C1458" s="115" t="s">
        <v>2354</v>
      </c>
      <c r="D1458" s="115" t="s">
        <v>2355</v>
      </c>
      <c r="E1458" s="133" t="str">
        <f t="shared" si="44"/>
        <v>1200000075THPU-71306 01 KD VN</v>
      </c>
      <c r="F1458" s="133" t="s">
        <v>3231</v>
      </c>
      <c r="G1458" s="133" t="s">
        <v>3893</v>
      </c>
      <c r="H1458" s="133">
        <f>VLOOKUP(G1458,'packing mapping'!A:B,2,0)</f>
        <v>180</v>
      </c>
      <c r="I1458" s="137">
        <v>8778420</v>
      </c>
      <c r="J1458" s="132">
        <f t="shared" si="45"/>
        <v>48769</v>
      </c>
    </row>
    <row r="1459" spans="1:10">
      <c r="A1459" s="115" t="s">
        <v>239</v>
      </c>
      <c r="B1459" s="115" t="s">
        <v>240</v>
      </c>
      <c r="C1459" s="115" t="s">
        <v>2356</v>
      </c>
      <c r="D1459" s="115" t="s">
        <v>2357</v>
      </c>
      <c r="E1459" s="133" t="str">
        <f t="shared" si="44"/>
        <v>1200000075THPU-71306</v>
      </c>
      <c r="F1459" s="133" t="s">
        <v>3531</v>
      </c>
      <c r="G1459" s="133" t="s">
        <v>3899</v>
      </c>
      <c r="H1459" s="133">
        <f>VLOOKUP(G1459,'packing mapping'!A:B,2,0)</f>
        <v>160</v>
      </c>
      <c r="I1459" s="137">
        <v>9541440</v>
      </c>
      <c r="J1459" s="132">
        <f t="shared" si="45"/>
        <v>59634</v>
      </c>
    </row>
    <row r="1460" spans="1:10">
      <c r="A1460" s="115" t="s">
        <v>239</v>
      </c>
      <c r="B1460" s="115" t="s">
        <v>240</v>
      </c>
      <c r="C1460" s="115" t="s">
        <v>2358</v>
      </c>
      <c r="D1460" s="115" t="s">
        <v>2359</v>
      </c>
      <c r="E1460" s="133" t="str">
        <f t="shared" si="44"/>
        <v>1200000075THPU-71324-1 EST YJ VN</v>
      </c>
      <c r="F1460" s="133" t="s">
        <v>3542</v>
      </c>
      <c r="G1460" s="133" t="s">
        <v>3893</v>
      </c>
      <c r="H1460" s="133">
        <f>VLOOKUP(G1460,'packing mapping'!A:B,2,0)</f>
        <v>180</v>
      </c>
      <c r="I1460" s="137">
        <v>11424060</v>
      </c>
      <c r="J1460" s="132">
        <f t="shared" si="45"/>
        <v>63467</v>
      </c>
    </row>
    <row r="1461" spans="1:10">
      <c r="A1461" s="115" t="s">
        <v>239</v>
      </c>
      <c r="B1461" s="115" t="s">
        <v>240</v>
      </c>
      <c r="C1461" s="115" t="s">
        <v>2360</v>
      </c>
      <c r="D1461" s="115" t="s">
        <v>2361</v>
      </c>
      <c r="E1461" s="133" t="str">
        <f t="shared" si="44"/>
        <v>1200000075THGZ-72200 D40 VN</v>
      </c>
      <c r="F1461" s="133" t="s">
        <v>3344</v>
      </c>
      <c r="G1461" s="133" t="s">
        <v>3899</v>
      </c>
      <c r="H1461" s="133">
        <f>VLOOKUP(G1461,'packing mapping'!A:B,2,0)</f>
        <v>160</v>
      </c>
      <c r="I1461" s="137">
        <v>14720000</v>
      </c>
      <c r="J1461" s="132">
        <f t="shared" si="45"/>
        <v>92000</v>
      </c>
    </row>
    <row r="1462" spans="1:10">
      <c r="A1462" s="115" t="s">
        <v>341</v>
      </c>
      <c r="B1462" s="115" t="s">
        <v>342</v>
      </c>
      <c r="C1462" s="115" t="s">
        <v>2362</v>
      </c>
      <c r="D1462" s="115" t="s">
        <v>2363</v>
      </c>
      <c r="E1462" s="133" t="str">
        <f t="shared" si="44"/>
        <v>1200000127GZ-9127-N570-AK</v>
      </c>
      <c r="F1462" s="133" t="s">
        <v>3561</v>
      </c>
      <c r="G1462" s="133" t="s">
        <v>3882</v>
      </c>
      <c r="H1462" s="133">
        <f>VLOOKUP(G1462,'packing mapping'!A:B,2,0)</f>
        <v>18</v>
      </c>
      <c r="I1462" s="137">
        <v>5415984</v>
      </c>
      <c r="J1462" s="132">
        <f t="shared" si="45"/>
        <v>300888</v>
      </c>
    </row>
    <row r="1463" spans="1:10">
      <c r="A1463" s="115" t="s">
        <v>341</v>
      </c>
      <c r="B1463" s="115" t="s">
        <v>342</v>
      </c>
      <c r="C1463" s="115" t="s">
        <v>2364</v>
      </c>
      <c r="D1463" s="115" t="s">
        <v>2365</v>
      </c>
      <c r="E1463" s="133" t="str">
        <f t="shared" si="44"/>
        <v>1200000127GZ-9127-WS-AK</v>
      </c>
      <c r="F1463" s="133" t="s">
        <v>3284</v>
      </c>
      <c r="G1463" s="133" t="s">
        <v>3882</v>
      </c>
      <c r="H1463" s="133">
        <f>VLOOKUP(G1463,'packing mapping'!A:B,2,0)</f>
        <v>18</v>
      </c>
      <c r="I1463" s="137">
        <v>2998296</v>
      </c>
      <c r="J1463" s="132">
        <f t="shared" si="45"/>
        <v>166572</v>
      </c>
    </row>
    <row r="1464" spans="1:10">
      <c r="A1464" s="115" t="s">
        <v>341</v>
      </c>
      <c r="B1464" s="115" t="s">
        <v>342</v>
      </c>
      <c r="C1464" s="115" t="s">
        <v>2366</v>
      </c>
      <c r="D1464" s="115" t="s">
        <v>2367</v>
      </c>
      <c r="E1464" s="133" t="str">
        <f t="shared" si="44"/>
        <v>1200000127NBC-9345-518-AK</v>
      </c>
      <c r="F1464" s="133" t="s">
        <v>3562</v>
      </c>
      <c r="G1464" s="133" t="s">
        <v>3889</v>
      </c>
      <c r="H1464" s="133">
        <f>VLOOKUP(G1464,'packing mapping'!A:B,2,0)</f>
        <v>200</v>
      </c>
      <c r="I1464" s="137">
        <v>24631600</v>
      </c>
      <c r="J1464" s="132">
        <f t="shared" si="45"/>
        <v>123158</v>
      </c>
    </row>
    <row r="1465" spans="1:10">
      <c r="A1465" s="115" t="s">
        <v>341</v>
      </c>
      <c r="B1465" s="115" t="s">
        <v>342</v>
      </c>
      <c r="C1465" s="115" t="s">
        <v>2368</v>
      </c>
      <c r="D1465" s="115" t="s">
        <v>2369</v>
      </c>
      <c r="E1465" s="133" t="str">
        <f t="shared" si="44"/>
        <v>1200000127NBC-9345-553-AK</v>
      </c>
      <c r="F1465" s="133" t="s">
        <v>3563</v>
      </c>
      <c r="G1465" s="133" t="s">
        <v>3889</v>
      </c>
      <c r="H1465" s="133">
        <f>VLOOKUP(G1465,'packing mapping'!A:B,2,0)</f>
        <v>200</v>
      </c>
      <c r="I1465" s="137">
        <v>22380800</v>
      </c>
      <c r="J1465" s="132">
        <f t="shared" si="45"/>
        <v>111904</v>
      </c>
    </row>
    <row r="1466" spans="1:10">
      <c r="A1466" s="115" t="s">
        <v>341</v>
      </c>
      <c r="B1466" s="115" t="s">
        <v>342</v>
      </c>
      <c r="C1466" s="115" t="s">
        <v>2370</v>
      </c>
      <c r="D1466" s="115" t="s">
        <v>2371</v>
      </c>
      <c r="E1466" s="133" t="str">
        <f t="shared" si="44"/>
        <v>1200000127NBC-9345-697-AK</v>
      </c>
      <c r="F1466" s="133" t="s">
        <v>3564</v>
      </c>
      <c r="G1466" s="133" t="s">
        <v>3889</v>
      </c>
      <c r="H1466" s="133">
        <f>VLOOKUP(G1466,'packing mapping'!A:B,2,0)</f>
        <v>200</v>
      </c>
      <c r="I1466" s="137">
        <v>25731600</v>
      </c>
      <c r="J1466" s="132">
        <f t="shared" si="45"/>
        <v>128658</v>
      </c>
    </row>
    <row r="1467" spans="1:10">
      <c r="A1467" s="115" t="s">
        <v>341</v>
      </c>
      <c r="B1467" s="115" t="s">
        <v>342</v>
      </c>
      <c r="C1467" s="115" t="s">
        <v>2372</v>
      </c>
      <c r="D1467" s="115" t="s">
        <v>2373</v>
      </c>
      <c r="E1467" s="133" t="str">
        <f t="shared" si="44"/>
        <v>1200000127NBC-9345-706-AK</v>
      </c>
      <c r="F1467" s="133" t="s">
        <v>3565</v>
      </c>
      <c r="G1467" s="133" t="s">
        <v>3889</v>
      </c>
      <c r="H1467" s="133">
        <f>VLOOKUP(G1467,'packing mapping'!A:B,2,0)</f>
        <v>200</v>
      </c>
      <c r="I1467" s="137">
        <v>23864200</v>
      </c>
      <c r="J1467" s="132">
        <f t="shared" si="45"/>
        <v>119321</v>
      </c>
    </row>
    <row r="1468" spans="1:10">
      <c r="A1468" s="115" t="s">
        <v>341</v>
      </c>
      <c r="B1468" s="115" t="s">
        <v>342</v>
      </c>
      <c r="C1468" s="115" t="s">
        <v>2374</v>
      </c>
      <c r="D1468" s="115" t="s">
        <v>2375</v>
      </c>
      <c r="E1468" s="133" t="str">
        <f t="shared" si="44"/>
        <v>1200000127NBC-9345-747-AK</v>
      </c>
      <c r="F1468" s="133" t="s">
        <v>3566</v>
      </c>
      <c r="G1468" s="133" t="s">
        <v>3889</v>
      </c>
      <c r="H1468" s="133">
        <f>VLOOKUP(G1468,'packing mapping'!A:B,2,0)</f>
        <v>200</v>
      </c>
      <c r="I1468" s="137">
        <v>25731600</v>
      </c>
      <c r="J1468" s="132">
        <f t="shared" si="45"/>
        <v>128658</v>
      </c>
    </row>
    <row r="1469" spans="1:10">
      <c r="A1469" s="115" t="s">
        <v>341</v>
      </c>
      <c r="B1469" s="115" t="s">
        <v>342</v>
      </c>
      <c r="C1469" s="115" t="s">
        <v>2376</v>
      </c>
      <c r="D1469" s="115" t="s">
        <v>2377</v>
      </c>
      <c r="E1469" s="133" t="str">
        <f t="shared" si="44"/>
        <v>1200000127NBC-9345-771-AK</v>
      </c>
      <c r="F1469" s="133" t="s">
        <v>3567</v>
      </c>
      <c r="G1469" s="133" t="s">
        <v>3889</v>
      </c>
      <c r="H1469" s="133">
        <f>VLOOKUP(G1469,'packing mapping'!A:B,2,0)</f>
        <v>200</v>
      </c>
      <c r="I1469" s="137">
        <v>24580400</v>
      </c>
      <c r="J1469" s="132">
        <f t="shared" si="45"/>
        <v>122902</v>
      </c>
    </row>
    <row r="1470" spans="1:10">
      <c r="A1470" s="115" t="s">
        <v>341</v>
      </c>
      <c r="B1470" s="115" t="s">
        <v>342</v>
      </c>
      <c r="C1470" s="115" t="s">
        <v>2378</v>
      </c>
      <c r="D1470" s="115" t="s">
        <v>2379</v>
      </c>
      <c r="E1470" s="133" t="str">
        <f t="shared" si="44"/>
        <v>1200000127NBC-9345-802-AK</v>
      </c>
      <c r="F1470" s="133" t="s">
        <v>3568</v>
      </c>
      <c r="G1470" s="133" t="s">
        <v>3889</v>
      </c>
      <c r="H1470" s="133">
        <f>VLOOKUP(G1470,'packing mapping'!A:B,2,0)</f>
        <v>200</v>
      </c>
      <c r="I1470" s="137">
        <v>22329600</v>
      </c>
      <c r="J1470" s="132">
        <f t="shared" si="45"/>
        <v>111648</v>
      </c>
    </row>
    <row r="1471" spans="1:10">
      <c r="A1471" s="115" t="s">
        <v>341</v>
      </c>
      <c r="B1471" s="115" t="s">
        <v>342</v>
      </c>
      <c r="C1471" s="115" t="s">
        <v>2380</v>
      </c>
      <c r="D1471" s="115" t="s">
        <v>2381</v>
      </c>
      <c r="E1471" s="133" t="str">
        <f t="shared" si="44"/>
        <v>1200000127NBC-9345-880-AK</v>
      </c>
      <c r="F1471" s="133" t="s">
        <v>3569</v>
      </c>
      <c r="G1471" s="133" t="s">
        <v>3889</v>
      </c>
      <c r="H1471" s="133">
        <f>VLOOKUP(G1471,'packing mapping'!A:B,2,0)</f>
        <v>200</v>
      </c>
      <c r="I1471" s="137">
        <v>29772800</v>
      </c>
      <c r="J1471" s="132">
        <f t="shared" si="45"/>
        <v>148864</v>
      </c>
    </row>
    <row r="1472" spans="1:10">
      <c r="A1472" s="115" t="s">
        <v>341</v>
      </c>
      <c r="B1472" s="115" t="s">
        <v>342</v>
      </c>
      <c r="C1472" s="115" t="s">
        <v>2382</v>
      </c>
      <c r="D1472" s="115" t="s">
        <v>2383</v>
      </c>
      <c r="E1472" s="133" t="str">
        <f t="shared" si="44"/>
        <v>1200000127NBC-9345-B655AK</v>
      </c>
      <c r="F1472" s="133" t="s">
        <v>3570</v>
      </c>
      <c r="G1472" s="133" t="s">
        <v>3881</v>
      </c>
      <c r="H1472" s="133">
        <f>VLOOKUP(G1472,'packing mapping'!A:B,2,0)</f>
        <v>20</v>
      </c>
      <c r="I1472" s="137">
        <v>2110180</v>
      </c>
      <c r="J1472" s="132">
        <f t="shared" si="45"/>
        <v>105509</v>
      </c>
    </row>
    <row r="1473" spans="1:10">
      <c r="A1473" s="115" t="s">
        <v>341</v>
      </c>
      <c r="B1473" s="115" t="s">
        <v>342</v>
      </c>
      <c r="C1473" s="115" t="s">
        <v>2384</v>
      </c>
      <c r="D1473" s="115" t="s">
        <v>2385</v>
      </c>
      <c r="E1473" s="133" t="str">
        <f t="shared" si="44"/>
        <v>1200000127NBC-9345-B13-AK</v>
      </c>
      <c r="F1473" s="133" t="s">
        <v>3571</v>
      </c>
      <c r="G1473" s="133" t="s">
        <v>3889</v>
      </c>
      <c r="H1473" s="133">
        <f>VLOOKUP(G1473,'packing mapping'!A:B,2,0)</f>
        <v>200</v>
      </c>
      <c r="I1473" s="137">
        <v>28647400</v>
      </c>
      <c r="J1473" s="132">
        <f t="shared" si="45"/>
        <v>143237</v>
      </c>
    </row>
    <row r="1474" spans="1:10">
      <c r="A1474" s="115" t="s">
        <v>341</v>
      </c>
      <c r="B1474" s="115" t="s">
        <v>342</v>
      </c>
      <c r="C1474" s="115" t="s">
        <v>2386</v>
      </c>
      <c r="D1474" s="115" t="s">
        <v>2387</v>
      </c>
      <c r="E1474" s="133" t="str">
        <f t="shared" si="44"/>
        <v>1200000127NBC-9345-T781AK</v>
      </c>
      <c r="F1474" s="133" t="s">
        <v>3572</v>
      </c>
      <c r="G1474" s="133" t="s">
        <v>3889</v>
      </c>
      <c r="H1474" s="133">
        <f>VLOOKUP(G1474,'packing mapping'!A:B,2,0)</f>
        <v>200</v>
      </c>
      <c r="I1474" s="137">
        <v>25347800</v>
      </c>
      <c r="J1474" s="132">
        <f t="shared" si="45"/>
        <v>126739</v>
      </c>
    </row>
    <row r="1475" spans="1:10">
      <c r="A1475" s="115" t="s">
        <v>341</v>
      </c>
      <c r="B1475" s="115" t="s">
        <v>342</v>
      </c>
      <c r="C1475" s="115" t="s">
        <v>2388</v>
      </c>
      <c r="D1475" s="115" t="s">
        <v>2389</v>
      </c>
      <c r="E1475" s="133" t="str">
        <f t="shared" ref="E1475:E1538" si="46">A1475&amp;F1475</f>
        <v>1200000127NCL-9408-10-AK</v>
      </c>
      <c r="F1475" s="133" t="s">
        <v>3573</v>
      </c>
      <c r="G1475" s="133" t="s">
        <v>3904</v>
      </c>
      <c r="H1475" s="133">
        <f>VLOOKUP(G1475,'packing mapping'!A:B,2,0)</f>
        <v>180</v>
      </c>
      <c r="I1475" s="137">
        <v>20911680</v>
      </c>
      <c r="J1475" s="132">
        <f t="shared" ref="J1475:J1538" si="47">I1475/H1475</f>
        <v>116176</v>
      </c>
    </row>
    <row r="1476" spans="1:10">
      <c r="A1476" s="115" t="s">
        <v>341</v>
      </c>
      <c r="B1476" s="115" t="s">
        <v>342</v>
      </c>
      <c r="C1476" s="115" t="s">
        <v>2390</v>
      </c>
      <c r="D1476" s="115" t="s">
        <v>2391</v>
      </c>
      <c r="E1476" s="133" t="str">
        <f t="shared" si="46"/>
        <v>1200000127NCL-9408-20-AK</v>
      </c>
      <c r="F1476" s="133" t="s">
        <v>3574</v>
      </c>
      <c r="G1476" s="133" t="s">
        <v>3904</v>
      </c>
      <c r="H1476" s="133">
        <f>VLOOKUP(G1476,'packing mapping'!A:B,2,0)</f>
        <v>180</v>
      </c>
      <c r="I1476" s="137">
        <v>19497780</v>
      </c>
      <c r="J1476" s="132">
        <f t="shared" si="47"/>
        <v>108321</v>
      </c>
    </row>
    <row r="1477" spans="1:10">
      <c r="A1477" s="115" t="s">
        <v>341</v>
      </c>
      <c r="B1477" s="115" t="s">
        <v>342</v>
      </c>
      <c r="C1477" s="115" t="s">
        <v>2392</v>
      </c>
      <c r="D1477" s="115" t="s">
        <v>2393</v>
      </c>
      <c r="E1477" s="133" t="str">
        <f t="shared" si="46"/>
        <v>1200000127NCL-9408-30-AK</v>
      </c>
      <c r="F1477" s="133" t="s">
        <v>3575</v>
      </c>
      <c r="G1477" s="133" t="s">
        <v>3904</v>
      </c>
      <c r="H1477" s="133">
        <f>VLOOKUP(G1477,'packing mapping'!A:B,2,0)</f>
        <v>180</v>
      </c>
      <c r="I1477" s="137">
        <v>19472940</v>
      </c>
      <c r="J1477" s="132">
        <f t="shared" si="47"/>
        <v>108183</v>
      </c>
    </row>
    <row r="1478" spans="1:10">
      <c r="A1478" s="115" t="s">
        <v>341</v>
      </c>
      <c r="B1478" s="115" t="s">
        <v>342</v>
      </c>
      <c r="C1478" s="115" t="s">
        <v>2394</v>
      </c>
      <c r="D1478" s="115" t="s">
        <v>2395</v>
      </c>
      <c r="E1478" s="133" t="str">
        <f t="shared" si="46"/>
        <v>1200000127NCL-9408-5-AK</v>
      </c>
      <c r="F1478" s="133" t="s">
        <v>3576</v>
      </c>
      <c r="G1478" s="133" t="s">
        <v>3904</v>
      </c>
      <c r="H1478" s="133">
        <f>VLOOKUP(G1478,'packing mapping'!A:B,2,0)</f>
        <v>180</v>
      </c>
      <c r="I1478" s="137">
        <v>21854340</v>
      </c>
      <c r="J1478" s="132">
        <f t="shared" si="47"/>
        <v>121413</v>
      </c>
    </row>
    <row r="1479" spans="1:10">
      <c r="A1479" s="115" t="s">
        <v>341</v>
      </c>
      <c r="B1479" s="115" t="s">
        <v>342</v>
      </c>
      <c r="C1479" s="115" t="s">
        <v>2396</v>
      </c>
      <c r="D1479" s="115" t="s">
        <v>2397</v>
      </c>
      <c r="E1479" s="133" t="str">
        <f t="shared" si="46"/>
        <v>1200000127NCL-9408-50-AK</v>
      </c>
      <c r="F1479" s="133" t="s">
        <v>3577</v>
      </c>
      <c r="G1479" s="133" t="s">
        <v>3904</v>
      </c>
      <c r="H1479" s="133">
        <f>VLOOKUP(G1479,'packing mapping'!A:B,2,0)</f>
        <v>180</v>
      </c>
      <c r="I1479" s="137">
        <v>18828000</v>
      </c>
      <c r="J1479" s="132">
        <f t="shared" si="47"/>
        <v>104600</v>
      </c>
    </row>
    <row r="1480" spans="1:10">
      <c r="A1480" s="115" t="s">
        <v>341</v>
      </c>
      <c r="B1480" s="115" t="s">
        <v>342</v>
      </c>
      <c r="C1480" s="115" t="s">
        <v>2398</v>
      </c>
      <c r="D1480" s="115" t="s">
        <v>2399</v>
      </c>
      <c r="E1480" s="133" t="str">
        <f t="shared" si="46"/>
        <v>1200000127NCSS-9308-LC-AK</v>
      </c>
      <c r="F1480" s="133" t="s">
        <v>3578</v>
      </c>
      <c r="G1480" s="133" t="s">
        <v>3904</v>
      </c>
      <c r="H1480" s="133">
        <f>VLOOKUP(G1480,'packing mapping'!A:B,2,0)</f>
        <v>180</v>
      </c>
      <c r="I1480" s="137">
        <v>17811000</v>
      </c>
      <c r="J1480" s="132">
        <f t="shared" si="47"/>
        <v>98950</v>
      </c>
    </row>
    <row r="1481" spans="1:10">
      <c r="A1481" s="115" t="s">
        <v>341</v>
      </c>
      <c r="B1481" s="115" t="s">
        <v>342</v>
      </c>
      <c r="C1481" s="115" t="s">
        <v>2400</v>
      </c>
      <c r="D1481" s="115" t="s">
        <v>2401</v>
      </c>
      <c r="E1481" s="133" t="str">
        <f t="shared" si="46"/>
        <v>1200000127PCA-2311-BL-AK</v>
      </c>
      <c r="F1481" s="133" t="s">
        <v>3579</v>
      </c>
      <c r="G1481" s="133" t="s">
        <v>3883</v>
      </c>
      <c r="H1481" s="133">
        <f>VLOOKUP(G1481,'packing mapping'!A:B,2,0)</f>
        <v>4</v>
      </c>
      <c r="I1481" s="137">
        <v>1607444</v>
      </c>
      <c r="J1481" s="132">
        <f t="shared" si="47"/>
        <v>401861</v>
      </c>
    </row>
    <row r="1482" spans="1:10">
      <c r="A1482" s="115" t="s">
        <v>341</v>
      </c>
      <c r="B1482" s="115" t="s">
        <v>342</v>
      </c>
      <c r="C1482" s="115" t="s">
        <v>2402</v>
      </c>
      <c r="D1482" s="115" t="s">
        <v>2403</v>
      </c>
      <c r="E1482" s="133" t="str">
        <f t="shared" si="46"/>
        <v>1200000127PCA-2311-YHR-AK</v>
      </c>
      <c r="F1482" s="133" t="s">
        <v>3580</v>
      </c>
      <c r="G1482" s="133" t="s">
        <v>3883</v>
      </c>
      <c r="H1482" s="133">
        <f>VLOOKUP(G1482,'packing mapping'!A:B,2,0)</f>
        <v>4</v>
      </c>
      <c r="I1482" s="137">
        <v>2441376</v>
      </c>
      <c r="J1482" s="132">
        <f t="shared" si="47"/>
        <v>610344</v>
      </c>
    </row>
    <row r="1483" spans="1:10">
      <c r="A1483" s="115" t="s">
        <v>341</v>
      </c>
      <c r="B1483" s="115" t="s">
        <v>342</v>
      </c>
      <c r="C1483" s="115" t="s">
        <v>2404</v>
      </c>
      <c r="D1483" s="115" t="s">
        <v>2405</v>
      </c>
      <c r="E1483" s="133" t="str">
        <f t="shared" si="46"/>
        <v>1200000127PUP-1521-570-AK</v>
      </c>
      <c r="F1483" s="133" t="s">
        <v>3581</v>
      </c>
      <c r="G1483" s="133" t="s">
        <v>3889</v>
      </c>
      <c r="H1483" s="133">
        <f>VLOOKUP(G1483,'packing mapping'!A:B,2,0)</f>
        <v>200</v>
      </c>
      <c r="I1483" s="137">
        <v>18411800</v>
      </c>
      <c r="J1483" s="132">
        <f t="shared" si="47"/>
        <v>92059</v>
      </c>
    </row>
    <row r="1484" spans="1:10">
      <c r="A1484" s="115" t="s">
        <v>341</v>
      </c>
      <c r="B1484" s="115" t="s">
        <v>342</v>
      </c>
      <c r="C1484" s="115" t="s">
        <v>2406</v>
      </c>
      <c r="D1484" s="115" t="s">
        <v>2407</v>
      </c>
      <c r="E1484" s="133" t="str">
        <f t="shared" si="46"/>
        <v>1200000127RD-2741-03-AK</v>
      </c>
      <c r="F1484" s="133" t="s">
        <v>3582</v>
      </c>
      <c r="G1484" s="133" t="s">
        <v>3893</v>
      </c>
      <c r="H1484" s="133">
        <f>VLOOKUP(G1484,'packing mapping'!A:B,2,0)</f>
        <v>180</v>
      </c>
      <c r="I1484" s="137">
        <v>15127560</v>
      </c>
      <c r="J1484" s="132">
        <f t="shared" si="47"/>
        <v>84042</v>
      </c>
    </row>
    <row r="1485" spans="1:10">
      <c r="A1485" s="115" t="s">
        <v>341</v>
      </c>
      <c r="B1485" s="115" t="s">
        <v>342</v>
      </c>
      <c r="C1485" s="115" t="s">
        <v>2408</v>
      </c>
      <c r="D1485" s="115" t="s">
        <v>2409</v>
      </c>
      <c r="E1485" s="133" t="str">
        <f t="shared" si="46"/>
        <v>1200000127SST-2111-BL-AK</v>
      </c>
      <c r="F1485" s="133" t="s">
        <v>3583</v>
      </c>
      <c r="G1485" s="133" t="s">
        <v>3883</v>
      </c>
      <c r="H1485" s="133">
        <f>VLOOKUP(G1485,'packing mapping'!A:B,2,0)</f>
        <v>4</v>
      </c>
      <c r="I1485" s="137">
        <v>1518364</v>
      </c>
      <c r="J1485" s="132">
        <f t="shared" si="47"/>
        <v>379591</v>
      </c>
    </row>
    <row r="1486" spans="1:10">
      <c r="A1486" s="115" t="s">
        <v>341</v>
      </c>
      <c r="B1486" s="115" t="s">
        <v>342</v>
      </c>
      <c r="C1486" s="115" t="s">
        <v>2410</v>
      </c>
      <c r="D1486" s="115" t="s">
        <v>2411</v>
      </c>
      <c r="E1486" s="133" t="str">
        <f t="shared" si="46"/>
        <v>1200000127SST-2111-BU-AK</v>
      </c>
      <c r="F1486" s="133" t="s">
        <v>3584</v>
      </c>
      <c r="G1486" s="133" t="s">
        <v>3883</v>
      </c>
      <c r="H1486" s="133">
        <f>VLOOKUP(G1486,'packing mapping'!A:B,2,0)</f>
        <v>4</v>
      </c>
      <c r="I1486" s="137">
        <v>1588924</v>
      </c>
      <c r="J1486" s="132">
        <f t="shared" si="47"/>
        <v>397231</v>
      </c>
    </row>
    <row r="1487" spans="1:10">
      <c r="A1487" s="115" t="s">
        <v>341</v>
      </c>
      <c r="B1487" s="115" t="s">
        <v>342</v>
      </c>
      <c r="C1487" s="115" t="s">
        <v>2412</v>
      </c>
      <c r="D1487" s="115" t="s">
        <v>2413</v>
      </c>
      <c r="E1487" s="133" t="str">
        <f t="shared" si="46"/>
        <v>1200000127SST-2111-RBE-AK</v>
      </c>
      <c r="F1487" s="133" t="s">
        <v>3585</v>
      </c>
      <c r="G1487" s="133" t="s">
        <v>3883</v>
      </c>
      <c r="H1487" s="133">
        <f>VLOOKUP(G1487,'packing mapping'!A:B,2,0)</f>
        <v>4</v>
      </c>
      <c r="I1487" s="137">
        <v>1546148</v>
      </c>
      <c r="J1487" s="132">
        <f t="shared" si="47"/>
        <v>386537</v>
      </c>
    </row>
    <row r="1488" spans="1:10">
      <c r="A1488" s="115" t="s">
        <v>341</v>
      </c>
      <c r="B1488" s="115" t="s">
        <v>342</v>
      </c>
      <c r="C1488" s="115" t="s">
        <v>2414</v>
      </c>
      <c r="D1488" s="115" t="s">
        <v>2415</v>
      </c>
      <c r="E1488" s="133" t="str">
        <f t="shared" si="46"/>
        <v>1200000127SST-2111-RED-AK</v>
      </c>
      <c r="F1488" s="133" t="s">
        <v>3586</v>
      </c>
      <c r="G1488" s="133" t="s">
        <v>3883</v>
      </c>
      <c r="H1488" s="133">
        <f>VLOOKUP(G1488,'packing mapping'!A:B,2,0)</f>
        <v>4</v>
      </c>
      <c r="I1488" s="137">
        <v>1509544</v>
      </c>
      <c r="J1488" s="132">
        <f t="shared" si="47"/>
        <v>377386</v>
      </c>
    </row>
    <row r="1489" spans="1:10">
      <c r="A1489" s="115" t="s">
        <v>341</v>
      </c>
      <c r="B1489" s="115" t="s">
        <v>342</v>
      </c>
      <c r="C1489" s="115" t="s">
        <v>2416</v>
      </c>
      <c r="D1489" s="115" t="s">
        <v>2417</v>
      </c>
      <c r="E1489" s="133" t="str">
        <f t="shared" si="46"/>
        <v>1200000127SST-2111-YEL-AK</v>
      </c>
      <c r="F1489" s="133" t="s">
        <v>3587</v>
      </c>
      <c r="G1489" s="133" t="s">
        <v>3883</v>
      </c>
      <c r="H1489" s="133">
        <f>VLOOKUP(G1489,'packing mapping'!A:B,2,0)</f>
        <v>4</v>
      </c>
      <c r="I1489" s="137">
        <v>1266112</v>
      </c>
      <c r="J1489" s="132">
        <f t="shared" si="47"/>
        <v>316528</v>
      </c>
    </row>
    <row r="1490" spans="1:10">
      <c r="A1490" s="115" t="s">
        <v>341</v>
      </c>
      <c r="B1490" s="115" t="s">
        <v>342</v>
      </c>
      <c r="C1490" s="115" t="s">
        <v>2418</v>
      </c>
      <c r="D1490" s="115" t="s">
        <v>2419</v>
      </c>
      <c r="E1490" s="133" t="str">
        <f t="shared" si="46"/>
        <v>1200000127THC-2731-201-AK</v>
      </c>
      <c r="F1490" s="133" t="s">
        <v>3588</v>
      </c>
      <c r="G1490" s="133" t="s">
        <v>3899</v>
      </c>
      <c r="H1490" s="133">
        <f>VLOOKUP(G1490,'packing mapping'!A:B,2,0)</f>
        <v>160</v>
      </c>
      <c r="I1490" s="137">
        <v>8081280</v>
      </c>
      <c r="J1490" s="132">
        <f t="shared" si="47"/>
        <v>50508</v>
      </c>
    </row>
    <row r="1491" spans="1:10">
      <c r="A1491" s="115" t="s">
        <v>341</v>
      </c>
      <c r="B1491" s="115" t="s">
        <v>342</v>
      </c>
      <c r="C1491" s="115" t="s">
        <v>2420</v>
      </c>
      <c r="D1491" s="115" t="s">
        <v>2421</v>
      </c>
      <c r="E1491" s="133" t="str">
        <f t="shared" si="46"/>
        <v>1200000127THC-2731-402-AK</v>
      </c>
      <c r="F1491" s="133" t="s">
        <v>3589</v>
      </c>
      <c r="G1491" s="133" t="s">
        <v>3905</v>
      </c>
      <c r="H1491" s="133">
        <f>VLOOKUP(G1491,'packing mapping'!A:B,2,0)</f>
        <v>170</v>
      </c>
      <c r="I1491" s="137">
        <v>9947040</v>
      </c>
      <c r="J1491" s="132">
        <f t="shared" si="47"/>
        <v>58512</v>
      </c>
    </row>
    <row r="1492" spans="1:10">
      <c r="A1492" s="115" t="s">
        <v>341</v>
      </c>
      <c r="B1492" s="115" t="s">
        <v>342</v>
      </c>
      <c r="C1492" s="115" t="s">
        <v>2422</v>
      </c>
      <c r="D1492" s="115" t="s">
        <v>2423</v>
      </c>
      <c r="E1492" s="133" t="str">
        <f t="shared" si="46"/>
        <v>1200000127THGZ-2722-AK</v>
      </c>
      <c r="F1492" s="133" t="s">
        <v>3590</v>
      </c>
      <c r="G1492" s="133" t="s">
        <v>3906</v>
      </c>
      <c r="H1492" s="133">
        <f>VLOOKUP(G1492,'packing mapping'!A:B,2,0)</f>
        <v>150</v>
      </c>
      <c r="I1492" s="137">
        <v>13348950</v>
      </c>
      <c r="J1492" s="132">
        <f t="shared" si="47"/>
        <v>88993</v>
      </c>
    </row>
    <row r="1493" spans="1:10">
      <c r="A1493" s="115" t="s">
        <v>341</v>
      </c>
      <c r="B1493" s="115" t="s">
        <v>342</v>
      </c>
      <c r="C1493" s="115" t="s">
        <v>2424</v>
      </c>
      <c r="D1493" s="115" t="s">
        <v>2425</v>
      </c>
      <c r="E1493" s="133" t="str">
        <f t="shared" si="46"/>
        <v>1200000127THNC-2711-SD-AK</v>
      </c>
      <c r="F1493" s="133" t="s">
        <v>3591</v>
      </c>
      <c r="G1493" s="133" t="s">
        <v>3899</v>
      </c>
      <c r="H1493" s="133">
        <f>VLOOKUP(G1493,'packing mapping'!A:B,2,0)</f>
        <v>160</v>
      </c>
      <c r="I1493" s="137">
        <v>10381280</v>
      </c>
      <c r="J1493" s="132">
        <f t="shared" si="47"/>
        <v>64883</v>
      </c>
    </row>
    <row r="1494" spans="1:10">
      <c r="A1494" s="115" t="s">
        <v>341</v>
      </c>
      <c r="B1494" s="115" t="s">
        <v>342</v>
      </c>
      <c r="C1494" s="115" t="s">
        <v>2426</v>
      </c>
      <c r="D1494" s="115" t="s">
        <v>2427</v>
      </c>
      <c r="E1494" s="133" t="str">
        <f t="shared" si="46"/>
        <v>1200000127THPU-2713-06-AK</v>
      </c>
      <c r="F1494" s="133" t="s">
        <v>3592</v>
      </c>
      <c r="G1494" s="133" t="s">
        <v>3899</v>
      </c>
      <c r="H1494" s="133">
        <f>VLOOKUP(G1494,'packing mapping'!A:B,2,0)</f>
        <v>160</v>
      </c>
      <c r="I1494" s="137">
        <v>9361920</v>
      </c>
      <c r="J1494" s="132">
        <f t="shared" si="47"/>
        <v>58512</v>
      </c>
    </row>
    <row r="1495" spans="1:10">
      <c r="A1495" s="115" t="s">
        <v>341</v>
      </c>
      <c r="B1495" s="115" t="s">
        <v>342</v>
      </c>
      <c r="C1495" s="115" t="s">
        <v>2428</v>
      </c>
      <c r="D1495" s="115" t="s">
        <v>2429</v>
      </c>
      <c r="E1495" s="133" t="str">
        <f t="shared" si="46"/>
        <v>1200000127PUH-1561-33-AK</v>
      </c>
      <c r="F1495" s="133" t="s">
        <v>3593</v>
      </c>
      <c r="G1495" s="133" t="s">
        <v>3881</v>
      </c>
      <c r="H1495" s="133">
        <f>VLOOKUP(G1495,'packing mapping'!A:B,2,0)</f>
        <v>20</v>
      </c>
      <c r="I1495" s="137">
        <v>2485040</v>
      </c>
      <c r="J1495" s="132">
        <f t="shared" si="47"/>
        <v>124252</v>
      </c>
    </row>
    <row r="1496" spans="1:10">
      <c r="A1496" s="115" t="s">
        <v>341</v>
      </c>
      <c r="B1496" s="115" t="s">
        <v>342</v>
      </c>
      <c r="C1496" s="115" t="s">
        <v>2430</v>
      </c>
      <c r="D1496" s="115" t="s">
        <v>2431</v>
      </c>
      <c r="E1496" s="133" t="str">
        <f t="shared" si="46"/>
        <v>1200000127NBC-9345-T046AK</v>
      </c>
      <c r="F1496" s="133" t="s">
        <v>3594</v>
      </c>
      <c r="G1496" s="133" t="s">
        <v>3889</v>
      </c>
      <c r="H1496" s="133">
        <f>VLOOKUP(G1496,'packing mapping'!A:B,2,0)</f>
        <v>200</v>
      </c>
      <c r="I1496" s="137">
        <v>24657200</v>
      </c>
      <c r="J1496" s="132">
        <f t="shared" si="47"/>
        <v>123286</v>
      </c>
    </row>
    <row r="1497" spans="1:10">
      <c r="A1497" s="115" t="s">
        <v>341</v>
      </c>
      <c r="B1497" s="115" t="s">
        <v>342</v>
      </c>
      <c r="C1497" s="115" t="s">
        <v>2432</v>
      </c>
      <c r="D1497" s="115" t="s">
        <v>2433</v>
      </c>
      <c r="E1497" s="133" t="str">
        <f t="shared" si="46"/>
        <v>1200000127GZ-9127-N-BL-AK</v>
      </c>
      <c r="F1497" s="133" t="s">
        <v>3595</v>
      </c>
      <c r="G1497" s="133" t="s">
        <v>3883</v>
      </c>
      <c r="H1497" s="133">
        <f>VLOOKUP(G1497,'packing mapping'!A:B,2,0)</f>
        <v>4</v>
      </c>
      <c r="I1497" s="137">
        <v>563976</v>
      </c>
      <c r="J1497" s="132">
        <f t="shared" si="47"/>
        <v>140994</v>
      </c>
    </row>
    <row r="1498" spans="1:10">
      <c r="A1498" s="115" t="s">
        <v>341</v>
      </c>
      <c r="B1498" s="115" t="s">
        <v>342</v>
      </c>
      <c r="C1498" s="115" t="s">
        <v>2434</v>
      </c>
      <c r="D1498" s="115" t="s">
        <v>2435</v>
      </c>
      <c r="E1498" s="133" t="str">
        <f t="shared" si="46"/>
        <v>1200000127GZ-9127-N-YE-AK</v>
      </c>
      <c r="F1498" s="133" t="s">
        <v>3596</v>
      </c>
      <c r="G1498" s="133" t="s">
        <v>3883</v>
      </c>
      <c r="H1498" s="133">
        <f>VLOOKUP(G1498,'packing mapping'!A:B,2,0)</f>
        <v>4</v>
      </c>
      <c r="I1498" s="137">
        <v>1032696</v>
      </c>
      <c r="J1498" s="132">
        <f t="shared" si="47"/>
        <v>258174</v>
      </c>
    </row>
    <row r="1499" spans="1:10">
      <c r="A1499" s="115" t="s">
        <v>341</v>
      </c>
      <c r="B1499" s="115" t="s">
        <v>342</v>
      </c>
      <c r="C1499" s="115" t="s">
        <v>2436</v>
      </c>
      <c r="D1499" s="115" t="s">
        <v>2437</v>
      </c>
      <c r="E1499" s="133" t="str">
        <f t="shared" si="46"/>
        <v>1200000127PUP-1521-WHI-AK</v>
      </c>
      <c r="F1499" s="133" t="s">
        <v>3597</v>
      </c>
      <c r="G1499" s="133" t="s">
        <v>3889</v>
      </c>
      <c r="H1499" s="133">
        <f>VLOOKUP(G1499,'packing mapping'!A:B,2,0)</f>
        <v>200</v>
      </c>
      <c r="I1499" s="137">
        <v>14972000</v>
      </c>
      <c r="J1499" s="132">
        <f t="shared" si="47"/>
        <v>74860</v>
      </c>
    </row>
    <row r="1500" spans="1:10">
      <c r="A1500" s="115" t="s">
        <v>341</v>
      </c>
      <c r="B1500" s="115" t="s">
        <v>342</v>
      </c>
      <c r="C1500" s="115" t="s">
        <v>2438</v>
      </c>
      <c r="D1500" s="115" t="s">
        <v>2439</v>
      </c>
      <c r="E1500" s="133" t="str">
        <f t="shared" si="46"/>
        <v>1200000127GZ-9127-N-RE-AK</v>
      </c>
      <c r="F1500" s="133" t="s">
        <v>3598</v>
      </c>
      <c r="G1500" s="133" t="s">
        <v>3883</v>
      </c>
      <c r="H1500" s="133">
        <f>VLOOKUP(G1500,'packing mapping'!A:B,2,0)</f>
        <v>4</v>
      </c>
      <c r="I1500" s="137">
        <v>902664</v>
      </c>
      <c r="J1500" s="132">
        <f t="shared" si="47"/>
        <v>225666</v>
      </c>
    </row>
    <row r="1501" spans="1:10">
      <c r="A1501" s="115" t="s">
        <v>341</v>
      </c>
      <c r="B1501" s="115" t="s">
        <v>342</v>
      </c>
      <c r="C1501" s="115" t="s">
        <v>2440</v>
      </c>
      <c r="D1501" s="115" t="s">
        <v>2441</v>
      </c>
      <c r="E1501" s="133" t="str">
        <f t="shared" si="46"/>
        <v>1200000127GZ-9127-N-VD-AK</v>
      </c>
      <c r="F1501" s="133" t="s">
        <v>3599</v>
      </c>
      <c r="G1501" s="133" t="s">
        <v>3883</v>
      </c>
      <c r="H1501" s="133">
        <f>VLOOKUP(G1501,'packing mapping'!A:B,2,0)</f>
        <v>4</v>
      </c>
      <c r="I1501" s="137">
        <v>963144</v>
      </c>
      <c r="J1501" s="132">
        <f t="shared" si="47"/>
        <v>240786</v>
      </c>
    </row>
    <row r="1502" spans="1:10">
      <c r="A1502" s="115" t="s">
        <v>341</v>
      </c>
      <c r="B1502" s="115" t="s">
        <v>342</v>
      </c>
      <c r="C1502" s="115" t="s">
        <v>2442</v>
      </c>
      <c r="D1502" s="115" t="s">
        <v>2443</v>
      </c>
      <c r="E1502" s="133" t="str">
        <f t="shared" si="46"/>
        <v>1200000127NBC-9345-716-AK</v>
      </c>
      <c r="F1502" s="133" t="s">
        <v>3600</v>
      </c>
      <c r="G1502" s="133" t="s">
        <v>3889</v>
      </c>
      <c r="H1502" s="133">
        <f>VLOOKUP(G1502,'packing mapping'!A:B,2,0)</f>
        <v>200</v>
      </c>
      <c r="I1502" s="137">
        <v>24913000</v>
      </c>
      <c r="J1502" s="132">
        <f t="shared" si="47"/>
        <v>124565</v>
      </c>
    </row>
    <row r="1503" spans="1:10">
      <c r="A1503" s="115" t="s">
        <v>341</v>
      </c>
      <c r="B1503" s="115" t="s">
        <v>342</v>
      </c>
      <c r="C1503" s="115" t="s">
        <v>2444</v>
      </c>
      <c r="D1503" s="115" t="s">
        <v>2445</v>
      </c>
      <c r="E1503" s="133" t="str">
        <f t="shared" si="46"/>
        <v>1200000127NBC-9345-WHI-AK</v>
      </c>
      <c r="F1503" s="133" t="s">
        <v>3601</v>
      </c>
      <c r="G1503" s="133" t="s">
        <v>3889</v>
      </c>
      <c r="H1503" s="133">
        <f>VLOOKUP(G1503,'packing mapping'!A:B,2,0)</f>
        <v>200</v>
      </c>
      <c r="I1503" s="137">
        <v>23915400</v>
      </c>
      <c r="J1503" s="132">
        <f t="shared" si="47"/>
        <v>119577</v>
      </c>
    </row>
    <row r="1504" spans="1:10">
      <c r="A1504" s="115" t="s">
        <v>341</v>
      </c>
      <c r="B1504" s="115" t="s">
        <v>342</v>
      </c>
      <c r="C1504" s="115" t="s">
        <v>2446</v>
      </c>
      <c r="D1504" s="115" t="s">
        <v>2447</v>
      </c>
      <c r="E1504" s="133" t="str">
        <f t="shared" si="46"/>
        <v>1200000127NBC-9345-902-AK</v>
      </c>
      <c r="F1504" s="133" t="s">
        <v>3602</v>
      </c>
      <c r="G1504" s="133" t="s">
        <v>3889</v>
      </c>
      <c r="H1504" s="133">
        <f>VLOOKUP(G1504,'packing mapping'!A:B,2,0)</f>
        <v>200</v>
      </c>
      <c r="I1504" s="137">
        <v>24197000</v>
      </c>
      <c r="J1504" s="132">
        <f t="shared" si="47"/>
        <v>120985</v>
      </c>
    </row>
    <row r="1505" spans="1:10">
      <c r="A1505" s="115" t="s">
        <v>341</v>
      </c>
      <c r="B1505" s="115" t="s">
        <v>342</v>
      </c>
      <c r="C1505" s="115" t="s">
        <v>2448</v>
      </c>
      <c r="D1505" s="115" t="s">
        <v>2449</v>
      </c>
      <c r="E1505" s="133" t="str">
        <f t="shared" si="46"/>
        <v>1200000127WBP-1621-WHI-AK</v>
      </c>
      <c r="F1505" s="133" t="s">
        <v>3603</v>
      </c>
      <c r="G1505" s="133" t="s">
        <v>3881</v>
      </c>
      <c r="H1505" s="133">
        <f>VLOOKUP(G1505,'packing mapping'!A:B,2,0)</f>
        <v>20</v>
      </c>
      <c r="I1505" s="137">
        <v>3406720</v>
      </c>
      <c r="J1505" s="132">
        <f t="shared" si="47"/>
        <v>170336</v>
      </c>
    </row>
    <row r="1506" spans="1:10">
      <c r="A1506" s="115" t="s">
        <v>341</v>
      </c>
      <c r="B1506" s="115" t="s">
        <v>342</v>
      </c>
      <c r="C1506" s="115" t="s">
        <v>1904</v>
      </c>
      <c r="D1506" s="115" t="s">
        <v>1905</v>
      </c>
      <c r="E1506" s="133" t="str">
        <f t="shared" si="46"/>
        <v>1200000127AP-9982-SY30-AK</v>
      </c>
      <c r="F1506" s="133" t="s">
        <v>3373</v>
      </c>
      <c r="G1506" s="133" t="s">
        <v>3894</v>
      </c>
      <c r="H1506" s="133">
        <f>VLOOKUP(G1506,'packing mapping'!A:B,2,0)</f>
        <v>1</v>
      </c>
      <c r="I1506" s="137">
        <v>770978</v>
      </c>
      <c r="J1506" s="132">
        <f t="shared" si="47"/>
        <v>770978</v>
      </c>
    </row>
    <row r="1507" spans="1:10">
      <c r="A1507" s="115" t="s">
        <v>341</v>
      </c>
      <c r="B1507" s="115" t="s">
        <v>342</v>
      </c>
      <c r="C1507" s="115" t="s">
        <v>2450</v>
      </c>
      <c r="D1507" s="115" t="s">
        <v>2451</v>
      </c>
      <c r="E1507" s="133" t="str">
        <f t="shared" si="46"/>
        <v>1200000127PP-9981-111-AK</v>
      </c>
      <c r="F1507" s="133" t="s">
        <v>3604</v>
      </c>
      <c r="G1507" s="133" t="s">
        <v>3894</v>
      </c>
      <c r="H1507" s="133">
        <f>VLOOKUP(G1507,'packing mapping'!A:B,2,0)</f>
        <v>1</v>
      </c>
      <c r="I1507" s="137">
        <v>552904</v>
      </c>
      <c r="J1507" s="132">
        <f t="shared" si="47"/>
        <v>552904</v>
      </c>
    </row>
    <row r="1508" spans="1:10">
      <c r="A1508" s="115" t="s">
        <v>341</v>
      </c>
      <c r="B1508" s="115" t="s">
        <v>342</v>
      </c>
      <c r="C1508" s="115" t="s">
        <v>2452</v>
      </c>
      <c r="D1508" s="115" t="s">
        <v>2453</v>
      </c>
      <c r="E1508" s="133" t="str">
        <f t="shared" si="46"/>
        <v>1200000127PCA-2311-WH-AK</v>
      </c>
      <c r="F1508" s="133" t="s">
        <v>3605</v>
      </c>
      <c r="G1508" s="133" t="s">
        <v>3883</v>
      </c>
      <c r="H1508" s="133">
        <f>VLOOKUP(G1508,'packing mapping'!A:B,2,0)</f>
        <v>4</v>
      </c>
      <c r="I1508" s="137">
        <v>827756</v>
      </c>
      <c r="J1508" s="132">
        <f t="shared" si="47"/>
        <v>206939</v>
      </c>
    </row>
    <row r="1509" spans="1:10">
      <c r="A1509" s="115" t="s">
        <v>341</v>
      </c>
      <c r="B1509" s="115" t="s">
        <v>342</v>
      </c>
      <c r="C1509" s="115" t="s">
        <v>2454</v>
      </c>
      <c r="D1509" s="115" t="s">
        <v>2455</v>
      </c>
      <c r="E1509" s="133" t="str">
        <f t="shared" si="46"/>
        <v>1200000127PCA-2311-ROB-AK</v>
      </c>
      <c r="F1509" s="133" t="s">
        <v>3606</v>
      </c>
      <c r="G1509" s="133" t="s">
        <v>3883</v>
      </c>
      <c r="H1509" s="133">
        <f>VLOOKUP(G1509,'packing mapping'!A:B,2,0)</f>
        <v>4</v>
      </c>
      <c r="I1509" s="137">
        <v>3039372</v>
      </c>
      <c r="J1509" s="132">
        <f t="shared" si="47"/>
        <v>759843</v>
      </c>
    </row>
    <row r="1510" spans="1:10">
      <c r="A1510" s="115" t="s">
        <v>341</v>
      </c>
      <c r="B1510" s="115" t="s">
        <v>342</v>
      </c>
      <c r="C1510" s="115" t="s">
        <v>2456</v>
      </c>
      <c r="D1510" s="115" t="s">
        <v>2457</v>
      </c>
      <c r="E1510" s="133" t="str">
        <f t="shared" si="46"/>
        <v>1200000127NBC-9345-568-AK</v>
      </c>
      <c r="F1510" s="133" t="s">
        <v>3607</v>
      </c>
      <c r="G1510" s="133" t="s">
        <v>3889</v>
      </c>
      <c r="H1510" s="133">
        <f>VLOOKUP(G1510,'packing mapping'!A:B,2,0)</f>
        <v>200</v>
      </c>
      <c r="I1510" s="137">
        <v>25782600</v>
      </c>
      <c r="J1510" s="132">
        <f t="shared" si="47"/>
        <v>128913</v>
      </c>
    </row>
    <row r="1511" spans="1:10">
      <c r="A1511" s="115" t="s">
        <v>341</v>
      </c>
      <c r="B1511" s="115" t="s">
        <v>342</v>
      </c>
      <c r="C1511" s="115" t="s">
        <v>2458</v>
      </c>
      <c r="D1511" s="115" t="s">
        <v>2459</v>
      </c>
      <c r="E1511" s="133" t="str">
        <f t="shared" si="46"/>
        <v>1200000127NCL-1113-30W-AK</v>
      </c>
      <c r="F1511" s="133" t="s">
        <v>3608</v>
      </c>
      <c r="G1511" s="133" t="s">
        <v>3882</v>
      </c>
      <c r="H1511" s="133">
        <f>VLOOKUP(G1511,'packing mapping'!A:B,2,0)</f>
        <v>18</v>
      </c>
      <c r="I1511" s="137">
        <v>2488068</v>
      </c>
      <c r="J1511" s="132">
        <f t="shared" si="47"/>
        <v>138226</v>
      </c>
    </row>
    <row r="1512" spans="1:10">
      <c r="A1512" s="115" t="s">
        <v>341</v>
      </c>
      <c r="B1512" s="115" t="s">
        <v>342</v>
      </c>
      <c r="C1512" s="115" t="s">
        <v>2460</v>
      </c>
      <c r="D1512" s="115" t="s">
        <v>2461</v>
      </c>
      <c r="E1512" s="133" t="str">
        <f t="shared" si="46"/>
        <v>1200000127PW-2316-YAR-AK</v>
      </c>
      <c r="F1512" s="133" t="s">
        <v>3609</v>
      </c>
      <c r="G1512" s="133" t="s">
        <v>3883</v>
      </c>
      <c r="H1512" s="133">
        <f>VLOOKUP(G1512,'packing mapping'!A:B,2,0)</f>
        <v>4</v>
      </c>
      <c r="I1512" s="137">
        <v>753668</v>
      </c>
      <c r="J1512" s="132">
        <f t="shared" si="47"/>
        <v>188417</v>
      </c>
    </row>
    <row r="1513" spans="1:10">
      <c r="A1513" s="115" t="s">
        <v>341</v>
      </c>
      <c r="B1513" s="115" t="s">
        <v>342</v>
      </c>
      <c r="C1513" s="115" t="s">
        <v>2462</v>
      </c>
      <c r="D1513" s="115" t="s">
        <v>2463</v>
      </c>
      <c r="E1513" s="133" t="str">
        <f t="shared" si="46"/>
        <v>1200000127PW-2316-YOR-AK</v>
      </c>
      <c r="F1513" s="133" t="s">
        <v>3610</v>
      </c>
      <c r="G1513" s="133" t="s">
        <v>3883</v>
      </c>
      <c r="H1513" s="133">
        <f>VLOOKUP(G1513,'packing mapping'!A:B,2,0)</f>
        <v>4</v>
      </c>
      <c r="I1513" s="137">
        <v>1837208</v>
      </c>
      <c r="J1513" s="132">
        <f t="shared" si="47"/>
        <v>459302</v>
      </c>
    </row>
    <row r="1514" spans="1:10">
      <c r="A1514" s="115" t="s">
        <v>341</v>
      </c>
      <c r="B1514" s="115" t="s">
        <v>342</v>
      </c>
      <c r="C1514" s="115" t="s">
        <v>2464</v>
      </c>
      <c r="D1514" s="115" t="s">
        <v>2465</v>
      </c>
      <c r="E1514" s="133" t="str">
        <f t="shared" si="46"/>
        <v>1200000127PW-2316-BUO-AK</v>
      </c>
      <c r="F1514" s="133" t="s">
        <v>3611</v>
      </c>
      <c r="G1514" s="133" t="s">
        <v>3883</v>
      </c>
      <c r="H1514" s="133">
        <f>VLOOKUP(G1514,'packing mapping'!A:B,2,0)</f>
        <v>4</v>
      </c>
      <c r="I1514" s="137">
        <v>2036540</v>
      </c>
      <c r="J1514" s="132">
        <f t="shared" si="47"/>
        <v>509135</v>
      </c>
    </row>
    <row r="1515" spans="1:10">
      <c r="A1515" s="115" t="s">
        <v>341</v>
      </c>
      <c r="B1515" s="115" t="s">
        <v>342</v>
      </c>
      <c r="C1515" s="115" t="s">
        <v>2466</v>
      </c>
      <c r="D1515" s="115" t="s">
        <v>2467</v>
      </c>
      <c r="E1515" s="133" t="str">
        <f t="shared" si="46"/>
        <v>1200000127WBC-1622-W15-AK</v>
      </c>
      <c r="F1515" s="133" t="s">
        <v>3612</v>
      </c>
      <c r="G1515" s="133" t="s">
        <v>3881</v>
      </c>
      <c r="H1515" s="133">
        <f>VLOOKUP(G1515,'packing mapping'!A:B,2,0)</f>
        <v>20</v>
      </c>
      <c r="I1515" s="137">
        <v>2937060</v>
      </c>
      <c r="J1515" s="132">
        <f t="shared" si="47"/>
        <v>146853</v>
      </c>
    </row>
    <row r="1516" spans="1:10">
      <c r="A1516" s="115" t="s">
        <v>341</v>
      </c>
      <c r="B1516" s="115" t="s">
        <v>342</v>
      </c>
      <c r="C1516" s="115" t="s">
        <v>2468</v>
      </c>
      <c r="D1516" s="115" t="s">
        <v>2469</v>
      </c>
      <c r="E1516" s="133" t="str">
        <f t="shared" si="46"/>
        <v>1200000127WBC-1622-212PAK</v>
      </c>
      <c r="F1516" s="133" t="s">
        <v>3613</v>
      </c>
      <c r="G1516" s="133" t="s">
        <v>3881</v>
      </c>
      <c r="H1516" s="133">
        <f>VLOOKUP(G1516,'packing mapping'!A:B,2,0)</f>
        <v>20</v>
      </c>
      <c r="I1516" s="137">
        <v>3230320</v>
      </c>
      <c r="J1516" s="132">
        <f t="shared" si="47"/>
        <v>161516</v>
      </c>
    </row>
    <row r="1517" spans="1:10">
      <c r="A1517" s="115" t="s">
        <v>341</v>
      </c>
      <c r="B1517" s="115" t="s">
        <v>342</v>
      </c>
      <c r="C1517" s="115" t="s">
        <v>2470</v>
      </c>
      <c r="D1517" s="115" t="s">
        <v>2471</v>
      </c>
      <c r="E1517" s="133" t="str">
        <f t="shared" si="46"/>
        <v>1200000127PG-9139-WHI-AK</v>
      </c>
      <c r="F1517" s="133" t="s">
        <v>3614</v>
      </c>
      <c r="G1517" s="133" t="s">
        <v>3881</v>
      </c>
      <c r="H1517" s="133">
        <f>VLOOKUP(G1517,'packing mapping'!A:B,2,0)</f>
        <v>20</v>
      </c>
      <c r="I1517" s="137">
        <v>1523660</v>
      </c>
      <c r="J1517" s="132">
        <f t="shared" si="47"/>
        <v>76183</v>
      </c>
    </row>
    <row r="1518" spans="1:10">
      <c r="A1518" s="115" t="s">
        <v>341</v>
      </c>
      <c r="B1518" s="115" t="s">
        <v>342</v>
      </c>
      <c r="C1518" s="115" t="s">
        <v>2472</v>
      </c>
      <c r="D1518" s="115" t="s">
        <v>2473</v>
      </c>
      <c r="E1518" s="133" t="str">
        <f t="shared" si="46"/>
        <v>1200000127NBC-9345-879-AK</v>
      </c>
      <c r="F1518" s="133" t="s">
        <v>3615</v>
      </c>
      <c r="G1518" s="133" t="s">
        <v>3889</v>
      </c>
      <c r="H1518" s="133">
        <f>VLOOKUP(G1518,'packing mapping'!A:B,2,0)</f>
        <v>200</v>
      </c>
      <c r="I1518" s="137">
        <v>27982400</v>
      </c>
      <c r="J1518" s="132">
        <f t="shared" si="47"/>
        <v>139912</v>
      </c>
    </row>
    <row r="1519" spans="1:10">
      <c r="A1519" s="115" t="s">
        <v>341</v>
      </c>
      <c r="B1519" s="115" t="s">
        <v>342</v>
      </c>
      <c r="C1519" s="115" t="s">
        <v>2474</v>
      </c>
      <c r="D1519" s="115" t="s">
        <v>2475</v>
      </c>
      <c r="E1519" s="133" t="str">
        <f t="shared" si="46"/>
        <v>1200000127NBC-9345-5939AK</v>
      </c>
      <c r="F1519" s="133" t="s">
        <v>3616</v>
      </c>
      <c r="G1519" s="133" t="s">
        <v>3889</v>
      </c>
      <c r="H1519" s="133">
        <f>VLOOKUP(G1519,'packing mapping'!A:B,2,0)</f>
        <v>200</v>
      </c>
      <c r="I1519" s="137">
        <v>30616800</v>
      </c>
      <c r="J1519" s="132">
        <f t="shared" si="47"/>
        <v>153084</v>
      </c>
    </row>
    <row r="1520" spans="1:10">
      <c r="A1520" s="115" t="s">
        <v>341</v>
      </c>
      <c r="B1520" s="115" t="s">
        <v>342</v>
      </c>
      <c r="C1520" s="115" t="s">
        <v>2266</v>
      </c>
      <c r="D1520" s="115" t="s">
        <v>2267</v>
      </c>
      <c r="E1520" s="133" t="str">
        <f t="shared" si="46"/>
        <v>1200000127NCSS-1112-AC-AK</v>
      </c>
      <c r="F1520" s="133" t="s">
        <v>3539</v>
      </c>
      <c r="G1520" s="133" t="s">
        <v>3879</v>
      </c>
      <c r="H1520" s="133">
        <f>VLOOKUP(G1520,'packing mapping'!A:B,2,0)</f>
        <v>20</v>
      </c>
      <c r="I1520" s="137">
        <v>4456860</v>
      </c>
      <c r="J1520" s="132">
        <f t="shared" si="47"/>
        <v>222843</v>
      </c>
    </row>
    <row r="1521" spans="1:10">
      <c r="A1521" s="115" t="s">
        <v>341</v>
      </c>
      <c r="B1521" s="115" t="s">
        <v>342</v>
      </c>
      <c r="C1521" s="115" t="s">
        <v>2476</v>
      </c>
      <c r="D1521" s="115" t="s">
        <v>2477</v>
      </c>
      <c r="E1521" s="133" t="str">
        <f t="shared" si="46"/>
        <v>1200000127NCL-1113-AC80AK</v>
      </c>
      <c r="F1521" s="133" t="s">
        <v>3617</v>
      </c>
      <c r="G1521" s="133" t="s">
        <v>3879</v>
      </c>
      <c r="H1521" s="133">
        <f>VLOOKUP(G1521,'packing mapping'!A:B,2,0)</f>
        <v>20</v>
      </c>
      <c r="I1521" s="137">
        <v>4360400</v>
      </c>
      <c r="J1521" s="132">
        <f t="shared" si="47"/>
        <v>218020</v>
      </c>
    </row>
    <row r="1522" spans="1:10">
      <c r="A1522" s="115" t="s">
        <v>341</v>
      </c>
      <c r="B1522" s="115" t="s">
        <v>342</v>
      </c>
      <c r="C1522" s="115" t="s">
        <v>2478</v>
      </c>
      <c r="D1522" s="115" t="s">
        <v>2479</v>
      </c>
      <c r="E1522" s="133" t="str">
        <f t="shared" si="46"/>
        <v>1200000127NBC-9345-818-AK</v>
      </c>
      <c r="F1522" s="133" t="s">
        <v>3618</v>
      </c>
      <c r="G1522" s="133" t="s">
        <v>3889</v>
      </c>
      <c r="H1522" s="133">
        <f>VLOOKUP(G1522,'packing mapping'!A:B,2,0)</f>
        <v>200</v>
      </c>
      <c r="I1522" s="137">
        <v>25654800</v>
      </c>
      <c r="J1522" s="132">
        <f t="shared" si="47"/>
        <v>128274</v>
      </c>
    </row>
    <row r="1523" spans="1:10">
      <c r="A1523" s="115" t="s">
        <v>341</v>
      </c>
      <c r="B1523" s="115" t="s">
        <v>342</v>
      </c>
      <c r="C1523" s="115" t="s">
        <v>2480</v>
      </c>
      <c r="D1523" s="115" t="s">
        <v>2481</v>
      </c>
      <c r="E1523" s="133" t="str">
        <f t="shared" si="46"/>
        <v>1200000127PUP-1541-WHI-AK</v>
      </c>
      <c r="F1523" s="133" t="s">
        <v>3619</v>
      </c>
      <c r="G1523" s="133" t="s">
        <v>3881</v>
      </c>
      <c r="H1523" s="133">
        <f>VLOOKUP(G1523,'packing mapping'!A:B,2,0)</f>
        <v>20</v>
      </c>
      <c r="I1523" s="137">
        <v>2835640</v>
      </c>
      <c r="J1523" s="132">
        <f t="shared" si="47"/>
        <v>141782</v>
      </c>
    </row>
    <row r="1524" spans="1:10">
      <c r="A1524" s="115" t="s">
        <v>341</v>
      </c>
      <c r="B1524" s="115" t="s">
        <v>342</v>
      </c>
      <c r="C1524" s="115" t="s">
        <v>2482</v>
      </c>
      <c r="D1524" s="115" t="s">
        <v>2483</v>
      </c>
      <c r="E1524" s="133" t="str">
        <f t="shared" si="46"/>
        <v>1200000127PUC-1542-1221AK</v>
      </c>
      <c r="F1524" s="133" t="s">
        <v>3620</v>
      </c>
      <c r="G1524" s="133" t="s">
        <v>3881</v>
      </c>
      <c r="H1524" s="133">
        <f>VLOOKUP(G1524,'packing mapping'!A:B,2,0)</f>
        <v>20</v>
      </c>
      <c r="I1524" s="137">
        <v>3503740</v>
      </c>
      <c r="J1524" s="132">
        <f t="shared" si="47"/>
        <v>175187</v>
      </c>
    </row>
    <row r="1525" spans="1:10">
      <c r="A1525" s="115" t="s">
        <v>341</v>
      </c>
      <c r="B1525" s="115" t="s">
        <v>342</v>
      </c>
      <c r="C1525" s="115" t="s">
        <v>2484</v>
      </c>
      <c r="D1525" s="115" t="s">
        <v>2485</v>
      </c>
      <c r="E1525" s="133" t="str">
        <f t="shared" si="46"/>
        <v>1200000127PUH-1563-LY-AK</v>
      </c>
      <c r="F1525" s="133" t="s">
        <v>3621</v>
      </c>
      <c r="G1525" s="133" t="s">
        <v>3902</v>
      </c>
      <c r="H1525" s="133">
        <f>VLOOKUP(G1525,'packing mapping'!A:B,2,0)</f>
        <v>3.8</v>
      </c>
      <c r="I1525" s="137">
        <v>791103</v>
      </c>
      <c r="J1525" s="132">
        <f t="shared" si="47"/>
        <v>208185</v>
      </c>
    </row>
    <row r="1526" spans="1:10">
      <c r="A1526" s="115" t="s">
        <v>341</v>
      </c>
      <c r="B1526" s="115" t="s">
        <v>342</v>
      </c>
      <c r="C1526" s="115" t="s">
        <v>2486</v>
      </c>
      <c r="D1526" s="115" t="s">
        <v>2487</v>
      </c>
      <c r="E1526" s="133" t="str">
        <f t="shared" si="46"/>
        <v>1200000127PUP-1521-902-AK</v>
      </c>
      <c r="F1526" s="133" t="s">
        <v>3622</v>
      </c>
      <c r="G1526" s="133" t="s">
        <v>3881</v>
      </c>
      <c r="H1526" s="133">
        <f>VLOOKUP(G1526,'packing mapping'!A:B,2,0)</f>
        <v>20</v>
      </c>
      <c r="I1526" s="137">
        <v>2315260</v>
      </c>
      <c r="J1526" s="132">
        <f t="shared" si="47"/>
        <v>115763</v>
      </c>
    </row>
    <row r="1527" spans="1:10">
      <c r="A1527" s="115" t="s">
        <v>341</v>
      </c>
      <c r="B1527" s="115" t="s">
        <v>342</v>
      </c>
      <c r="C1527" s="115" t="s">
        <v>2488</v>
      </c>
      <c r="D1527" s="115" t="s">
        <v>2489</v>
      </c>
      <c r="E1527" s="133" t="str">
        <f t="shared" si="46"/>
        <v>1200000127NBC-9345-902NAK</v>
      </c>
      <c r="F1527" s="133" t="s">
        <v>3623</v>
      </c>
      <c r="G1527" s="133" t="s">
        <v>3881</v>
      </c>
      <c r="H1527" s="133">
        <f>VLOOKUP(G1527,'packing mapping'!A:B,2,0)</f>
        <v>20</v>
      </c>
      <c r="I1527" s="137">
        <v>2637100</v>
      </c>
      <c r="J1527" s="132">
        <f t="shared" si="47"/>
        <v>131855</v>
      </c>
    </row>
    <row r="1528" spans="1:10">
      <c r="A1528" s="115" t="s">
        <v>341</v>
      </c>
      <c r="B1528" s="115" t="s">
        <v>342</v>
      </c>
      <c r="C1528" s="115" t="s">
        <v>2490</v>
      </c>
      <c r="D1528" s="115" t="s">
        <v>2491</v>
      </c>
      <c r="E1528" s="133" t="str">
        <f t="shared" si="46"/>
        <v>1200000127LOL-1762-01-AK</v>
      </c>
      <c r="F1528" s="133" t="s">
        <v>3624</v>
      </c>
      <c r="G1528" s="133" t="s">
        <v>3893</v>
      </c>
      <c r="H1528" s="133">
        <f>VLOOKUP(G1528,'packing mapping'!A:B,2,0)</f>
        <v>180</v>
      </c>
      <c r="I1528" s="137">
        <v>36272700</v>
      </c>
      <c r="J1528" s="132">
        <f t="shared" si="47"/>
        <v>201515</v>
      </c>
    </row>
    <row r="1529" spans="1:10">
      <c r="A1529" s="115" t="s">
        <v>341</v>
      </c>
      <c r="B1529" s="115" t="s">
        <v>342</v>
      </c>
      <c r="C1529" s="115" t="s">
        <v>2492</v>
      </c>
      <c r="D1529" s="115" t="s">
        <v>2493</v>
      </c>
      <c r="E1529" s="133" t="str">
        <f t="shared" si="46"/>
        <v>1200000127PUP-1521-697-AK</v>
      </c>
      <c r="F1529" s="133" t="s">
        <v>3625</v>
      </c>
      <c r="G1529" s="133" t="s">
        <v>3881</v>
      </c>
      <c r="H1529" s="133">
        <f>VLOOKUP(G1529,'packing mapping'!A:B,2,0)</f>
        <v>20</v>
      </c>
      <c r="I1529" s="137">
        <v>2372580</v>
      </c>
      <c r="J1529" s="132">
        <f t="shared" si="47"/>
        <v>118629</v>
      </c>
    </row>
    <row r="1530" spans="1:10">
      <c r="A1530" s="115" t="s">
        <v>341</v>
      </c>
      <c r="B1530" s="115" t="s">
        <v>342</v>
      </c>
      <c r="C1530" s="115" t="s">
        <v>2494</v>
      </c>
      <c r="D1530" s="115" t="s">
        <v>2495</v>
      </c>
      <c r="E1530" s="133" t="str">
        <f t="shared" si="46"/>
        <v>1200000127NCL-32-LY-5-AK</v>
      </c>
      <c r="F1530" s="133" t="s">
        <v>3626</v>
      </c>
      <c r="G1530" s="133" t="s">
        <v>3882</v>
      </c>
      <c r="H1530" s="133">
        <f>VLOOKUP(G1530,'packing mapping'!A:B,2,0)</f>
        <v>18</v>
      </c>
      <c r="I1530" s="137">
        <v>3019050</v>
      </c>
      <c r="J1530" s="132">
        <f t="shared" si="47"/>
        <v>167725</v>
      </c>
    </row>
    <row r="1531" spans="1:10">
      <c r="A1531" s="115" t="s">
        <v>341</v>
      </c>
      <c r="B1531" s="115" t="s">
        <v>342</v>
      </c>
      <c r="C1531" s="115" t="s">
        <v>2496</v>
      </c>
      <c r="D1531" s="115" t="s">
        <v>2497</v>
      </c>
      <c r="E1531" s="133" t="str">
        <f t="shared" si="46"/>
        <v>1200000127WBC-1622-B188AK</v>
      </c>
      <c r="F1531" s="133" t="s">
        <v>3627</v>
      </c>
      <c r="G1531" s="133" t="s">
        <v>3881</v>
      </c>
      <c r="H1531" s="133">
        <f>VLOOKUP(G1531,'packing mapping'!A:B,2,0)</f>
        <v>20</v>
      </c>
      <c r="I1531" s="137">
        <v>4063820</v>
      </c>
      <c r="J1531" s="132">
        <f t="shared" si="47"/>
        <v>203191</v>
      </c>
    </row>
    <row r="1532" spans="1:10">
      <c r="A1532" s="115" t="s">
        <v>341</v>
      </c>
      <c r="B1532" s="115" t="s">
        <v>342</v>
      </c>
      <c r="C1532" s="115" t="s">
        <v>2498</v>
      </c>
      <c r="D1532" s="115" t="s">
        <v>2499</v>
      </c>
      <c r="E1532" s="133" t="str">
        <f t="shared" si="46"/>
        <v>1200000127NCL-1113-AC05AK</v>
      </c>
      <c r="F1532" s="133" t="s">
        <v>3628</v>
      </c>
      <c r="G1532" s="133" t="s">
        <v>3882</v>
      </c>
      <c r="H1532" s="133">
        <f>VLOOKUP(G1532,'packing mapping'!A:B,2,0)</f>
        <v>18</v>
      </c>
      <c r="I1532" s="137">
        <v>4262634</v>
      </c>
      <c r="J1532" s="132">
        <f t="shared" si="47"/>
        <v>236813</v>
      </c>
    </row>
    <row r="1533" spans="1:10">
      <c r="A1533" s="115" t="s">
        <v>341</v>
      </c>
      <c r="B1533" s="115" t="s">
        <v>342</v>
      </c>
      <c r="C1533" s="115" t="s">
        <v>2500</v>
      </c>
      <c r="D1533" s="115" t="s">
        <v>2501</v>
      </c>
      <c r="E1533" s="133" t="str">
        <f t="shared" si="46"/>
        <v>1200000127DP-1221-211-AK</v>
      </c>
      <c r="F1533" s="133" t="s">
        <v>3629</v>
      </c>
      <c r="G1533" s="133" t="s">
        <v>3904</v>
      </c>
      <c r="H1533" s="133">
        <f>VLOOKUP(G1533,'packing mapping'!A:B,2,0)</f>
        <v>180</v>
      </c>
      <c r="I1533" s="137">
        <v>52018740</v>
      </c>
      <c r="J1533" s="132">
        <f t="shared" si="47"/>
        <v>288993</v>
      </c>
    </row>
    <row r="1534" spans="1:10">
      <c r="A1534" s="115" t="s">
        <v>341</v>
      </c>
      <c r="B1534" s="115" t="s">
        <v>342</v>
      </c>
      <c r="C1534" s="115" t="s">
        <v>2502</v>
      </c>
      <c r="D1534" s="115" t="s">
        <v>2503</v>
      </c>
      <c r="E1534" s="133" t="str">
        <f t="shared" si="46"/>
        <v>1200000127WBP-1621-WH-AK</v>
      </c>
      <c r="F1534" s="133" t="s">
        <v>3630</v>
      </c>
      <c r="G1534" s="133" t="s">
        <v>3881</v>
      </c>
      <c r="H1534" s="133">
        <f>VLOOKUP(G1534,'packing mapping'!A:B,2,0)</f>
        <v>20</v>
      </c>
      <c r="I1534" s="137">
        <v>3741880</v>
      </c>
      <c r="J1534" s="132">
        <f t="shared" si="47"/>
        <v>187094</v>
      </c>
    </row>
    <row r="1535" spans="1:10">
      <c r="A1535" s="115" t="s">
        <v>341</v>
      </c>
      <c r="B1535" s="115" t="s">
        <v>342</v>
      </c>
      <c r="C1535" s="115" t="s">
        <v>2504</v>
      </c>
      <c r="D1535" s="115" t="s">
        <v>2505</v>
      </c>
      <c r="E1535" s="133" t="str">
        <f t="shared" si="46"/>
        <v>1200000127NBC-9345-3200AK</v>
      </c>
      <c r="F1535" s="133" t="s">
        <v>3631</v>
      </c>
      <c r="G1535" s="133" t="s">
        <v>3881</v>
      </c>
      <c r="H1535" s="133">
        <f>VLOOKUP(G1535,'packing mapping'!A:B,2,0)</f>
        <v>20</v>
      </c>
      <c r="I1535" s="137">
        <v>3009100</v>
      </c>
      <c r="J1535" s="132">
        <f t="shared" si="47"/>
        <v>150455</v>
      </c>
    </row>
    <row r="1536" spans="1:10">
      <c r="A1536" s="115" t="s">
        <v>341</v>
      </c>
      <c r="B1536" s="115" t="s">
        <v>342</v>
      </c>
      <c r="C1536" s="115" t="s">
        <v>2506</v>
      </c>
      <c r="D1536" s="115" t="s">
        <v>2507</v>
      </c>
      <c r="E1536" s="133" t="str">
        <f t="shared" si="46"/>
        <v>1200000127DP-32-1512BU-AK</v>
      </c>
      <c r="F1536" s="133" t="s">
        <v>3632</v>
      </c>
      <c r="G1536" s="133" t="s">
        <v>3882</v>
      </c>
      <c r="H1536" s="133">
        <f>VLOOKUP(G1536,'packing mapping'!A:B,2,0)</f>
        <v>18</v>
      </c>
      <c r="I1536" s="137">
        <v>2983122</v>
      </c>
      <c r="J1536" s="132">
        <f t="shared" si="47"/>
        <v>165729</v>
      </c>
    </row>
    <row r="1537" spans="1:10">
      <c r="A1537" s="115" t="s">
        <v>341</v>
      </c>
      <c r="B1537" s="115" t="s">
        <v>342</v>
      </c>
      <c r="C1537" s="115" t="s">
        <v>2508</v>
      </c>
      <c r="D1537" s="115" t="s">
        <v>2509</v>
      </c>
      <c r="E1537" s="133" t="str">
        <f t="shared" si="46"/>
        <v>1200000127DP-32-1512YE-AK</v>
      </c>
      <c r="F1537" s="133" t="s">
        <v>3633</v>
      </c>
      <c r="G1537" s="133" t="s">
        <v>3882</v>
      </c>
      <c r="H1537" s="133">
        <f>VLOOKUP(G1537,'packing mapping'!A:B,2,0)</f>
        <v>18</v>
      </c>
      <c r="I1537" s="137">
        <v>3025296</v>
      </c>
      <c r="J1537" s="132">
        <f t="shared" si="47"/>
        <v>168072</v>
      </c>
    </row>
    <row r="1538" spans="1:10">
      <c r="A1538" s="115" t="s">
        <v>341</v>
      </c>
      <c r="B1538" s="115" t="s">
        <v>342</v>
      </c>
      <c r="C1538" s="115" t="s">
        <v>2510</v>
      </c>
      <c r="D1538" s="115" t="s">
        <v>2511</v>
      </c>
      <c r="E1538" s="133" t="str">
        <f t="shared" si="46"/>
        <v>1200000127DP-32-1512WH-AK</v>
      </c>
      <c r="F1538" s="133" t="s">
        <v>3634</v>
      </c>
      <c r="G1538" s="133" t="s">
        <v>3882</v>
      </c>
      <c r="H1538" s="133">
        <f>VLOOKUP(G1538,'packing mapping'!A:B,2,0)</f>
        <v>18</v>
      </c>
      <c r="I1538" s="137">
        <v>2871216</v>
      </c>
      <c r="J1538" s="132">
        <f t="shared" si="47"/>
        <v>159512</v>
      </c>
    </row>
    <row r="1539" spans="1:10">
      <c r="A1539" s="115" t="s">
        <v>341</v>
      </c>
      <c r="B1539" s="115" t="s">
        <v>342</v>
      </c>
      <c r="C1539" s="115" t="s">
        <v>2512</v>
      </c>
      <c r="D1539" s="115" t="s">
        <v>2513</v>
      </c>
      <c r="E1539" s="133" t="str">
        <f t="shared" ref="E1539:E1602" si="48">A1539&amp;F1539</f>
        <v>1200000127PUP-1521-660-AK</v>
      </c>
      <c r="F1539" s="133" t="s">
        <v>3635</v>
      </c>
      <c r="G1539" s="133" t="s">
        <v>3889</v>
      </c>
      <c r="H1539" s="133">
        <f>VLOOKUP(G1539,'packing mapping'!A:B,2,0)</f>
        <v>200</v>
      </c>
      <c r="I1539" s="137">
        <v>23152600</v>
      </c>
      <c r="J1539" s="132">
        <f t="shared" ref="J1539:J1602" si="49">I1539/H1539</f>
        <v>115763</v>
      </c>
    </row>
    <row r="1540" spans="1:10">
      <c r="A1540" s="115" t="s">
        <v>341</v>
      </c>
      <c r="B1540" s="115" t="s">
        <v>342</v>
      </c>
      <c r="C1540" s="115" t="s">
        <v>2514</v>
      </c>
      <c r="D1540" s="115" t="s">
        <v>2515</v>
      </c>
      <c r="E1540" s="133" t="str">
        <f t="shared" si="48"/>
        <v>1200000127NBC-9345-660-AK</v>
      </c>
      <c r="F1540" s="133" t="s">
        <v>3636</v>
      </c>
      <c r="G1540" s="133" t="s">
        <v>3889</v>
      </c>
      <c r="H1540" s="133">
        <f>VLOOKUP(G1540,'packing mapping'!A:B,2,0)</f>
        <v>200</v>
      </c>
      <c r="I1540" s="137">
        <v>30847200</v>
      </c>
      <c r="J1540" s="132">
        <f t="shared" si="49"/>
        <v>154236</v>
      </c>
    </row>
    <row r="1541" spans="1:10">
      <c r="A1541" s="115" t="s">
        <v>341</v>
      </c>
      <c r="B1541" s="115" t="s">
        <v>342</v>
      </c>
      <c r="C1541" s="115" t="s">
        <v>2516</v>
      </c>
      <c r="D1541" s="115" t="s">
        <v>2517</v>
      </c>
      <c r="E1541" s="133" t="str">
        <f t="shared" si="48"/>
        <v>1200000127NBC-9345-2444AK</v>
      </c>
      <c r="F1541" s="133" t="s">
        <v>3637</v>
      </c>
      <c r="G1541" s="133" t="s">
        <v>3881</v>
      </c>
      <c r="H1541" s="133">
        <f>VLOOKUP(G1541,'packing mapping'!A:B,2,0)</f>
        <v>20</v>
      </c>
      <c r="I1541" s="137">
        <v>2785440</v>
      </c>
      <c r="J1541" s="132">
        <f t="shared" si="49"/>
        <v>139272</v>
      </c>
    </row>
    <row r="1542" spans="1:10">
      <c r="A1542" s="115" t="s">
        <v>341</v>
      </c>
      <c r="B1542" s="115" t="s">
        <v>342</v>
      </c>
      <c r="C1542" s="115" t="s">
        <v>2518</v>
      </c>
      <c r="D1542" s="115" t="s">
        <v>2519</v>
      </c>
      <c r="E1542" s="133" t="str">
        <f t="shared" si="48"/>
        <v>1200000127NBC-9345-W126AK</v>
      </c>
      <c r="F1542" s="133" t="s">
        <v>3638</v>
      </c>
      <c r="G1542" s="133" t="s">
        <v>3881</v>
      </c>
      <c r="H1542" s="133">
        <f>VLOOKUP(G1542,'packing mapping'!A:B,2,0)</f>
        <v>20</v>
      </c>
      <c r="I1542" s="137">
        <v>2711260</v>
      </c>
      <c r="J1542" s="132">
        <f t="shared" si="49"/>
        <v>135563</v>
      </c>
    </row>
    <row r="1543" spans="1:10">
      <c r="A1543" s="115" t="s">
        <v>341</v>
      </c>
      <c r="B1543" s="115" t="s">
        <v>342</v>
      </c>
      <c r="C1543" s="115" t="s">
        <v>2520</v>
      </c>
      <c r="D1543" s="115" t="s">
        <v>2521</v>
      </c>
      <c r="E1543" s="133" t="str">
        <f t="shared" si="48"/>
        <v>1200000127NBC-9345-1760AK</v>
      </c>
      <c r="F1543" s="133" t="s">
        <v>3639</v>
      </c>
      <c r="G1543" s="133" t="s">
        <v>3881</v>
      </c>
      <c r="H1543" s="133">
        <f>VLOOKUP(G1543,'packing mapping'!A:B,2,0)</f>
        <v>20</v>
      </c>
      <c r="I1543" s="137">
        <v>2737120</v>
      </c>
      <c r="J1543" s="132">
        <f t="shared" si="49"/>
        <v>136856</v>
      </c>
    </row>
    <row r="1544" spans="1:10">
      <c r="A1544" s="115" t="s">
        <v>341</v>
      </c>
      <c r="B1544" s="115" t="s">
        <v>342</v>
      </c>
      <c r="C1544" s="115" t="s">
        <v>2522</v>
      </c>
      <c r="D1544" s="115" t="s">
        <v>2523</v>
      </c>
      <c r="E1544" s="133" t="str">
        <f t="shared" si="48"/>
        <v>1200000127PUP-1521-2114AK</v>
      </c>
      <c r="F1544" s="133" t="s">
        <v>3640</v>
      </c>
      <c r="G1544" s="133" t="s">
        <v>3881</v>
      </c>
      <c r="H1544" s="133">
        <f>VLOOKUP(G1544,'packing mapping'!A:B,2,0)</f>
        <v>20</v>
      </c>
      <c r="I1544" s="137">
        <v>2211840</v>
      </c>
      <c r="J1544" s="132">
        <f t="shared" si="49"/>
        <v>110592</v>
      </c>
    </row>
    <row r="1545" spans="1:10">
      <c r="A1545" s="115" t="s">
        <v>341</v>
      </c>
      <c r="B1545" s="115" t="s">
        <v>342</v>
      </c>
      <c r="C1545" s="115" t="s">
        <v>2524</v>
      </c>
      <c r="D1545" s="115" t="s">
        <v>2525</v>
      </c>
      <c r="E1545" s="133" t="str">
        <f t="shared" si="48"/>
        <v>1200000127PUL-51335-90-AK</v>
      </c>
      <c r="F1545" s="133" t="s">
        <v>3641</v>
      </c>
      <c r="G1545" s="133" t="s">
        <v>3881</v>
      </c>
      <c r="H1545" s="133">
        <f>VLOOKUP(G1545,'packing mapping'!A:B,2,0)</f>
        <v>20</v>
      </c>
      <c r="I1545" s="137">
        <v>1717700</v>
      </c>
      <c r="J1545" s="132">
        <f t="shared" si="49"/>
        <v>85885</v>
      </c>
    </row>
    <row r="1546" spans="1:10">
      <c r="A1546" s="115" t="s">
        <v>341</v>
      </c>
      <c r="B1546" s="115" t="s">
        <v>342</v>
      </c>
      <c r="C1546" s="115" t="s">
        <v>2526</v>
      </c>
      <c r="D1546" s="115" t="s">
        <v>2527</v>
      </c>
      <c r="E1546" s="133" t="str">
        <f t="shared" si="48"/>
        <v>1200000127PUH-1561-35-AK</v>
      </c>
      <c r="F1546" s="133" t="s">
        <v>3642</v>
      </c>
      <c r="G1546" s="133" t="s">
        <v>3881</v>
      </c>
      <c r="H1546" s="133">
        <f>VLOOKUP(G1546,'packing mapping'!A:B,2,0)</f>
        <v>20</v>
      </c>
      <c r="I1546" s="137">
        <v>2301440</v>
      </c>
      <c r="J1546" s="132">
        <f t="shared" si="49"/>
        <v>115072</v>
      </c>
    </row>
    <row r="1547" spans="1:10">
      <c r="A1547" s="115" t="s">
        <v>341</v>
      </c>
      <c r="B1547" s="115" t="s">
        <v>342</v>
      </c>
      <c r="C1547" s="115" t="s">
        <v>2528</v>
      </c>
      <c r="D1547" s="115" t="s">
        <v>2529</v>
      </c>
      <c r="E1547" s="133" t="str">
        <f t="shared" si="48"/>
        <v>1200000127WBP-1621-35W-AK</v>
      </c>
      <c r="F1547" s="133" t="s">
        <v>3643</v>
      </c>
      <c r="G1547" s="133" t="s">
        <v>3881</v>
      </c>
      <c r="H1547" s="133">
        <f>VLOOKUP(G1547,'packing mapping'!A:B,2,0)</f>
        <v>20</v>
      </c>
      <c r="I1547" s="137">
        <v>2279980</v>
      </c>
      <c r="J1547" s="132">
        <f t="shared" si="49"/>
        <v>113999</v>
      </c>
    </row>
    <row r="1548" spans="1:10">
      <c r="A1548" s="115" t="s">
        <v>341</v>
      </c>
      <c r="B1548" s="115" t="s">
        <v>342</v>
      </c>
      <c r="C1548" s="115" t="s">
        <v>2530</v>
      </c>
      <c r="D1548" s="115" t="s">
        <v>2531</v>
      </c>
      <c r="E1548" s="133" t="str">
        <f t="shared" si="48"/>
        <v>1200000127WBC-1622-WH10AK</v>
      </c>
      <c r="F1548" s="133" t="s">
        <v>3644</v>
      </c>
      <c r="G1548" s="133" t="s">
        <v>3881</v>
      </c>
      <c r="H1548" s="133">
        <f>VLOOKUP(G1548,'packing mapping'!A:B,2,0)</f>
        <v>20</v>
      </c>
      <c r="I1548" s="137">
        <v>2714360</v>
      </c>
      <c r="J1548" s="132">
        <f t="shared" si="49"/>
        <v>135718</v>
      </c>
    </row>
    <row r="1549" spans="1:10">
      <c r="A1549" s="115" t="s">
        <v>341</v>
      </c>
      <c r="B1549" s="115" t="s">
        <v>342</v>
      </c>
      <c r="C1549" s="115" t="s">
        <v>2532</v>
      </c>
      <c r="D1549" s="115" t="s">
        <v>2533</v>
      </c>
      <c r="E1549" s="133" t="str">
        <f t="shared" si="48"/>
        <v>1200000127NBC-9345-W137AK</v>
      </c>
      <c r="F1549" s="133" t="s">
        <v>3645</v>
      </c>
      <c r="G1549" s="133" t="s">
        <v>3881</v>
      </c>
      <c r="H1549" s="133">
        <f>VLOOKUP(G1549,'packing mapping'!A:B,2,0)</f>
        <v>20</v>
      </c>
      <c r="I1549" s="137">
        <v>2757580</v>
      </c>
      <c r="J1549" s="132">
        <f t="shared" si="49"/>
        <v>137879</v>
      </c>
    </row>
    <row r="1550" spans="1:10">
      <c r="A1550" s="115" t="s">
        <v>341</v>
      </c>
      <c r="B1550" s="115" t="s">
        <v>342</v>
      </c>
      <c r="C1550" s="115" t="s">
        <v>2534</v>
      </c>
      <c r="D1550" s="115" t="s">
        <v>2535</v>
      </c>
      <c r="E1550" s="133" t="str">
        <f t="shared" si="48"/>
        <v>1200000127PUC-1542-2114AK</v>
      </c>
      <c r="F1550" s="133" t="s">
        <v>3646</v>
      </c>
      <c r="G1550" s="133" t="s">
        <v>3881</v>
      </c>
      <c r="H1550" s="133">
        <f>VLOOKUP(G1550,'packing mapping'!A:B,2,0)</f>
        <v>20</v>
      </c>
      <c r="I1550" s="137">
        <v>3834500</v>
      </c>
      <c r="J1550" s="132">
        <f t="shared" si="49"/>
        <v>191725</v>
      </c>
    </row>
    <row r="1551" spans="1:10">
      <c r="A1551" s="115" t="s">
        <v>341</v>
      </c>
      <c r="B1551" s="115" t="s">
        <v>342</v>
      </c>
      <c r="C1551" s="115" t="s">
        <v>2536</v>
      </c>
      <c r="D1551" s="115" t="s">
        <v>2537</v>
      </c>
      <c r="E1551" s="133" t="str">
        <f t="shared" si="48"/>
        <v>1200000127NBC-9345-429-AK</v>
      </c>
      <c r="F1551" s="133" t="s">
        <v>3647</v>
      </c>
      <c r="G1551" s="133" t="s">
        <v>3881</v>
      </c>
      <c r="H1551" s="133">
        <f>VLOOKUP(G1551,'packing mapping'!A:B,2,0)</f>
        <v>20</v>
      </c>
      <c r="I1551" s="137">
        <v>2685700</v>
      </c>
      <c r="J1551" s="132">
        <f t="shared" si="49"/>
        <v>134285</v>
      </c>
    </row>
    <row r="1552" spans="1:10">
      <c r="A1552" s="115" t="s">
        <v>341</v>
      </c>
      <c r="B1552" s="115" t="s">
        <v>342</v>
      </c>
      <c r="C1552" s="115" t="s">
        <v>2538</v>
      </c>
      <c r="D1552" s="115" t="s">
        <v>2539</v>
      </c>
      <c r="E1552" s="133" t="str">
        <f t="shared" si="48"/>
        <v>1200000127NBC-9345-T429AK</v>
      </c>
      <c r="F1552" s="133" t="s">
        <v>3648</v>
      </c>
      <c r="G1552" s="133" t="s">
        <v>3881</v>
      </c>
      <c r="H1552" s="133">
        <f>VLOOKUP(G1552,'packing mapping'!A:B,2,0)</f>
        <v>20</v>
      </c>
      <c r="I1552" s="137">
        <v>2685700</v>
      </c>
      <c r="J1552" s="132">
        <f t="shared" si="49"/>
        <v>134285</v>
      </c>
    </row>
    <row r="1553" spans="1:10">
      <c r="A1553" s="115" t="s">
        <v>341</v>
      </c>
      <c r="B1553" s="115" t="s">
        <v>342</v>
      </c>
      <c r="C1553" s="115" t="s">
        <v>2540</v>
      </c>
      <c r="D1553" s="115" t="s">
        <v>2541</v>
      </c>
      <c r="E1553" s="133" t="str">
        <f t="shared" si="48"/>
        <v>1200000127NCL-1113-SR20AK</v>
      </c>
      <c r="F1553" s="133" t="s">
        <v>3649</v>
      </c>
      <c r="G1553" s="133" t="s">
        <v>3882</v>
      </c>
      <c r="H1553" s="133">
        <f>VLOOKUP(G1553,'packing mapping'!A:B,2,0)</f>
        <v>18</v>
      </c>
      <c r="I1553" s="137">
        <v>2604600</v>
      </c>
      <c r="J1553" s="132">
        <f t="shared" si="49"/>
        <v>144700</v>
      </c>
    </row>
    <row r="1554" spans="1:10">
      <c r="A1554" s="115" t="s">
        <v>341</v>
      </c>
      <c r="B1554" s="115" t="s">
        <v>342</v>
      </c>
      <c r="C1554" s="115" t="s">
        <v>2542</v>
      </c>
      <c r="D1554" s="115" t="s">
        <v>2543</v>
      </c>
      <c r="E1554" s="133" t="str">
        <f t="shared" si="48"/>
        <v>1200000127NBC-9345-787-AK</v>
      </c>
      <c r="F1554" s="133" t="s">
        <v>3650</v>
      </c>
      <c r="G1554" s="133" t="s">
        <v>3881</v>
      </c>
      <c r="H1554" s="133">
        <f>VLOOKUP(G1554,'packing mapping'!A:B,2,0)</f>
        <v>20</v>
      </c>
      <c r="I1554" s="137">
        <v>2637100</v>
      </c>
      <c r="J1554" s="132">
        <f t="shared" si="49"/>
        <v>131855</v>
      </c>
    </row>
    <row r="1555" spans="1:10">
      <c r="A1555" s="115" t="s">
        <v>341</v>
      </c>
      <c r="B1555" s="115" t="s">
        <v>342</v>
      </c>
      <c r="C1555" s="115" t="s">
        <v>2544</v>
      </c>
      <c r="D1555" s="115" t="s">
        <v>2545</v>
      </c>
      <c r="E1555" s="133" t="str">
        <f t="shared" si="48"/>
        <v>1200000127NBC-9345-1075AK</v>
      </c>
      <c r="F1555" s="133" t="s">
        <v>3651</v>
      </c>
      <c r="G1555" s="133" t="s">
        <v>3881</v>
      </c>
      <c r="H1555" s="133">
        <f>VLOOKUP(G1555,'packing mapping'!A:B,2,0)</f>
        <v>20</v>
      </c>
      <c r="I1555" s="137">
        <v>2834040</v>
      </c>
      <c r="J1555" s="132">
        <f t="shared" si="49"/>
        <v>141702</v>
      </c>
    </row>
    <row r="1556" spans="1:10">
      <c r="A1556" s="115" t="s">
        <v>341</v>
      </c>
      <c r="B1556" s="115" t="s">
        <v>342</v>
      </c>
      <c r="C1556" s="115" t="s">
        <v>2546</v>
      </c>
      <c r="D1556" s="115" t="s">
        <v>2547</v>
      </c>
      <c r="E1556" s="133" t="str">
        <f t="shared" si="48"/>
        <v>1200000127DP-1221-1075-AK</v>
      </c>
      <c r="F1556" s="133" t="s">
        <v>3652</v>
      </c>
      <c r="G1556" s="133" t="s">
        <v>3882</v>
      </c>
      <c r="H1556" s="133">
        <f>VLOOKUP(G1556,'packing mapping'!A:B,2,0)</f>
        <v>18</v>
      </c>
      <c r="I1556" s="137">
        <v>4189680</v>
      </c>
      <c r="J1556" s="132">
        <f t="shared" si="49"/>
        <v>232760</v>
      </c>
    </row>
    <row r="1557" spans="1:10">
      <c r="A1557" s="115" t="s">
        <v>341</v>
      </c>
      <c r="B1557" s="115" t="s">
        <v>342</v>
      </c>
      <c r="C1557" s="115" t="s">
        <v>2548</v>
      </c>
      <c r="D1557" s="115" t="s">
        <v>2549</v>
      </c>
      <c r="E1557" s="133" t="str">
        <f t="shared" si="48"/>
        <v>1200000127NBC-9345-2447AK</v>
      </c>
      <c r="F1557" s="133" t="s">
        <v>3653</v>
      </c>
      <c r="G1557" s="133" t="s">
        <v>3881</v>
      </c>
      <c r="H1557" s="133">
        <f>VLOOKUP(G1557,'packing mapping'!A:B,2,0)</f>
        <v>20</v>
      </c>
      <c r="I1557" s="137">
        <v>2887760</v>
      </c>
      <c r="J1557" s="132">
        <f t="shared" si="49"/>
        <v>144388</v>
      </c>
    </row>
    <row r="1558" spans="1:10">
      <c r="A1558" s="115" t="s">
        <v>341</v>
      </c>
      <c r="B1558" s="115" t="s">
        <v>342</v>
      </c>
      <c r="C1558" s="115" t="s">
        <v>2550</v>
      </c>
      <c r="D1558" s="115" t="s">
        <v>2551</v>
      </c>
      <c r="E1558" s="133" t="str">
        <f t="shared" si="48"/>
        <v>1200000127NBC-9345-2437AK</v>
      </c>
      <c r="F1558" s="133" t="s">
        <v>3654</v>
      </c>
      <c r="G1558" s="133" t="s">
        <v>3881</v>
      </c>
      <c r="H1558" s="133">
        <f>VLOOKUP(G1558,'packing mapping'!A:B,2,0)</f>
        <v>20</v>
      </c>
      <c r="I1558" s="137">
        <v>2821260</v>
      </c>
      <c r="J1558" s="132">
        <f t="shared" si="49"/>
        <v>141063</v>
      </c>
    </row>
    <row r="1559" spans="1:10">
      <c r="A1559" s="115" t="s">
        <v>341</v>
      </c>
      <c r="B1559" s="115" t="s">
        <v>342</v>
      </c>
      <c r="C1559" s="115" t="s">
        <v>2552</v>
      </c>
      <c r="D1559" s="115" t="s">
        <v>2553</v>
      </c>
      <c r="E1559" s="133" t="str">
        <f t="shared" si="48"/>
        <v>1200000127NBC9345T660AKVN</v>
      </c>
      <c r="F1559" s="133" t="s">
        <v>3655</v>
      </c>
      <c r="G1559" s="133" t="s">
        <v>3881</v>
      </c>
      <c r="H1559" s="133">
        <f>VLOOKUP(G1559,'packing mapping'!A:B,2,0)</f>
        <v>20</v>
      </c>
      <c r="I1559" s="137">
        <v>3018200</v>
      </c>
      <c r="J1559" s="132">
        <f t="shared" si="49"/>
        <v>150910</v>
      </c>
    </row>
    <row r="1560" spans="1:10">
      <c r="A1560" s="115" t="s">
        <v>341</v>
      </c>
      <c r="B1560" s="115" t="s">
        <v>342</v>
      </c>
      <c r="C1560" s="115" t="s">
        <v>2554</v>
      </c>
      <c r="D1560" s="115" t="s">
        <v>2555</v>
      </c>
      <c r="E1560" s="133" t="str">
        <f t="shared" si="48"/>
        <v>1200000127NBC93452545AKVN</v>
      </c>
      <c r="F1560" s="133" t="s">
        <v>3656</v>
      </c>
      <c r="G1560" s="133" t="s">
        <v>3881</v>
      </c>
      <c r="H1560" s="133">
        <f>VLOOKUP(G1560,'packing mapping'!A:B,2,0)</f>
        <v>20</v>
      </c>
      <c r="I1560" s="137">
        <v>2944080</v>
      </c>
      <c r="J1560" s="132">
        <f t="shared" si="49"/>
        <v>147204</v>
      </c>
    </row>
    <row r="1561" spans="1:10">
      <c r="A1561" s="115" t="s">
        <v>341</v>
      </c>
      <c r="B1561" s="115" t="s">
        <v>342</v>
      </c>
      <c r="C1561" s="115" t="s">
        <v>2556</v>
      </c>
      <c r="D1561" s="115" t="s">
        <v>2557</v>
      </c>
      <c r="E1561" s="133" t="str">
        <f t="shared" si="48"/>
        <v>1200000127NBC93452557AKVN</v>
      </c>
      <c r="F1561" s="133" t="s">
        <v>3657</v>
      </c>
      <c r="G1561" s="133" t="s">
        <v>3881</v>
      </c>
      <c r="H1561" s="133">
        <f>VLOOKUP(G1561,'packing mapping'!A:B,2,0)</f>
        <v>20</v>
      </c>
      <c r="I1561" s="137">
        <v>2927840</v>
      </c>
      <c r="J1561" s="132">
        <f t="shared" si="49"/>
        <v>146392</v>
      </c>
    </row>
    <row r="1562" spans="1:10">
      <c r="A1562" s="115" t="s">
        <v>341</v>
      </c>
      <c r="B1562" s="115" t="s">
        <v>342</v>
      </c>
      <c r="C1562" s="115" t="s">
        <v>2558</v>
      </c>
      <c r="D1562" s="115" t="s">
        <v>2559</v>
      </c>
      <c r="E1562" s="133" t="str">
        <f t="shared" si="48"/>
        <v>1200000127NBC93452521AKVN</v>
      </c>
      <c r="F1562" s="133" t="s">
        <v>3658</v>
      </c>
      <c r="G1562" s="133" t="s">
        <v>3881</v>
      </c>
      <c r="H1562" s="133">
        <f>VLOOKUP(G1562,'packing mapping'!A:B,2,0)</f>
        <v>20</v>
      </c>
      <c r="I1562" s="137">
        <v>2948720</v>
      </c>
      <c r="J1562" s="132">
        <f t="shared" si="49"/>
        <v>147436</v>
      </c>
    </row>
    <row r="1563" spans="1:10">
      <c r="A1563" s="115" t="s">
        <v>341</v>
      </c>
      <c r="B1563" s="115" t="s">
        <v>342</v>
      </c>
      <c r="C1563" s="115" t="s">
        <v>2560</v>
      </c>
      <c r="D1563" s="115" t="s">
        <v>2561</v>
      </c>
      <c r="E1563" s="133" t="str">
        <f t="shared" si="48"/>
        <v>1200000127NBC9345T743AKVN</v>
      </c>
      <c r="F1563" s="133" t="s">
        <v>3659</v>
      </c>
      <c r="G1563" s="133" t="s">
        <v>3881</v>
      </c>
      <c r="H1563" s="133">
        <f>VLOOKUP(G1563,'packing mapping'!A:B,2,0)</f>
        <v>20</v>
      </c>
      <c r="I1563" s="137">
        <v>3127360</v>
      </c>
      <c r="J1563" s="132">
        <f t="shared" si="49"/>
        <v>156368</v>
      </c>
    </row>
    <row r="1564" spans="1:10">
      <c r="A1564" s="115" t="s">
        <v>341</v>
      </c>
      <c r="B1564" s="115" t="s">
        <v>342</v>
      </c>
      <c r="C1564" s="115" t="s">
        <v>2562</v>
      </c>
      <c r="D1564" s="115" t="s">
        <v>2563</v>
      </c>
      <c r="E1564" s="133" t="str">
        <f t="shared" si="48"/>
        <v>1200000127NBC93452566AKVN</v>
      </c>
      <c r="F1564" s="133" t="s">
        <v>3660</v>
      </c>
      <c r="G1564" s="133" t="s">
        <v>3881</v>
      </c>
      <c r="H1564" s="133">
        <f>VLOOKUP(G1564,'packing mapping'!A:B,2,0)</f>
        <v>20</v>
      </c>
      <c r="I1564" s="137">
        <v>3178400</v>
      </c>
      <c r="J1564" s="132">
        <f t="shared" si="49"/>
        <v>158920</v>
      </c>
    </row>
    <row r="1565" spans="1:10">
      <c r="A1565" s="115" t="s">
        <v>800</v>
      </c>
      <c r="B1565" s="115" t="s">
        <v>801</v>
      </c>
      <c r="C1565" s="115" t="s">
        <v>2426</v>
      </c>
      <c r="D1565" s="115" t="s">
        <v>2427</v>
      </c>
      <c r="E1565" s="133" t="str">
        <f t="shared" si="48"/>
        <v>1200000795THPU-2713-06-AK</v>
      </c>
      <c r="F1565" s="133" t="s">
        <v>3592</v>
      </c>
      <c r="G1565" s="133" t="s">
        <v>3899</v>
      </c>
      <c r="H1565" s="133">
        <f>VLOOKUP(G1565,'packing mapping'!A:B,2,0)</f>
        <v>160</v>
      </c>
      <c r="I1565" s="137">
        <v>9505600</v>
      </c>
      <c r="J1565" s="132">
        <f t="shared" si="49"/>
        <v>59410</v>
      </c>
    </row>
    <row r="1566" spans="1:10">
      <c r="A1566" s="115" t="s">
        <v>800</v>
      </c>
      <c r="B1566" s="115" t="s">
        <v>801</v>
      </c>
      <c r="C1566" s="115" t="s">
        <v>2428</v>
      </c>
      <c r="D1566" s="115" t="s">
        <v>2429</v>
      </c>
      <c r="E1566" s="133" t="str">
        <f t="shared" si="48"/>
        <v>1200000795PUH-1561-33-AK</v>
      </c>
      <c r="F1566" s="133" t="s">
        <v>3593</v>
      </c>
      <c r="G1566" s="133" t="s">
        <v>3881</v>
      </c>
      <c r="H1566" s="133">
        <f>VLOOKUP(G1566,'packing mapping'!A:B,2,0)</f>
        <v>20</v>
      </c>
      <c r="I1566" s="137">
        <v>2222600</v>
      </c>
      <c r="J1566" s="132">
        <f t="shared" si="49"/>
        <v>111130</v>
      </c>
    </row>
    <row r="1567" spans="1:10">
      <c r="A1567" s="115" t="s">
        <v>800</v>
      </c>
      <c r="B1567" s="115" t="s">
        <v>801</v>
      </c>
      <c r="C1567" s="115" t="s">
        <v>2564</v>
      </c>
      <c r="D1567" s="115" t="s">
        <v>2565</v>
      </c>
      <c r="E1567" s="133" t="str">
        <f t="shared" si="48"/>
        <v>1200000795PW-2316-R35-AK</v>
      </c>
      <c r="F1567" s="133" t="s">
        <v>3661</v>
      </c>
      <c r="G1567" s="133" t="s">
        <v>3883</v>
      </c>
      <c r="H1567" s="133">
        <f>VLOOKUP(G1567,'packing mapping'!A:B,2,0)</f>
        <v>4</v>
      </c>
      <c r="I1567" s="137">
        <v>4906160</v>
      </c>
      <c r="J1567" s="132">
        <f t="shared" si="49"/>
        <v>1226540</v>
      </c>
    </row>
    <row r="1568" spans="1:10">
      <c r="A1568" s="115" t="s">
        <v>800</v>
      </c>
      <c r="B1568" s="115" t="s">
        <v>801</v>
      </c>
      <c r="C1568" s="115" t="s">
        <v>2460</v>
      </c>
      <c r="D1568" s="115" t="s">
        <v>2461</v>
      </c>
      <c r="E1568" s="133" t="str">
        <f t="shared" si="48"/>
        <v>1200000795PW-2316-YAR-AK</v>
      </c>
      <c r="F1568" s="133" t="s">
        <v>3609</v>
      </c>
      <c r="G1568" s="133" t="s">
        <v>3883</v>
      </c>
      <c r="H1568" s="133">
        <f>VLOOKUP(G1568,'packing mapping'!A:B,2,0)</f>
        <v>4</v>
      </c>
      <c r="I1568" s="137">
        <v>1194320</v>
      </c>
      <c r="J1568" s="132">
        <f t="shared" si="49"/>
        <v>298580</v>
      </c>
    </row>
    <row r="1569" spans="1:10">
      <c r="A1569" s="115" t="s">
        <v>800</v>
      </c>
      <c r="B1569" s="115" t="s">
        <v>801</v>
      </c>
      <c r="C1569" s="115" t="s">
        <v>2462</v>
      </c>
      <c r="D1569" s="115" t="s">
        <v>2463</v>
      </c>
      <c r="E1569" s="133" t="str">
        <f t="shared" si="48"/>
        <v>1200000795PW-2316-YOR-AK</v>
      </c>
      <c r="F1569" s="133" t="s">
        <v>3610</v>
      </c>
      <c r="G1569" s="133" t="s">
        <v>3883</v>
      </c>
      <c r="H1569" s="133">
        <f>VLOOKUP(G1569,'packing mapping'!A:B,2,0)</f>
        <v>4</v>
      </c>
      <c r="I1569" s="137">
        <v>3448720</v>
      </c>
      <c r="J1569" s="132">
        <f t="shared" si="49"/>
        <v>862180</v>
      </c>
    </row>
    <row r="1570" spans="1:10">
      <c r="A1570" s="115" t="s">
        <v>800</v>
      </c>
      <c r="B1570" s="115" t="s">
        <v>801</v>
      </c>
      <c r="C1570" s="115" t="s">
        <v>2464</v>
      </c>
      <c r="D1570" s="115" t="s">
        <v>2465</v>
      </c>
      <c r="E1570" s="133" t="str">
        <f t="shared" si="48"/>
        <v>1200000795PW-2316-BUO-AK</v>
      </c>
      <c r="F1570" s="133" t="s">
        <v>3611</v>
      </c>
      <c r="G1570" s="133" t="s">
        <v>3883</v>
      </c>
      <c r="H1570" s="133">
        <f>VLOOKUP(G1570,'packing mapping'!A:B,2,0)</f>
        <v>4</v>
      </c>
      <c r="I1570" s="137">
        <v>2975600</v>
      </c>
      <c r="J1570" s="132">
        <f t="shared" si="49"/>
        <v>743900</v>
      </c>
    </row>
    <row r="1571" spans="1:10">
      <c r="A1571" s="115" t="s">
        <v>800</v>
      </c>
      <c r="B1571" s="115" t="s">
        <v>801</v>
      </c>
      <c r="C1571" s="115" t="s">
        <v>2566</v>
      </c>
      <c r="D1571" s="115" t="s">
        <v>2567</v>
      </c>
      <c r="E1571" s="133" t="str">
        <f t="shared" si="48"/>
        <v>1200000795PUH-1561-39-AK</v>
      </c>
      <c r="F1571" s="133" t="s">
        <v>3662</v>
      </c>
      <c r="G1571" s="133" t="s">
        <v>3881</v>
      </c>
      <c r="H1571" s="133">
        <f>VLOOKUP(G1571,'packing mapping'!A:B,2,0)</f>
        <v>20</v>
      </c>
      <c r="I1571" s="137">
        <v>2247600</v>
      </c>
      <c r="J1571" s="132">
        <f t="shared" si="49"/>
        <v>112380</v>
      </c>
    </row>
    <row r="1572" spans="1:10">
      <c r="A1572" s="115" t="s">
        <v>800</v>
      </c>
      <c r="B1572" s="115" t="s">
        <v>801</v>
      </c>
      <c r="C1572" s="115" t="s">
        <v>2568</v>
      </c>
      <c r="D1572" s="115" t="s">
        <v>2569</v>
      </c>
      <c r="E1572" s="133" t="str">
        <f t="shared" si="48"/>
        <v>1200000795PUC-1522-WH10AK</v>
      </c>
      <c r="F1572" s="133" t="s">
        <v>3663</v>
      </c>
      <c r="G1572" s="133" t="s">
        <v>3881</v>
      </c>
      <c r="H1572" s="133">
        <f>VLOOKUP(G1572,'packing mapping'!A:B,2,0)</f>
        <v>20</v>
      </c>
      <c r="I1572" s="137">
        <v>2512800</v>
      </c>
      <c r="J1572" s="132">
        <f t="shared" si="49"/>
        <v>125640</v>
      </c>
    </row>
    <row r="1573" spans="1:10">
      <c r="A1573" s="115" t="s">
        <v>800</v>
      </c>
      <c r="B1573" s="115" t="s">
        <v>801</v>
      </c>
      <c r="C1573" s="115" t="s">
        <v>2570</v>
      </c>
      <c r="D1573" s="115" t="s">
        <v>2571</v>
      </c>
      <c r="E1573" s="133" t="str">
        <f t="shared" si="48"/>
        <v>1200000795PUP-1521-1187AK</v>
      </c>
      <c r="F1573" s="133" t="s">
        <v>3664</v>
      </c>
      <c r="G1573" s="133" t="s">
        <v>3881</v>
      </c>
      <c r="H1573" s="133">
        <f>VLOOKUP(G1573,'packing mapping'!A:B,2,0)</f>
        <v>20</v>
      </c>
      <c r="I1573" s="137">
        <v>2619600</v>
      </c>
      <c r="J1573" s="132">
        <f t="shared" si="49"/>
        <v>130980</v>
      </c>
    </row>
    <row r="1574" spans="1:10">
      <c r="A1574" s="115" t="s">
        <v>800</v>
      </c>
      <c r="B1574" s="115" t="s">
        <v>801</v>
      </c>
      <c r="C1574" s="115" t="s">
        <v>2572</v>
      </c>
      <c r="D1574" s="115" t="s">
        <v>2573</v>
      </c>
      <c r="E1574" s="133" t="str">
        <f t="shared" si="48"/>
        <v>1200000795WBC-1622-BC5AK</v>
      </c>
      <c r="F1574" s="133" t="s">
        <v>3665</v>
      </c>
      <c r="G1574" s="133" t="s">
        <v>3881</v>
      </c>
      <c r="H1574" s="133">
        <f>VLOOKUP(G1574,'packing mapping'!A:B,2,0)</f>
        <v>20</v>
      </c>
      <c r="I1574" s="137">
        <v>3050400</v>
      </c>
      <c r="J1574" s="132">
        <f t="shared" si="49"/>
        <v>152520</v>
      </c>
    </row>
    <row r="1575" spans="1:10">
      <c r="A1575" s="115" t="s">
        <v>800</v>
      </c>
      <c r="B1575" s="115" t="s">
        <v>801</v>
      </c>
      <c r="C1575" s="115" t="s">
        <v>2574</v>
      </c>
      <c r="D1575" s="115" t="s">
        <v>2575</v>
      </c>
      <c r="E1575" s="133" t="str">
        <f t="shared" si="48"/>
        <v>1200000795WBP-1621-BR-AK</v>
      </c>
      <c r="F1575" s="133" t="s">
        <v>3666</v>
      </c>
      <c r="G1575" s="133" t="s">
        <v>3881</v>
      </c>
      <c r="H1575" s="133">
        <f>VLOOKUP(G1575,'packing mapping'!A:B,2,0)</f>
        <v>20</v>
      </c>
      <c r="I1575" s="137">
        <v>3603800</v>
      </c>
      <c r="J1575" s="132">
        <f t="shared" si="49"/>
        <v>180190</v>
      </c>
    </row>
    <row r="1576" spans="1:10">
      <c r="A1576" s="115" t="s">
        <v>800</v>
      </c>
      <c r="B1576" s="115" t="s">
        <v>801</v>
      </c>
      <c r="C1576" s="115" t="s">
        <v>2576</v>
      </c>
      <c r="D1576" s="115" t="s">
        <v>2577</v>
      </c>
      <c r="E1576" s="133" t="str">
        <f t="shared" si="48"/>
        <v>1200000795WBC-1622-BR10AK</v>
      </c>
      <c r="F1576" s="133" t="s">
        <v>3667</v>
      </c>
      <c r="G1576" s="133" t="s">
        <v>3881</v>
      </c>
      <c r="H1576" s="133">
        <f>VLOOKUP(G1576,'packing mapping'!A:B,2,0)</f>
        <v>20</v>
      </c>
      <c r="I1576" s="137">
        <v>3495000</v>
      </c>
      <c r="J1576" s="132">
        <f t="shared" si="49"/>
        <v>174750</v>
      </c>
    </row>
    <row r="1577" spans="1:10">
      <c r="A1577" s="115" t="s">
        <v>800</v>
      </c>
      <c r="B1577" s="115" t="s">
        <v>801</v>
      </c>
      <c r="C1577" s="115" t="s">
        <v>2528</v>
      </c>
      <c r="D1577" s="115" t="s">
        <v>2529</v>
      </c>
      <c r="E1577" s="133" t="str">
        <f t="shared" si="48"/>
        <v>1200000795WBP-1621-35W-AK</v>
      </c>
      <c r="F1577" s="133" t="s">
        <v>3643</v>
      </c>
      <c r="G1577" s="133" t="s">
        <v>3881</v>
      </c>
      <c r="H1577" s="133">
        <f>VLOOKUP(G1577,'packing mapping'!A:B,2,0)</f>
        <v>20</v>
      </c>
      <c r="I1577" s="137">
        <v>2345000</v>
      </c>
      <c r="J1577" s="132">
        <f t="shared" si="49"/>
        <v>117250</v>
      </c>
    </row>
    <row r="1578" spans="1:10">
      <c r="A1578" s="115" t="s">
        <v>800</v>
      </c>
      <c r="B1578" s="115" t="s">
        <v>801</v>
      </c>
      <c r="C1578" s="115" t="s">
        <v>2530</v>
      </c>
      <c r="D1578" s="115" t="s">
        <v>2531</v>
      </c>
      <c r="E1578" s="133" t="str">
        <f t="shared" si="48"/>
        <v>1200000795WBC-1622-WH10AK</v>
      </c>
      <c r="F1578" s="133" t="s">
        <v>3644</v>
      </c>
      <c r="G1578" s="133" t="s">
        <v>3881</v>
      </c>
      <c r="H1578" s="133">
        <f>VLOOKUP(G1578,'packing mapping'!A:B,2,0)</f>
        <v>20</v>
      </c>
      <c r="I1578" s="137">
        <v>2792000</v>
      </c>
      <c r="J1578" s="132">
        <f t="shared" si="49"/>
        <v>139600</v>
      </c>
    </row>
    <row r="1579" spans="1:10">
      <c r="A1579" s="115" t="s">
        <v>800</v>
      </c>
      <c r="B1579" s="115" t="s">
        <v>801</v>
      </c>
      <c r="C1579" s="115" t="s">
        <v>2578</v>
      </c>
      <c r="D1579" s="115" t="s">
        <v>2579</v>
      </c>
      <c r="E1579" s="133" t="str">
        <f t="shared" si="48"/>
        <v>1200000795WBP-1621-BL-AK</v>
      </c>
      <c r="F1579" s="133" t="s">
        <v>3668</v>
      </c>
      <c r="G1579" s="133" t="s">
        <v>3881</v>
      </c>
      <c r="H1579" s="133">
        <f>VLOOKUP(G1579,'packing mapping'!A:B,2,0)</f>
        <v>20</v>
      </c>
      <c r="I1579" s="137">
        <v>2011800</v>
      </c>
      <c r="J1579" s="132">
        <f t="shared" si="49"/>
        <v>100590</v>
      </c>
    </row>
    <row r="1580" spans="1:10">
      <c r="A1580" s="115" t="s">
        <v>800</v>
      </c>
      <c r="B1580" s="115" t="s">
        <v>801</v>
      </c>
      <c r="C1580" s="115" t="s">
        <v>2580</v>
      </c>
      <c r="D1580" s="115" t="s">
        <v>2581</v>
      </c>
      <c r="E1580" s="133" t="str">
        <f t="shared" si="48"/>
        <v>1200000795WBC-1622-BL10AK</v>
      </c>
      <c r="F1580" s="133" t="s">
        <v>3669</v>
      </c>
      <c r="G1580" s="133" t="s">
        <v>3881</v>
      </c>
      <c r="H1580" s="133">
        <f>VLOOKUP(G1580,'packing mapping'!A:B,2,0)</f>
        <v>20</v>
      </c>
      <c r="I1580" s="137">
        <v>3615200</v>
      </c>
      <c r="J1580" s="132">
        <f t="shared" si="49"/>
        <v>180760</v>
      </c>
    </row>
    <row r="1581" spans="1:10">
      <c r="A1581" s="115" t="s">
        <v>800</v>
      </c>
      <c r="B1581" s="115" t="s">
        <v>801</v>
      </c>
      <c r="C1581" s="115" t="s">
        <v>2582</v>
      </c>
      <c r="D1581" s="115" t="s">
        <v>2583</v>
      </c>
      <c r="E1581" s="133" t="str">
        <f t="shared" si="48"/>
        <v>1200000795PW-2316-RAB-AK</v>
      </c>
      <c r="F1581" s="133" t="s">
        <v>3670</v>
      </c>
      <c r="G1581" s="133" t="s">
        <v>3883</v>
      </c>
      <c r="H1581" s="133">
        <f>VLOOKUP(G1581,'packing mapping'!A:B,2,0)</f>
        <v>4</v>
      </c>
      <c r="I1581" s="137">
        <v>1388960</v>
      </c>
      <c r="J1581" s="132">
        <f t="shared" si="49"/>
        <v>347240</v>
      </c>
    </row>
    <row r="1582" spans="1:10">
      <c r="A1582" s="115" t="s">
        <v>800</v>
      </c>
      <c r="B1582" s="115" t="s">
        <v>801</v>
      </c>
      <c r="C1582" s="115" t="s">
        <v>2584</v>
      </c>
      <c r="D1582" s="115" t="s">
        <v>2585</v>
      </c>
      <c r="E1582" s="133" t="str">
        <f t="shared" si="48"/>
        <v>1200000795PW-2316-WHI-AK</v>
      </c>
      <c r="F1582" s="133" t="s">
        <v>3671</v>
      </c>
      <c r="G1582" s="133" t="s">
        <v>3883</v>
      </c>
      <c r="H1582" s="133">
        <f>VLOOKUP(G1582,'packing mapping'!A:B,2,0)</f>
        <v>4</v>
      </c>
      <c r="I1582" s="137">
        <v>1090920</v>
      </c>
      <c r="J1582" s="132">
        <f t="shared" si="49"/>
        <v>272730</v>
      </c>
    </row>
    <row r="1583" spans="1:10">
      <c r="A1583" s="115" t="s">
        <v>800</v>
      </c>
      <c r="B1583" s="115" t="s">
        <v>801</v>
      </c>
      <c r="C1583" s="115" t="s">
        <v>2586</v>
      </c>
      <c r="D1583" s="115" t="s">
        <v>2587</v>
      </c>
      <c r="E1583" s="133" t="str">
        <f t="shared" si="48"/>
        <v>1200000795PW-2316-BLA-AK</v>
      </c>
      <c r="F1583" s="133" t="s">
        <v>3672</v>
      </c>
      <c r="G1583" s="133" t="s">
        <v>3883</v>
      </c>
      <c r="H1583" s="133">
        <f>VLOOKUP(G1583,'packing mapping'!A:B,2,0)</f>
        <v>4</v>
      </c>
      <c r="I1583" s="137">
        <v>1706000</v>
      </c>
      <c r="J1583" s="132">
        <f t="shared" si="49"/>
        <v>426500</v>
      </c>
    </row>
    <row r="1584" spans="1:10">
      <c r="A1584" s="115" t="s">
        <v>800</v>
      </c>
      <c r="B1584" s="115" t="s">
        <v>801</v>
      </c>
      <c r="C1584" s="115" t="s">
        <v>2588</v>
      </c>
      <c r="D1584" s="115" t="s">
        <v>2589</v>
      </c>
      <c r="E1584" s="133" t="str">
        <f t="shared" si="48"/>
        <v>1200000795WBL-61202-BC5AK</v>
      </c>
      <c r="F1584" s="133" t="s">
        <v>3673</v>
      </c>
      <c r="G1584" s="133" t="s">
        <v>3881</v>
      </c>
      <c r="H1584" s="133">
        <f>VLOOKUP(G1584,'packing mapping'!A:B,2,0)</f>
        <v>20</v>
      </c>
      <c r="I1584" s="137">
        <v>3064200</v>
      </c>
      <c r="J1584" s="132">
        <f t="shared" si="49"/>
        <v>153210</v>
      </c>
    </row>
    <row r="1585" spans="1:10">
      <c r="A1585" s="115" t="s">
        <v>800</v>
      </c>
      <c r="B1585" s="115" t="s">
        <v>801</v>
      </c>
      <c r="C1585" s="115" t="s">
        <v>2590</v>
      </c>
      <c r="D1585" s="115" t="s">
        <v>2591</v>
      </c>
      <c r="E1585" s="133" t="str">
        <f t="shared" si="48"/>
        <v>1200000795WBC-62241-BW5AK</v>
      </c>
      <c r="F1585" s="133" t="s">
        <v>3674</v>
      </c>
      <c r="G1585" s="133" t="s">
        <v>3881</v>
      </c>
      <c r="H1585" s="133">
        <f>VLOOKUP(G1585,'packing mapping'!A:B,2,0)</f>
        <v>20</v>
      </c>
      <c r="I1585" s="137">
        <v>3066400</v>
      </c>
      <c r="J1585" s="132">
        <f t="shared" si="49"/>
        <v>153320</v>
      </c>
    </row>
    <row r="1586" spans="1:10">
      <c r="A1586" s="115" t="s">
        <v>800</v>
      </c>
      <c r="B1586" s="115" t="s">
        <v>801</v>
      </c>
      <c r="C1586" s="115" t="s">
        <v>2592</v>
      </c>
      <c r="D1586" s="115" t="s">
        <v>2593</v>
      </c>
      <c r="E1586" s="133" t="str">
        <f t="shared" si="48"/>
        <v>1200000795THPU-2713-06-AK</v>
      </c>
      <c r="F1586" s="133" t="s">
        <v>3592</v>
      </c>
      <c r="G1586" s="133" t="s">
        <v>3907</v>
      </c>
      <c r="H1586" s="133">
        <f>VLOOKUP(G1586,'packing mapping'!A:B,2,0)</f>
        <v>25</v>
      </c>
      <c r="I1586" s="137">
        <v>1760750</v>
      </c>
      <c r="J1586" s="132">
        <f t="shared" si="49"/>
        <v>70430</v>
      </c>
    </row>
    <row r="1587" spans="1:10">
      <c r="A1587" s="115" t="s">
        <v>1105</v>
      </c>
      <c r="B1587" s="115" t="s">
        <v>1106</v>
      </c>
      <c r="C1587" s="115" t="s">
        <v>2594</v>
      </c>
      <c r="D1587" s="115" t="s">
        <v>2595</v>
      </c>
      <c r="E1587" s="133" t="str">
        <f t="shared" si="48"/>
        <v>1200001149PCA-31100 RX C50 BLACK VN</v>
      </c>
      <c r="F1587" s="133" t="s">
        <v>3530</v>
      </c>
      <c r="G1587" s="133" t="s">
        <v>3883</v>
      </c>
      <c r="H1587" s="133">
        <f>VLOOKUP(G1587,'packing mapping'!A:B,2,0)</f>
        <v>4</v>
      </c>
      <c r="I1587" s="137">
        <v>1532240</v>
      </c>
      <c r="J1587" s="132">
        <f t="shared" si="49"/>
        <v>383060</v>
      </c>
    </row>
    <row r="1588" spans="1:10">
      <c r="A1588" s="115" t="s">
        <v>1105</v>
      </c>
      <c r="B1588" s="115" t="s">
        <v>1106</v>
      </c>
      <c r="C1588" s="115" t="s">
        <v>2240</v>
      </c>
      <c r="D1588" s="115" t="s">
        <v>2241</v>
      </c>
      <c r="E1588" s="133" t="str">
        <f t="shared" si="48"/>
        <v>1200001149PCA-31100 RX C50 BLACK VN</v>
      </c>
      <c r="F1588" s="133" t="s">
        <v>3530</v>
      </c>
      <c r="G1588" s="133" t="s">
        <v>3882</v>
      </c>
      <c r="H1588" s="133">
        <f>VLOOKUP(G1588,'packing mapping'!A:B,2,0)</f>
        <v>18</v>
      </c>
      <c r="I1588" s="137">
        <v>6574410</v>
      </c>
      <c r="J1588" s="132">
        <f t="shared" si="49"/>
        <v>365245</v>
      </c>
    </row>
    <row r="1589" spans="1:10">
      <c r="A1589" s="115" t="s">
        <v>1105</v>
      </c>
      <c r="B1589" s="115" t="s">
        <v>1106</v>
      </c>
      <c r="C1589" s="115" t="s">
        <v>1190</v>
      </c>
      <c r="D1589" s="115" t="s">
        <v>1191</v>
      </c>
      <c r="E1589" s="133" t="str">
        <f t="shared" si="48"/>
        <v>1200001149PCA-31100 WHITE PASTE VN</v>
      </c>
      <c r="F1589" s="133" t="s">
        <v>3049</v>
      </c>
      <c r="G1589" s="133" t="s">
        <v>3883</v>
      </c>
      <c r="H1589" s="133">
        <f>VLOOKUP(G1589,'packing mapping'!A:B,2,0)</f>
        <v>4</v>
      </c>
      <c r="I1589" s="137">
        <v>867600</v>
      </c>
      <c r="J1589" s="132">
        <f t="shared" si="49"/>
        <v>216900</v>
      </c>
    </row>
    <row r="1590" spans="1:10">
      <c r="A1590" s="115" t="s">
        <v>1105</v>
      </c>
      <c r="B1590" s="115" t="s">
        <v>1106</v>
      </c>
      <c r="C1590" s="115" t="s">
        <v>1538</v>
      </c>
      <c r="D1590" s="115" t="s">
        <v>1539</v>
      </c>
      <c r="E1590" s="133" t="str">
        <f t="shared" si="48"/>
        <v>1200001149PST-12100 C20 WHITE</v>
      </c>
      <c r="F1590" s="133" t="s">
        <v>3209</v>
      </c>
      <c r="G1590" s="133" t="s">
        <v>3883</v>
      </c>
      <c r="H1590" s="133">
        <f>VLOOKUP(G1590,'packing mapping'!A:B,2,0)</f>
        <v>4</v>
      </c>
      <c r="I1590" s="137">
        <v>1564468</v>
      </c>
      <c r="J1590" s="132">
        <f t="shared" si="49"/>
        <v>391117</v>
      </c>
    </row>
    <row r="1591" spans="1:10">
      <c r="A1591" s="115" t="s">
        <v>1105</v>
      </c>
      <c r="B1591" s="115" t="s">
        <v>1106</v>
      </c>
      <c r="C1591" s="115" t="s">
        <v>1220</v>
      </c>
      <c r="D1591" s="115" t="s">
        <v>1221</v>
      </c>
      <c r="E1591" s="133" t="str">
        <f t="shared" si="48"/>
        <v>1200001149SST-11100 C10 BLACK</v>
      </c>
      <c r="F1591" s="133" t="s">
        <v>3064</v>
      </c>
      <c r="G1591" s="133" t="s">
        <v>3883</v>
      </c>
      <c r="H1591" s="133">
        <f>VLOOKUP(G1591,'packing mapping'!A:B,2,0)</f>
        <v>4</v>
      </c>
      <c r="I1591" s="137">
        <v>1351624</v>
      </c>
      <c r="J1591" s="132">
        <f t="shared" si="49"/>
        <v>337906</v>
      </c>
    </row>
    <row r="1592" spans="1:10">
      <c r="A1592" s="115" t="s">
        <v>1105</v>
      </c>
      <c r="B1592" s="115" t="s">
        <v>1106</v>
      </c>
      <c r="C1592" s="115" t="s">
        <v>1222</v>
      </c>
      <c r="D1592" s="115" t="s">
        <v>1223</v>
      </c>
      <c r="E1592" s="133" t="str">
        <f t="shared" si="48"/>
        <v>1200001149SST-11100 C10 BLUE</v>
      </c>
      <c r="F1592" s="133" t="s">
        <v>3065</v>
      </c>
      <c r="G1592" s="133" t="s">
        <v>3883</v>
      </c>
      <c r="H1592" s="133">
        <f>VLOOKUP(G1592,'packing mapping'!A:B,2,0)</f>
        <v>4</v>
      </c>
      <c r="I1592" s="137">
        <v>1428664</v>
      </c>
      <c r="J1592" s="132">
        <f t="shared" si="49"/>
        <v>357166</v>
      </c>
    </row>
    <row r="1593" spans="1:10">
      <c r="A1593" s="115" t="s">
        <v>1105</v>
      </c>
      <c r="B1593" s="115" t="s">
        <v>1106</v>
      </c>
      <c r="C1593" s="115" t="s">
        <v>1226</v>
      </c>
      <c r="D1593" s="115" t="s">
        <v>1227</v>
      </c>
      <c r="E1593" s="133" t="str">
        <f t="shared" si="48"/>
        <v>1200001149SST-11100 C10 RED</v>
      </c>
      <c r="F1593" s="133" t="s">
        <v>3067</v>
      </c>
      <c r="G1593" s="133" t="s">
        <v>3883</v>
      </c>
      <c r="H1593" s="133">
        <f>VLOOKUP(G1593,'packing mapping'!A:B,2,0)</f>
        <v>4</v>
      </c>
      <c r="I1593" s="137">
        <v>1450920</v>
      </c>
      <c r="J1593" s="132">
        <f t="shared" si="49"/>
        <v>362730</v>
      </c>
    </row>
    <row r="1594" spans="1:10">
      <c r="A1594" s="115" t="s">
        <v>1105</v>
      </c>
      <c r="B1594" s="115" t="s">
        <v>1106</v>
      </c>
      <c r="C1594" s="115" t="s">
        <v>2246</v>
      </c>
      <c r="D1594" s="115" t="s">
        <v>2247</v>
      </c>
      <c r="E1594" s="133" t="str">
        <f t="shared" si="48"/>
        <v>1200001149GZ-12700 N BLACK VN</v>
      </c>
      <c r="F1594" s="133" t="s">
        <v>3103</v>
      </c>
      <c r="G1594" s="133" t="s">
        <v>3882</v>
      </c>
      <c r="H1594" s="133">
        <f>VLOOKUP(G1594,'packing mapping'!A:B,2,0)</f>
        <v>18</v>
      </c>
      <c r="I1594" s="137">
        <v>2112624</v>
      </c>
      <c r="J1594" s="132">
        <f t="shared" si="49"/>
        <v>117368</v>
      </c>
    </row>
    <row r="1595" spans="1:10">
      <c r="A1595" s="115" t="s">
        <v>1105</v>
      </c>
      <c r="B1595" s="115" t="s">
        <v>1106</v>
      </c>
      <c r="C1595" s="115" t="s">
        <v>2254</v>
      </c>
      <c r="D1595" s="115" t="s">
        <v>2255</v>
      </c>
      <c r="E1595" s="133" t="str">
        <f t="shared" si="48"/>
        <v>1200001149NCL-1113-29 LC 10 AK</v>
      </c>
      <c r="F1595" s="133" t="s">
        <v>3534</v>
      </c>
      <c r="G1595" s="133" t="s">
        <v>3879</v>
      </c>
      <c r="H1595" s="133">
        <f>VLOOKUP(G1595,'packing mapping'!A:B,2,0)</f>
        <v>20</v>
      </c>
      <c r="I1595" s="137">
        <v>1234220</v>
      </c>
      <c r="J1595" s="132">
        <f t="shared" si="49"/>
        <v>61711</v>
      </c>
    </row>
    <row r="1596" spans="1:10">
      <c r="A1596" s="115" t="s">
        <v>1105</v>
      </c>
      <c r="B1596" s="115" t="s">
        <v>1106</v>
      </c>
      <c r="C1596" s="115" t="s">
        <v>2262</v>
      </c>
      <c r="D1596" s="115" t="s">
        <v>2263</v>
      </c>
      <c r="E1596" s="133" t="str">
        <f t="shared" si="48"/>
        <v>1200001149NCL-1113-29 LC 5 AK</v>
      </c>
      <c r="F1596" s="133" t="s">
        <v>3538</v>
      </c>
      <c r="G1596" s="133" t="s">
        <v>3879</v>
      </c>
      <c r="H1596" s="133">
        <f>VLOOKUP(G1596,'packing mapping'!A:B,2,0)</f>
        <v>20</v>
      </c>
      <c r="I1596" s="137">
        <v>1246780</v>
      </c>
      <c r="J1596" s="132">
        <f t="shared" si="49"/>
        <v>62339</v>
      </c>
    </row>
    <row r="1597" spans="1:10">
      <c r="A1597" s="115" t="s">
        <v>1105</v>
      </c>
      <c r="B1597" s="115" t="s">
        <v>1106</v>
      </c>
      <c r="C1597" s="115" t="s">
        <v>2264</v>
      </c>
      <c r="D1597" s="115" t="s">
        <v>2265</v>
      </c>
      <c r="E1597" s="133" t="str">
        <f t="shared" si="48"/>
        <v>1200001149NCSS-1112-29 LC AK</v>
      </c>
      <c r="F1597" s="133" t="s">
        <v>3516</v>
      </c>
      <c r="G1597" s="133" t="s">
        <v>3896</v>
      </c>
      <c r="H1597" s="133">
        <f>VLOOKUP(G1597,'packing mapping'!A:B,2,0)</f>
        <v>200</v>
      </c>
      <c r="I1597" s="137">
        <v>12200200</v>
      </c>
      <c r="J1597" s="132">
        <f t="shared" si="49"/>
        <v>61001</v>
      </c>
    </row>
    <row r="1598" spans="1:10">
      <c r="A1598" s="115" t="s">
        <v>1105</v>
      </c>
      <c r="B1598" s="115" t="s">
        <v>1106</v>
      </c>
      <c r="C1598" s="115" t="s">
        <v>1304</v>
      </c>
      <c r="D1598" s="115" t="s">
        <v>1305</v>
      </c>
      <c r="E1598" s="133" t="str">
        <f t="shared" si="48"/>
        <v>1200001149GZ-12700 N BLACK VN</v>
      </c>
      <c r="F1598" s="133" t="s">
        <v>3103</v>
      </c>
      <c r="G1598" s="133" t="s">
        <v>3883</v>
      </c>
      <c r="H1598" s="133">
        <f>VLOOKUP(G1598,'packing mapping'!A:B,2,0)</f>
        <v>4</v>
      </c>
      <c r="I1598" s="137">
        <v>487064</v>
      </c>
      <c r="J1598" s="132">
        <f t="shared" si="49"/>
        <v>121766</v>
      </c>
    </row>
    <row r="1599" spans="1:10">
      <c r="A1599" s="115" t="s">
        <v>1105</v>
      </c>
      <c r="B1599" s="115" t="s">
        <v>1106</v>
      </c>
      <c r="C1599" s="115" t="s">
        <v>1488</v>
      </c>
      <c r="D1599" s="115" t="s">
        <v>1489</v>
      </c>
      <c r="E1599" s="133" t="str">
        <f t="shared" si="48"/>
        <v>1200001149SST-11100 C10 RED</v>
      </c>
      <c r="F1599" s="133" t="s">
        <v>3067</v>
      </c>
      <c r="G1599" s="133" t="s">
        <v>3895</v>
      </c>
      <c r="H1599" s="133">
        <f>VLOOKUP(G1599,'packing mapping'!A:B,2,0)</f>
        <v>16</v>
      </c>
      <c r="I1599" s="137">
        <v>5635216</v>
      </c>
      <c r="J1599" s="132">
        <f t="shared" si="49"/>
        <v>352201</v>
      </c>
    </row>
    <row r="1600" spans="1:10">
      <c r="A1600" s="115" t="s">
        <v>1105</v>
      </c>
      <c r="B1600" s="115" t="s">
        <v>1106</v>
      </c>
      <c r="C1600" s="115" t="s">
        <v>1490</v>
      </c>
      <c r="D1600" s="115" t="s">
        <v>1491</v>
      </c>
      <c r="E1600" s="133" t="str">
        <f t="shared" si="48"/>
        <v>1200001149SST-11100 C10 BLACK</v>
      </c>
      <c r="F1600" s="133" t="s">
        <v>3064</v>
      </c>
      <c r="G1600" s="133" t="s">
        <v>3895</v>
      </c>
      <c r="H1600" s="133">
        <f>VLOOKUP(G1600,'packing mapping'!A:B,2,0)</f>
        <v>16</v>
      </c>
      <c r="I1600" s="137">
        <v>5244720</v>
      </c>
      <c r="J1600" s="132">
        <f t="shared" si="49"/>
        <v>327795</v>
      </c>
    </row>
    <row r="1601" spans="1:10">
      <c r="A1601" s="115" t="s">
        <v>1105</v>
      </c>
      <c r="B1601" s="115" t="s">
        <v>1106</v>
      </c>
      <c r="C1601" s="115" t="s">
        <v>1492</v>
      </c>
      <c r="D1601" s="115" t="s">
        <v>1493</v>
      </c>
      <c r="E1601" s="133" t="str">
        <f t="shared" si="48"/>
        <v>1200001149SST-11100 C10 BLUE</v>
      </c>
      <c r="F1601" s="133" t="s">
        <v>3065</v>
      </c>
      <c r="G1601" s="133" t="s">
        <v>3895</v>
      </c>
      <c r="H1601" s="133">
        <f>VLOOKUP(G1601,'packing mapping'!A:B,2,0)</f>
        <v>16</v>
      </c>
      <c r="I1601" s="137">
        <v>5653712</v>
      </c>
      <c r="J1601" s="132">
        <f t="shared" si="49"/>
        <v>353357</v>
      </c>
    </row>
    <row r="1602" spans="1:10">
      <c r="A1602" s="115" t="s">
        <v>1105</v>
      </c>
      <c r="B1602" s="115" t="s">
        <v>1106</v>
      </c>
      <c r="C1602" s="115" t="s">
        <v>2276</v>
      </c>
      <c r="D1602" s="115" t="s">
        <v>2277</v>
      </c>
      <c r="E1602" s="133" t="str">
        <f t="shared" si="48"/>
        <v>1200001149SST-11100 YELLOW KD VN</v>
      </c>
      <c r="F1602" s="133" t="s">
        <v>3543</v>
      </c>
      <c r="G1602" s="133" t="s">
        <v>3895</v>
      </c>
      <c r="H1602" s="133">
        <f>VLOOKUP(G1602,'packing mapping'!A:B,2,0)</f>
        <v>16</v>
      </c>
      <c r="I1602" s="137">
        <v>5474976</v>
      </c>
      <c r="J1602" s="132">
        <f t="shared" si="49"/>
        <v>342186</v>
      </c>
    </row>
    <row r="1603" spans="1:10">
      <c r="A1603" s="115" t="s">
        <v>1105</v>
      </c>
      <c r="B1603" s="115" t="s">
        <v>1106</v>
      </c>
      <c r="C1603" s="115" t="s">
        <v>1586</v>
      </c>
      <c r="D1603" s="115" t="s">
        <v>1587</v>
      </c>
      <c r="E1603" s="133" t="str">
        <f t="shared" ref="E1603:E1666" si="50">A1603&amp;F1603</f>
        <v>1200001149THPU-71306 01 KD VN</v>
      </c>
      <c r="F1603" s="133" t="s">
        <v>3231</v>
      </c>
      <c r="G1603" s="133" t="s">
        <v>3884</v>
      </c>
      <c r="H1603" s="133">
        <f>VLOOKUP(G1603,'packing mapping'!A:B,2,0)</f>
        <v>200</v>
      </c>
      <c r="I1603" s="137">
        <v>8186200</v>
      </c>
      <c r="J1603" s="132">
        <f t="shared" ref="J1603:J1666" si="51">I1603/H1603</f>
        <v>40931</v>
      </c>
    </row>
    <row r="1604" spans="1:10">
      <c r="A1604" s="115" t="s">
        <v>1105</v>
      </c>
      <c r="B1604" s="115" t="s">
        <v>1106</v>
      </c>
      <c r="C1604" s="115" t="s">
        <v>2298</v>
      </c>
      <c r="D1604" s="115" t="s">
        <v>2299</v>
      </c>
      <c r="E1604" s="133" t="str">
        <f t="shared" si="50"/>
        <v>1200001149DP-12129 LC BROWN 458B KD VN</v>
      </c>
      <c r="F1604" s="133" t="s">
        <v>3554</v>
      </c>
      <c r="G1604" s="133" t="s">
        <v>3882</v>
      </c>
      <c r="H1604" s="133">
        <f>VLOOKUP(G1604,'packing mapping'!A:B,2,0)</f>
        <v>18</v>
      </c>
      <c r="I1604" s="137">
        <v>1964520</v>
      </c>
      <c r="J1604" s="132">
        <f t="shared" si="51"/>
        <v>109140</v>
      </c>
    </row>
    <row r="1605" spans="1:10">
      <c r="A1605" s="115" t="s">
        <v>1105</v>
      </c>
      <c r="B1605" s="115" t="s">
        <v>1106</v>
      </c>
      <c r="C1605" s="115" t="s">
        <v>2302</v>
      </c>
      <c r="D1605" s="115" t="s">
        <v>2303</v>
      </c>
      <c r="E1605" s="133" t="str">
        <f t="shared" si="50"/>
        <v>1200001149GZ-12700 N STRATON KD VN</v>
      </c>
      <c r="F1605" s="133" t="s">
        <v>3556</v>
      </c>
      <c r="G1605" s="133" t="s">
        <v>3882</v>
      </c>
      <c r="H1605" s="133">
        <f>VLOOKUP(G1605,'packing mapping'!A:B,2,0)</f>
        <v>18</v>
      </c>
      <c r="I1605" s="137">
        <v>2388618</v>
      </c>
      <c r="J1605" s="132">
        <f t="shared" si="51"/>
        <v>132701</v>
      </c>
    </row>
    <row r="1606" spans="1:10">
      <c r="A1606" s="115" t="s">
        <v>1105</v>
      </c>
      <c r="B1606" s="115" t="s">
        <v>1106</v>
      </c>
      <c r="C1606" s="115" t="s">
        <v>1828</v>
      </c>
      <c r="D1606" s="115" t="s">
        <v>1829</v>
      </c>
      <c r="E1606" s="133" t="str">
        <f t="shared" si="50"/>
        <v>1200001149UVF-10301 BLACK VN</v>
      </c>
      <c r="F1606" s="133" t="s">
        <v>3338</v>
      </c>
      <c r="G1606" s="133" t="s">
        <v>3881</v>
      </c>
      <c r="H1606" s="133">
        <f>VLOOKUP(G1606,'packing mapping'!A:B,2,0)</f>
        <v>20</v>
      </c>
      <c r="I1606" s="137">
        <v>4626680</v>
      </c>
      <c r="J1606" s="132">
        <f t="shared" si="51"/>
        <v>231334</v>
      </c>
    </row>
    <row r="1607" spans="1:10">
      <c r="A1607" s="115" t="s">
        <v>1105</v>
      </c>
      <c r="B1607" s="115" t="s">
        <v>1106</v>
      </c>
      <c r="C1607" s="115" t="s">
        <v>1830</v>
      </c>
      <c r="D1607" s="115" t="s">
        <v>1831</v>
      </c>
      <c r="E1607" s="133" t="str">
        <f t="shared" si="50"/>
        <v>1200001149UVP-60301 BLACK VN</v>
      </c>
      <c r="F1607" s="133" t="s">
        <v>3339</v>
      </c>
      <c r="G1607" s="133" t="s">
        <v>3881</v>
      </c>
      <c r="H1607" s="133">
        <f>VLOOKUP(G1607,'packing mapping'!A:B,2,0)</f>
        <v>20</v>
      </c>
      <c r="I1607" s="137">
        <v>4708000</v>
      </c>
      <c r="J1607" s="132">
        <f t="shared" si="51"/>
        <v>235400</v>
      </c>
    </row>
    <row r="1608" spans="1:10">
      <c r="A1608" s="115" t="s">
        <v>1105</v>
      </c>
      <c r="B1608" s="115" t="s">
        <v>1106</v>
      </c>
      <c r="C1608" s="115" t="s">
        <v>2596</v>
      </c>
      <c r="D1608" s="115" t="s">
        <v>2597</v>
      </c>
      <c r="E1608" s="133" t="str">
        <f t="shared" si="50"/>
        <v>1200001149GZ-12700 N STRATON KD VN</v>
      </c>
      <c r="F1608" s="133" t="s">
        <v>3556</v>
      </c>
      <c r="G1608" s="133" t="s">
        <v>3883</v>
      </c>
      <c r="H1608" s="133">
        <f>VLOOKUP(G1608,'packing mapping'!A:B,2,0)</f>
        <v>4</v>
      </c>
      <c r="I1608" s="137">
        <v>539280</v>
      </c>
      <c r="J1608" s="132">
        <f t="shared" si="51"/>
        <v>134820</v>
      </c>
    </row>
    <row r="1609" spans="1:10">
      <c r="A1609" s="115" t="s">
        <v>1105</v>
      </c>
      <c r="B1609" s="115" t="s">
        <v>1106</v>
      </c>
      <c r="C1609" s="115" t="s">
        <v>2598</v>
      </c>
      <c r="D1609" s="115" t="s">
        <v>2599</v>
      </c>
      <c r="E1609" s="133" t="str">
        <f t="shared" si="50"/>
        <v>1200001149SST-11100 YELLOW KD VN</v>
      </c>
      <c r="F1609" s="133" t="s">
        <v>3543</v>
      </c>
      <c r="G1609" s="133" t="s">
        <v>3883</v>
      </c>
      <c r="H1609" s="133">
        <f>VLOOKUP(G1609,'packing mapping'!A:B,2,0)</f>
        <v>4</v>
      </c>
      <c r="I1609" s="137">
        <v>1556208</v>
      </c>
      <c r="J1609" s="132">
        <f t="shared" si="51"/>
        <v>389052</v>
      </c>
    </row>
    <row r="1610" spans="1:10">
      <c r="A1610" s="115" t="s">
        <v>1105</v>
      </c>
      <c r="B1610" s="115" t="s">
        <v>1106</v>
      </c>
      <c r="C1610" s="115" t="s">
        <v>2314</v>
      </c>
      <c r="D1610" s="115" t="s">
        <v>2315</v>
      </c>
      <c r="E1610" s="133" t="str">
        <f t="shared" si="50"/>
        <v>1200001149NCL-1113-29 LC 10 AK</v>
      </c>
      <c r="F1610" s="133" t="s">
        <v>3534</v>
      </c>
      <c r="G1610" s="133" t="s">
        <v>3882</v>
      </c>
      <c r="H1610" s="133">
        <f>VLOOKUP(G1610,'packing mapping'!A:B,2,0)</f>
        <v>18</v>
      </c>
      <c r="I1610" s="137">
        <v>1460592</v>
      </c>
      <c r="J1610" s="132">
        <f t="shared" si="51"/>
        <v>81144</v>
      </c>
    </row>
    <row r="1611" spans="1:10">
      <c r="A1611" s="115" t="s">
        <v>1105</v>
      </c>
      <c r="B1611" s="115" t="s">
        <v>1106</v>
      </c>
      <c r="C1611" s="115" t="s">
        <v>2322</v>
      </c>
      <c r="D1611" s="115" t="s">
        <v>2323</v>
      </c>
      <c r="E1611" s="133" t="str">
        <f t="shared" si="50"/>
        <v>1200001149NCL-1113-29 LC 5 AK</v>
      </c>
      <c r="F1611" s="133" t="s">
        <v>3538</v>
      </c>
      <c r="G1611" s="133" t="s">
        <v>3882</v>
      </c>
      <c r="H1611" s="133">
        <f>VLOOKUP(G1611,'packing mapping'!A:B,2,0)</f>
        <v>18</v>
      </c>
      <c r="I1611" s="137">
        <v>1386918</v>
      </c>
      <c r="J1611" s="132">
        <f t="shared" si="51"/>
        <v>77051</v>
      </c>
    </row>
    <row r="1612" spans="1:10">
      <c r="A1612" s="115" t="s">
        <v>1105</v>
      </c>
      <c r="B1612" s="115" t="s">
        <v>1106</v>
      </c>
      <c r="C1612" s="115" t="s">
        <v>2326</v>
      </c>
      <c r="D1612" s="115" t="s">
        <v>2327</v>
      </c>
      <c r="E1612" s="133" t="str">
        <f t="shared" si="50"/>
        <v>1200001149NCSS-1112-29 LC AK</v>
      </c>
      <c r="F1612" s="133" t="s">
        <v>3516</v>
      </c>
      <c r="G1612" s="133" t="s">
        <v>3904</v>
      </c>
      <c r="H1612" s="133">
        <f>VLOOKUP(G1612,'packing mapping'!A:B,2,0)</f>
        <v>180</v>
      </c>
      <c r="I1612" s="137">
        <v>13708620</v>
      </c>
      <c r="J1612" s="132">
        <f t="shared" si="51"/>
        <v>76159</v>
      </c>
    </row>
    <row r="1613" spans="1:10">
      <c r="A1613" s="115" t="s">
        <v>1105</v>
      </c>
      <c r="B1613" s="115" t="s">
        <v>1106</v>
      </c>
      <c r="C1613" s="115" t="s">
        <v>2352</v>
      </c>
      <c r="D1613" s="115" t="s">
        <v>2353</v>
      </c>
      <c r="E1613" s="133" t="str">
        <f t="shared" si="50"/>
        <v>1200001149THNC-71100 SD VN</v>
      </c>
      <c r="F1613" s="133" t="s">
        <v>3074</v>
      </c>
      <c r="G1613" s="133" t="s">
        <v>3893</v>
      </c>
      <c r="H1613" s="133">
        <f>VLOOKUP(G1613,'packing mapping'!A:B,2,0)</f>
        <v>180</v>
      </c>
      <c r="I1613" s="137">
        <v>9809640</v>
      </c>
      <c r="J1613" s="132">
        <f t="shared" si="51"/>
        <v>54498</v>
      </c>
    </row>
    <row r="1614" spans="1:10">
      <c r="A1614" s="115" t="s">
        <v>1105</v>
      </c>
      <c r="B1614" s="115" t="s">
        <v>1106</v>
      </c>
      <c r="C1614" s="115" t="s">
        <v>2354</v>
      </c>
      <c r="D1614" s="115" t="s">
        <v>2355</v>
      </c>
      <c r="E1614" s="133" t="str">
        <f t="shared" si="50"/>
        <v>1200001149THPU-71306 01 KD VN</v>
      </c>
      <c r="F1614" s="133" t="s">
        <v>3231</v>
      </c>
      <c r="G1614" s="133" t="s">
        <v>3893</v>
      </c>
      <c r="H1614" s="133">
        <f>VLOOKUP(G1614,'packing mapping'!A:B,2,0)</f>
        <v>180</v>
      </c>
      <c r="I1614" s="137">
        <v>8778420</v>
      </c>
      <c r="J1614" s="132">
        <f t="shared" si="51"/>
        <v>48769</v>
      </c>
    </row>
    <row r="1615" spans="1:10">
      <c r="A1615" s="115" t="s">
        <v>1105</v>
      </c>
      <c r="B1615" s="115" t="s">
        <v>1106</v>
      </c>
      <c r="C1615" s="115" t="s">
        <v>2360</v>
      </c>
      <c r="D1615" s="115" t="s">
        <v>2361</v>
      </c>
      <c r="E1615" s="133" t="str">
        <f t="shared" si="50"/>
        <v>1200001149THGZ-72200 D40 VN</v>
      </c>
      <c r="F1615" s="133" t="s">
        <v>3344</v>
      </c>
      <c r="G1615" s="133" t="s">
        <v>3899</v>
      </c>
      <c r="H1615" s="133">
        <f>VLOOKUP(G1615,'packing mapping'!A:B,2,0)</f>
        <v>160</v>
      </c>
      <c r="I1615" s="137">
        <v>14720000</v>
      </c>
      <c r="J1615" s="132">
        <f t="shared" si="51"/>
        <v>92000</v>
      </c>
    </row>
    <row r="1616" spans="1:10">
      <c r="A1616" s="115" t="s">
        <v>277</v>
      </c>
      <c r="B1616" s="115" t="s">
        <v>278</v>
      </c>
      <c r="C1616" s="115" t="s">
        <v>1460</v>
      </c>
      <c r="D1616" s="115" t="s">
        <v>1461</v>
      </c>
      <c r="E1616" s="133" t="str">
        <f t="shared" si="50"/>
        <v>120000009511-26 WIPPING THINNER LC VN</v>
      </c>
      <c r="F1616" s="133" t="s">
        <v>3177</v>
      </c>
      <c r="G1616" s="133" t="s">
        <v>3880</v>
      </c>
      <c r="H1616" s="133">
        <f>VLOOKUP(G1616,'packing mapping'!A:B,2,0)</f>
        <v>20</v>
      </c>
      <c r="I1616" s="137">
        <v>1200800</v>
      </c>
      <c r="J1616" s="132">
        <f t="shared" si="51"/>
        <v>60040</v>
      </c>
    </row>
    <row r="1617" spans="1:10">
      <c r="A1617" s="115" t="s">
        <v>277</v>
      </c>
      <c r="B1617" s="115" t="s">
        <v>278</v>
      </c>
      <c r="C1617" s="115" t="s">
        <v>1462</v>
      </c>
      <c r="D1617" s="115" t="s">
        <v>1463</v>
      </c>
      <c r="E1617" s="133" t="str">
        <f t="shared" si="50"/>
        <v>120000009564-56 MICRO FILLER VN</v>
      </c>
      <c r="F1617" s="133" t="s">
        <v>3178</v>
      </c>
      <c r="G1617" s="133" t="s">
        <v>3881</v>
      </c>
      <c r="H1617" s="133">
        <f>VLOOKUP(G1617,'packing mapping'!A:B,2,0)</f>
        <v>20</v>
      </c>
      <c r="I1617" s="137">
        <v>1375600</v>
      </c>
      <c r="J1617" s="132">
        <f t="shared" si="51"/>
        <v>68780</v>
      </c>
    </row>
    <row r="1618" spans="1:10">
      <c r="A1618" s="115" t="s">
        <v>277</v>
      </c>
      <c r="B1618" s="115" t="s">
        <v>278</v>
      </c>
      <c r="C1618" s="115" t="s">
        <v>1180</v>
      </c>
      <c r="D1618" s="115" t="s">
        <v>1181</v>
      </c>
      <c r="E1618" s="133" t="str">
        <f t="shared" si="50"/>
        <v>1200000095GZPU-21500 RU BASE VN</v>
      </c>
      <c r="F1618" s="133" t="s">
        <v>3044</v>
      </c>
      <c r="G1618" s="133" t="s">
        <v>3882</v>
      </c>
      <c r="H1618" s="133">
        <f>VLOOKUP(G1618,'packing mapping'!A:B,2,0)</f>
        <v>18</v>
      </c>
      <c r="I1618" s="137">
        <v>4419000</v>
      </c>
      <c r="J1618" s="132">
        <f t="shared" si="51"/>
        <v>245500</v>
      </c>
    </row>
    <row r="1619" spans="1:10">
      <c r="A1619" s="115" t="s">
        <v>277</v>
      </c>
      <c r="B1619" s="115" t="s">
        <v>278</v>
      </c>
      <c r="C1619" s="115" t="s">
        <v>1184</v>
      </c>
      <c r="D1619" s="115" t="s">
        <v>1185</v>
      </c>
      <c r="E1619" s="133" t="str">
        <f t="shared" si="50"/>
        <v>1200000095MEP-12003 CLEAR BASE VN</v>
      </c>
      <c r="F1619" s="133" t="s">
        <v>3046</v>
      </c>
      <c r="G1619" s="133" t="s">
        <v>3882</v>
      </c>
      <c r="H1619" s="133">
        <f>VLOOKUP(G1619,'packing mapping'!A:B,2,0)</f>
        <v>18</v>
      </c>
      <c r="I1619" s="137">
        <v>1490580</v>
      </c>
      <c r="J1619" s="132">
        <f t="shared" si="51"/>
        <v>82810</v>
      </c>
    </row>
    <row r="1620" spans="1:10">
      <c r="A1620" s="115" t="s">
        <v>277</v>
      </c>
      <c r="B1620" s="115" t="s">
        <v>278</v>
      </c>
      <c r="C1620" s="115" t="s">
        <v>2190</v>
      </c>
      <c r="D1620" s="115" t="s">
        <v>2191</v>
      </c>
      <c r="E1620" s="133" t="str">
        <f t="shared" si="50"/>
        <v>1200000095NCL-40800 LY CLEAR 10 VN</v>
      </c>
      <c r="F1620" s="133" t="s">
        <v>3509</v>
      </c>
      <c r="G1620" s="133" t="s">
        <v>3897</v>
      </c>
      <c r="H1620" s="133">
        <f>VLOOKUP(G1620,'packing mapping'!A:B,2,0)</f>
        <v>18</v>
      </c>
      <c r="I1620" s="137">
        <v>2194920</v>
      </c>
      <c r="J1620" s="132">
        <f t="shared" si="51"/>
        <v>121940</v>
      </c>
    </row>
    <row r="1621" spans="1:10">
      <c r="A1621" s="115" t="s">
        <v>277</v>
      </c>
      <c r="B1621" s="115" t="s">
        <v>278</v>
      </c>
      <c r="C1621" s="115" t="s">
        <v>2034</v>
      </c>
      <c r="D1621" s="115" t="s">
        <v>2035</v>
      </c>
      <c r="E1621" s="133" t="str">
        <f t="shared" si="50"/>
        <v>1200000095NCSS-30800 LY MOD VN</v>
      </c>
      <c r="F1621" s="133" t="s">
        <v>3436</v>
      </c>
      <c r="G1621" s="133" t="s">
        <v>3882</v>
      </c>
      <c r="H1621" s="133">
        <f>VLOOKUP(G1621,'packing mapping'!A:B,2,0)</f>
        <v>18</v>
      </c>
      <c r="I1621" s="137">
        <v>1892520</v>
      </c>
      <c r="J1621" s="132">
        <f t="shared" si="51"/>
        <v>105140</v>
      </c>
    </row>
    <row r="1622" spans="1:10">
      <c r="A1622" s="115" t="s">
        <v>277</v>
      </c>
      <c r="B1622" s="115" t="s">
        <v>278</v>
      </c>
      <c r="C1622" s="115" t="s">
        <v>1188</v>
      </c>
      <c r="D1622" s="115" t="s">
        <v>1189</v>
      </c>
      <c r="E1622" s="133" t="str">
        <f t="shared" si="50"/>
        <v>1200000095PCA-31100 BLACK PASTE VN</v>
      </c>
      <c r="F1622" s="133" t="s">
        <v>3048</v>
      </c>
      <c r="G1622" s="133" t="s">
        <v>3883</v>
      </c>
      <c r="H1622" s="133">
        <f>VLOOKUP(G1622,'packing mapping'!A:B,2,0)</f>
        <v>4</v>
      </c>
      <c r="I1622" s="137">
        <v>1327200</v>
      </c>
      <c r="J1622" s="132">
        <f t="shared" si="51"/>
        <v>331800</v>
      </c>
    </row>
    <row r="1623" spans="1:10">
      <c r="A1623" s="115" t="s">
        <v>277</v>
      </c>
      <c r="B1623" s="115" t="s">
        <v>278</v>
      </c>
      <c r="C1623" s="115" t="s">
        <v>1726</v>
      </c>
      <c r="D1623" s="115" t="s">
        <v>1727</v>
      </c>
      <c r="E1623" s="133" t="str">
        <f t="shared" si="50"/>
        <v>1200000095PCA-31100 BROWN 645 PASTE VN</v>
      </c>
      <c r="F1623" s="133" t="s">
        <v>3298</v>
      </c>
      <c r="G1623" s="133" t="s">
        <v>3883</v>
      </c>
      <c r="H1623" s="133">
        <f>VLOOKUP(G1623,'packing mapping'!A:B,2,0)</f>
        <v>4</v>
      </c>
      <c r="I1623" s="137">
        <v>822720</v>
      </c>
      <c r="J1623" s="132">
        <f t="shared" si="51"/>
        <v>205680</v>
      </c>
    </row>
    <row r="1624" spans="1:10">
      <c r="A1624" s="115" t="s">
        <v>277</v>
      </c>
      <c r="B1624" s="115" t="s">
        <v>278</v>
      </c>
      <c r="C1624" s="115" t="s">
        <v>1520</v>
      </c>
      <c r="D1624" s="115" t="s">
        <v>1521</v>
      </c>
      <c r="E1624" s="133" t="str">
        <f t="shared" si="50"/>
        <v>1200000095PCA-31100 GREEN OB PASTE VN</v>
      </c>
      <c r="F1624" s="133" t="s">
        <v>3200</v>
      </c>
      <c r="G1624" s="133" t="s">
        <v>3883</v>
      </c>
      <c r="H1624" s="133">
        <f>VLOOKUP(G1624,'packing mapping'!A:B,2,0)</f>
        <v>4</v>
      </c>
      <c r="I1624" s="137">
        <v>1416960</v>
      </c>
      <c r="J1624" s="132">
        <f t="shared" si="51"/>
        <v>354240</v>
      </c>
    </row>
    <row r="1625" spans="1:10">
      <c r="A1625" s="115" t="s">
        <v>277</v>
      </c>
      <c r="B1625" s="115" t="s">
        <v>278</v>
      </c>
      <c r="C1625" s="115" t="s">
        <v>1372</v>
      </c>
      <c r="D1625" s="115" t="s">
        <v>1373</v>
      </c>
      <c r="E1625" s="133" t="str">
        <f t="shared" si="50"/>
        <v>1200000095PCA-31100 OXIDE RED PASTE VN</v>
      </c>
      <c r="F1625" s="133" t="s">
        <v>3136</v>
      </c>
      <c r="G1625" s="133" t="s">
        <v>3883</v>
      </c>
      <c r="H1625" s="133">
        <f>VLOOKUP(G1625,'packing mapping'!A:B,2,0)</f>
        <v>4</v>
      </c>
      <c r="I1625" s="137">
        <v>778440</v>
      </c>
      <c r="J1625" s="132">
        <f t="shared" si="51"/>
        <v>194610</v>
      </c>
    </row>
    <row r="1626" spans="1:10">
      <c r="A1626" s="115" t="s">
        <v>277</v>
      </c>
      <c r="B1626" s="115" t="s">
        <v>278</v>
      </c>
      <c r="C1626" s="115" t="s">
        <v>1374</v>
      </c>
      <c r="D1626" s="115" t="s">
        <v>1375</v>
      </c>
      <c r="E1626" s="133" t="str">
        <f t="shared" si="50"/>
        <v>1200000095PCA-31100 RED OB 35 PASTE VN</v>
      </c>
      <c r="F1626" s="133" t="s">
        <v>3137</v>
      </c>
      <c r="G1626" s="133" t="s">
        <v>3883</v>
      </c>
      <c r="H1626" s="133">
        <f>VLOOKUP(G1626,'packing mapping'!A:B,2,0)</f>
        <v>4</v>
      </c>
      <c r="I1626" s="137">
        <v>2010240</v>
      </c>
      <c r="J1626" s="132">
        <f t="shared" si="51"/>
        <v>502560</v>
      </c>
    </row>
    <row r="1627" spans="1:10">
      <c r="A1627" s="115" t="s">
        <v>277</v>
      </c>
      <c r="B1627" s="115" t="s">
        <v>278</v>
      </c>
      <c r="C1627" s="115" t="s">
        <v>1190</v>
      </c>
      <c r="D1627" s="115" t="s">
        <v>1191</v>
      </c>
      <c r="E1627" s="133" t="str">
        <f t="shared" si="50"/>
        <v>1200000095PCA-31100 WHITE PASTE VN</v>
      </c>
      <c r="F1627" s="133" t="s">
        <v>3049</v>
      </c>
      <c r="G1627" s="133" t="s">
        <v>3883</v>
      </c>
      <c r="H1627" s="133">
        <f>VLOOKUP(G1627,'packing mapping'!A:B,2,0)</f>
        <v>4</v>
      </c>
      <c r="I1627" s="137">
        <v>746200</v>
      </c>
      <c r="J1627" s="132">
        <f t="shared" si="51"/>
        <v>186550</v>
      </c>
    </row>
    <row r="1628" spans="1:10">
      <c r="A1628" s="115" t="s">
        <v>277</v>
      </c>
      <c r="B1628" s="115" t="s">
        <v>278</v>
      </c>
      <c r="C1628" s="115" t="s">
        <v>1376</v>
      </c>
      <c r="D1628" s="115" t="s">
        <v>1377</v>
      </c>
      <c r="E1628" s="133" t="str">
        <f t="shared" si="50"/>
        <v>1200000095PCA-31100 YELLOW HR PASTE VN</v>
      </c>
      <c r="F1628" s="133" t="s">
        <v>3138</v>
      </c>
      <c r="G1628" s="133" t="s">
        <v>3883</v>
      </c>
      <c r="H1628" s="133">
        <f>VLOOKUP(G1628,'packing mapping'!A:B,2,0)</f>
        <v>4</v>
      </c>
      <c r="I1628" s="137">
        <v>1279280</v>
      </c>
      <c r="J1628" s="132">
        <f t="shared" si="51"/>
        <v>319820</v>
      </c>
    </row>
    <row r="1629" spans="1:10">
      <c r="A1629" s="115" t="s">
        <v>277</v>
      </c>
      <c r="B1629" s="115" t="s">
        <v>278</v>
      </c>
      <c r="C1629" s="115" t="s">
        <v>1468</v>
      </c>
      <c r="D1629" s="115" t="s">
        <v>1469</v>
      </c>
      <c r="E1629" s="133" t="str">
        <f t="shared" si="50"/>
        <v>1200000095PCA-31100 YELLOW OG 16 PASTE VN</v>
      </c>
      <c r="F1629" s="133" t="s">
        <v>3180</v>
      </c>
      <c r="G1629" s="133" t="s">
        <v>3883</v>
      </c>
      <c r="H1629" s="133">
        <f>VLOOKUP(G1629,'packing mapping'!A:B,2,0)</f>
        <v>4</v>
      </c>
      <c r="I1629" s="137">
        <v>2310160</v>
      </c>
      <c r="J1629" s="132">
        <f t="shared" si="51"/>
        <v>577540</v>
      </c>
    </row>
    <row r="1630" spans="1:10">
      <c r="A1630" s="115" t="s">
        <v>277</v>
      </c>
      <c r="B1630" s="115" t="s">
        <v>278</v>
      </c>
      <c r="C1630" s="115" t="s">
        <v>1378</v>
      </c>
      <c r="D1630" s="115" t="s">
        <v>1379</v>
      </c>
      <c r="E1630" s="133" t="str">
        <f t="shared" si="50"/>
        <v>1200000095PCA-31100 YELLOW OKER PASTE VN</v>
      </c>
      <c r="F1630" s="133" t="s">
        <v>3139</v>
      </c>
      <c r="G1630" s="133" t="s">
        <v>3883</v>
      </c>
      <c r="H1630" s="133">
        <f>VLOOKUP(G1630,'packing mapping'!A:B,2,0)</f>
        <v>4</v>
      </c>
      <c r="I1630" s="137">
        <v>581920</v>
      </c>
      <c r="J1630" s="132">
        <f t="shared" si="51"/>
        <v>145480</v>
      </c>
    </row>
    <row r="1631" spans="1:10">
      <c r="A1631" s="115" t="s">
        <v>277</v>
      </c>
      <c r="B1631" s="115" t="s">
        <v>278</v>
      </c>
      <c r="C1631" s="115" t="s">
        <v>1522</v>
      </c>
      <c r="D1631" s="115" t="s">
        <v>1523</v>
      </c>
      <c r="E1631" s="133" t="str">
        <f t="shared" si="50"/>
        <v>1200000095PCA-31102 BLACK OB PASTE</v>
      </c>
      <c r="F1631" s="133" t="s">
        <v>3201</v>
      </c>
      <c r="G1631" s="133" t="s">
        <v>3883</v>
      </c>
      <c r="H1631" s="133">
        <f>VLOOKUP(G1631,'packing mapping'!A:B,2,0)</f>
        <v>4</v>
      </c>
      <c r="I1631" s="137">
        <v>1316400</v>
      </c>
      <c r="J1631" s="132">
        <f t="shared" si="51"/>
        <v>329100</v>
      </c>
    </row>
    <row r="1632" spans="1:10">
      <c r="A1632" s="115" t="s">
        <v>277</v>
      </c>
      <c r="B1632" s="115" t="s">
        <v>278</v>
      </c>
      <c r="C1632" s="115" t="s">
        <v>1524</v>
      </c>
      <c r="D1632" s="115" t="s">
        <v>1525</v>
      </c>
      <c r="E1632" s="133" t="str">
        <f t="shared" si="50"/>
        <v>1200000095PCA-31102 OXIDE RED 45 PASTE</v>
      </c>
      <c r="F1632" s="133" t="s">
        <v>3202</v>
      </c>
      <c r="G1632" s="133" t="s">
        <v>3883</v>
      </c>
      <c r="H1632" s="133">
        <f>VLOOKUP(G1632,'packing mapping'!A:B,2,0)</f>
        <v>4</v>
      </c>
      <c r="I1632" s="137">
        <v>1244080</v>
      </c>
      <c r="J1632" s="132">
        <f t="shared" si="51"/>
        <v>311020</v>
      </c>
    </row>
    <row r="1633" spans="1:10">
      <c r="A1633" s="115" t="s">
        <v>277</v>
      </c>
      <c r="B1633" s="115" t="s">
        <v>278</v>
      </c>
      <c r="C1633" s="115" t="s">
        <v>1526</v>
      </c>
      <c r="D1633" s="115" t="s">
        <v>1527</v>
      </c>
      <c r="E1633" s="133" t="str">
        <f t="shared" si="50"/>
        <v>1200000095PCA-31102 YELLOW OKER 13 PASTE</v>
      </c>
      <c r="F1633" s="133" t="s">
        <v>3203</v>
      </c>
      <c r="G1633" s="133" t="s">
        <v>3883</v>
      </c>
      <c r="H1633" s="133">
        <f>VLOOKUP(G1633,'packing mapping'!A:B,2,0)</f>
        <v>4</v>
      </c>
      <c r="I1633" s="137">
        <v>876280</v>
      </c>
      <c r="J1633" s="132">
        <f t="shared" si="51"/>
        <v>219070</v>
      </c>
    </row>
    <row r="1634" spans="1:10">
      <c r="A1634" s="115" t="s">
        <v>277</v>
      </c>
      <c r="B1634" s="115" t="s">
        <v>278</v>
      </c>
      <c r="C1634" s="115" t="s">
        <v>1192</v>
      </c>
      <c r="D1634" s="115" t="s">
        <v>1193</v>
      </c>
      <c r="E1634" s="133" t="str">
        <f t="shared" si="50"/>
        <v>1200000095PCL-31300 BLACK PASTE</v>
      </c>
      <c r="F1634" s="133" t="s">
        <v>3050</v>
      </c>
      <c r="G1634" s="133" t="s">
        <v>3883</v>
      </c>
      <c r="H1634" s="133">
        <f>VLOOKUP(G1634,'packing mapping'!A:B,2,0)</f>
        <v>4</v>
      </c>
      <c r="I1634" s="137">
        <v>2137840</v>
      </c>
      <c r="J1634" s="132">
        <f t="shared" si="51"/>
        <v>534460</v>
      </c>
    </row>
    <row r="1635" spans="1:10">
      <c r="A1635" s="115" t="s">
        <v>277</v>
      </c>
      <c r="B1635" s="115" t="s">
        <v>278</v>
      </c>
      <c r="C1635" s="115" t="s">
        <v>1202</v>
      </c>
      <c r="D1635" s="115" t="s">
        <v>1203</v>
      </c>
      <c r="E1635" s="133" t="str">
        <f t="shared" si="50"/>
        <v>1200000095PCL-31300 WHITE PASTE</v>
      </c>
      <c r="F1635" s="133" t="s">
        <v>3055</v>
      </c>
      <c r="G1635" s="133" t="s">
        <v>3883</v>
      </c>
      <c r="H1635" s="133">
        <f>VLOOKUP(G1635,'packing mapping'!A:B,2,0)</f>
        <v>4</v>
      </c>
      <c r="I1635" s="137">
        <v>814120</v>
      </c>
      <c r="J1635" s="132">
        <f t="shared" si="51"/>
        <v>203530</v>
      </c>
    </row>
    <row r="1636" spans="1:10">
      <c r="A1636" s="115" t="s">
        <v>277</v>
      </c>
      <c r="B1636" s="115" t="s">
        <v>278</v>
      </c>
      <c r="C1636" s="115" t="s">
        <v>1386</v>
      </c>
      <c r="D1636" s="115" t="s">
        <v>1387</v>
      </c>
      <c r="E1636" s="133" t="str">
        <f t="shared" si="50"/>
        <v>1200000095PUC-54205 AC WHITE 90 VN</v>
      </c>
      <c r="F1636" s="133" t="s">
        <v>3143</v>
      </c>
      <c r="G1636" s="133" t="s">
        <v>3881</v>
      </c>
      <c r="H1636" s="133">
        <f>VLOOKUP(G1636,'packing mapping'!A:B,2,0)</f>
        <v>20</v>
      </c>
      <c r="I1636" s="137">
        <v>3617800</v>
      </c>
      <c r="J1636" s="132">
        <f t="shared" si="51"/>
        <v>180890</v>
      </c>
    </row>
    <row r="1637" spans="1:10">
      <c r="A1637" s="115" t="s">
        <v>277</v>
      </c>
      <c r="B1637" s="115" t="s">
        <v>278</v>
      </c>
      <c r="C1637" s="115" t="s">
        <v>1210</v>
      </c>
      <c r="D1637" s="115" t="s">
        <v>1211</v>
      </c>
      <c r="E1637" s="133" t="str">
        <f t="shared" si="50"/>
        <v>1200000095PUH-56306 LY VN</v>
      </c>
      <c r="F1637" s="133" t="s">
        <v>3059</v>
      </c>
      <c r="G1637" s="133" t="s">
        <v>3879</v>
      </c>
      <c r="H1637" s="133">
        <f>VLOOKUP(G1637,'packing mapping'!A:B,2,0)</f>
        <v>20</v>
      </c>
      <c r="I1637" s="137">
        <v>5299800</v>
      </c>
      <c r="J1637" s="132">
        <f t="shared" si="51"/>
        <v>264990</v>
      </c>
    </row>
    <row r="1638" spans="1:10">
      <c r="A1638" s="115" t="s">
        <v>277</v>
      </c>
      <c r="B1638" s="115" t="s">
        <v>278</v>
      </c>
      <c r="C1638" s="115" t="s">
        <v>1168</v>
      </c>
      <c r="D1638" s="115" t="s">
        <v>1169</v>
      </c>
      <c r="E1638" s="133" t="str">
        <f t="shared" si="50"/>
        <v>1200000095PUL-51339 CLEAR 10 VN</v>
      </c>
      <c r="F1638" s="133" t="s">
        <v>3038</v>
      </c>
      <c r="G1638" s="133" t="s">
        <v>3879</v>
      </c>
      <c r="H1638" s="133">
        <f>VLOOKUP(G1638,'packing mapping'!A:B,2,0)</f>
        <v>20</v>
      </c>
      <c r="I1638" s="137">
        <v>1774800</v>
      </c>
      <c r="J1638" s="132">
        <f t="shared" si="51"/>
        <v>88740</v>
      </c>
    </row>
    <row r="1639" spans="1:10">
      <c r="A1639" s="115" t="s">
        <v>277</v>
      </c>
      <c r="B1639" s="115" t="s">
        <v>278</v>
      </c>
      <c r="C1639" s="115" t="s">
        <v>1718</v>
      </c>
      <c r="D1639" s="115" t="s">
        <v>1719</v>
      </c>
      <c r="E1639" s="133" t="str">
        <f t="shared" si="50"/>
        <v>1200000095PUL-51341 CLEAR 10 VN</v>
      </c>
      <c r="F1639" s="133" t="s">
        <v>3294</v>
      </c>
      <c r="G1639" s="133" t="s">
        <v>3882</v>
      </c>
      <c r="H1639" s="133">
        <f>VLOOKUP(G1639,'packing mapping'!A:B,2,0)</f>
        <v>18</v>
      </c>
      <c r="I1639" s="137">
        <v>1565100</v>
      </c>
      <c r="J1639" s="132">
        <f t="shared" si="51"/>
        <v>86950</v>
      </c>
    </row>
    <row r="1640" spans="1:10">
      <c r="A1640" s="115" t="s">
        <v>277</v>
      </c>
      <c r="B1640" s="115" t="s">
        <v>278</v>
      </c>
      <c r="C1640" s="115" t="s">
        <v>1876</v>
      </c>
      <c r="D1640" s="115" t="s">
        <v>1877</v>
      </c>
      <c r="E1640" s="133" t="str">
        <f t="shared" si="50"/>
        <v>1200000095PUL-51341 CLEAR 40 VN</v>
      </c>
      <c r="F1640" s="133" t="s">
        <v>3361</v>
      </c>
      <c r="G1640" s="133" t="s">
        <v>3882</v>
      </c>
      <c r="H1640" s="133">
        <f>VLOOKUP(G1640,'packing mapping'!A:B,2,0)</f>
        <v>18</v>
      </c>
      <c r="I1640" s="137">
        <v>1293300</v>
      </c>
      <c r="J1640" s="132">
        <f t="shared" si="51"/>
        <v>71850</v>
      </c>
    </row>
    <row r="1641" spans="1:10">
      <c r="A1641" s="115" t="s">
        <v>277</v>
      </c>
      <c r="B1641" s="115" t="s">
        <v>278</v>
      </c>
      <c r="C1641" s="115" t="s">
        <v>1396</v>
      </c>
      <c r="D1641" s="115" t="s">
        <v>1397</v>
      </c>
      <c r="E1641" s="133" t="str">
        <f t="shared" si="50"/>
        <v>1200000095PUL-53306 AC EX CLEAR 10 VN</v>
      </c>
      <c r="F1641" s="133" t="s">
        <v>3148</v>
      </c>
      <c r="G1641" s="133" t="s">
        <v>3879</v>
      </c>
      <c r="H1641" s="133">
        <f>VLOOKUP(G1641,'packing mapping'!A:B,2,0)</f>
        <v>20</v>
      </c>
      <c r="I1641" s="137">
        <v>4158600</v>
      </c>
      <c r="J1641" s="132">
        <f t="shared" si="51"/>
        <v>207930</v>
      </c>
    </row>
    <row r="1642" spans="1:10">
      <c r="A1642" s="115" t="s">
        <v>277</v>
      </c>
      <c r="B1642" s="115" t="s">
        <v>278</v>
      </c>
      <c r="C1642" s="115" t="s">
        <v>1216</v>
      </c>
      <c r="D1642" s="115" t="s">
        <v>1217</v>
      </c>
      <c r="E1642" s="133" t="str">
        <f t="shared" si="50"/>
        <v>1200000095PUL-53306 AC EX CLEAR 90 VN</v>
      </c>
      <c r="F1642" s="133" t="s">
        <v>3062</v>
      </c>
      <c r="G1642" s="133" t="s">
        <v>3879</v>
      </c>
      <c r="H1642" s="133">
        <f>VLOOKUP(G1642,'packing mapping'!A:B,2,0)</f>
        <v>20</v>
      </c>
      <c r="I1642" s="137">
        <v>2844400</v>
      </c>
      <c r="J1642" s="132">
        <f t="shared" si="51"/>
        <v>142220</v>
      </c>
    </row>
    <row r="1643" spans="1:10">
      <c r="A1643" s="115" t="s">
        <v>277</v>
      </c>
      <c r="B1643" s="115" t="s">
        <v>278</v>
      </c>
      <c r="C1643" s="115" t="s">
        <v>1476</v>
      </c>
      <c r="D1643" s="115" t="s">
        <v>1477</v>
      </c>
      <c r="E1643" s="133" t="str">
        <f t="shared" si="50"/>
        <v>1200000095PUP-52141 WHITE 01 VN</v>
      </c>
      <c r="F1643" s="133" t="s">
        <v>3184</v>
      </c>
      <c r="G1643" s="133" t="s">
        <v>3881</v>
      </c>
      <c r="H1643" s="133">
        <f>VLOOKUP(G1643,'packing mapping'!A:B,2,0)</f>
        <v>20</v>
      </c>
      <c r="I1643" s="137">
        <v>2258000</v>
      </c>
      <c r="J1643" s="132">
        <f t="shared" si="51"/>
        <v>112900</v>
      </c>
    </row>
    <row r="1644" spans="1:10">
      <c r="A1644" s="115" t="s">
        <v>277</v>
      </c>
      <c r="B1644" s="115" t="s">
        <v>278</v>
      </c>
      <c r="C1644" s="115" t="s">
        <v>1478</v>
      </c>
      <c r="D1644" s="115" t="s">
        <v>1479</v>
      </c>
      <c r="E1644" s="133" t="str">
        <f t="shared" si="50"/>
        <v>1200000095PUSS-51241 VN</v>
      </c>
      <c r="F1644" s="133" t="s">
        <v>3185</v>
      </c>
      <c r="G1644" s="133" t="s">
        <v>3881</v>
      </c>
      <c r="H1644" s="133">
        <f>VLOOKUP(G1644,'packing mapping'!A:B,2,0)</f>
        <v>20</v>
      </c>
      <c r="I1644" s="137">
        <v>1280200</v>
      </c>
      <c r="J1644" s="132">
        <f t="shared" si="51"/>
        <v>64010</v>
      </c>
    </row>
    <row r="1645" spans="1:10">
      <c r="A1645" s="115" t="s">
        <v>277</v>
      </c>
      <c r="B1645" s="115" t="s">
        <v>278</v>
      </c>
      <c r="C1645" s="115" t="s">
        <v>1218</v>
      </c>
      <c r="D1645" s="115" t="s">
        <v>1219</v>
      </c>
      <c r="E1645" s="133" t="str">
        <f t="shared" si="50"/>
        <v>1200000095PUSS-53206 AC EX VN</v>
      </c>
      <c r="F1645" s="133" t="s">
        <v>3063</v>
      </c>
      <c r="G1645" s="133" t="s">
        <v>3881</v>
      </c>
      <c r="H1645" s="133">
        <f>VLOOKUP(G1645,'packing mapping'!A:B,2,0)</f>
        <v>20</v>
      </c>
      <c r="I1645" s="137">
        <v>2897400</v>
      </c>
      <c r="J1645" s="132">
        <f t="shared" si="51"/>
        <v>144870</v>
      </c>
    </row>
    <row r="1646" spans="1:10">
      <c r="A1646" s="115" t="s">
        <v>277</v>
      </c>
      <c r="B1646" s="115" t="s">
        <v>278</v>
      </c>
      <c r="C1646" s="115" t="s">
        <v>1220</v>
      </c>
      <c r="D1646" s="115" t="s">
        <v>1221</v>
      </c>
      <c r="E1646" s="133" t="str">
        <f t="shared" si="50"/>
        <v>1200000095SST-11100 C10 BLACK</v>
      </c>
      <c r="F1646" s="133" t="s">
        <v>3064</v>
      </c>
      <c r="G1646" s="133" t="s">
        <v>3883</v>
      </c>
      <c r="H1646" s="133">
        <f>VLOOKUP(G1646,'packing mapping'!A:B,2,0)</f>
        <v>4</v>
      </c>
      <c r="I1646" s="137">
        <v>1095360</v>
      </c>
      <c r="J1646" s="132">
        <f t="shared" si="51"/>
        <v>273840</v>
      </c>
    </row>
    <row r="1647" spans="1:10">
      <c r="A1647" s="115" t="s">
        <v>277</v>
      </c>
      <c r="B1647" s="115" t="s">
        <v>278</v>
      </c>
      <c r="C1647" s="115" t="s">
        <v>1222</v>
      </c>
      <c r="D1647" s="115" t="s">
        <v>1223</v>
      </c>
      <c r="E1647" s="133" t="str">
        <f t="shared" si="50"/>
        <v>1200000095SST-11100 C10 BLUE</v>
      </c>
      <c r="F1647" s="133" t="s">
        <v>3065</v>
      </c>
      <c r="G1647" s="133" t="s">
        <v>3883</v>
      </c>
      <c r="H1647" s="133">
        <f>VLOOKUP(G1647,'packing mapping'!A:B,2,0)</f>
        <v>4</v>
      </c>
      <c r="I1647" s="137">
        <v>1723880</v>
      </c>
      <c r="J1647" s="132">
        <f t="shared" si="51"/>
        <v>430970</v>
      </c>
    </row>
    <row r="1648" spans="1:10">
      <c r="A1648" s="115" t="s">
        <v>277</v>
      </c>
      <c r="B1648" s="115" t="s">
        <v>278</v>
      </c>
      <c r="C1648" s="115" t="s">
        <v>1226</v>
      </c>
      <c r="D1648" s="115" t="s">
        <v>1227</v>
      </c>
      <c r="E1648" s="133" t="str">
        <f t="shared" si="50"/>
        <v>1200000095SST-11100 C10 RED</v>
      </c>
      <c r="F1648" s="133" t="s">
        <v>3067</v>
      </c>
      <c r="G1648" s="133" t="s">
        <v>3883</v>
      </c>
      <c r="H1648" s="133">
        <f>VLOOKUP(G1648,'packing mapping'!A:B,2,0)</f>
        <v>4</v>
      </c>
      <c r="I1648" s="137">
        <v>1081920</v>
      </c>
      <c r="J1648" s="132">
        <f t="shared" si="51"/>
        <v>270480</v>
      </c>
    </row>
    <row r="1649" spans="1:10">
      <c r="A1649" s="115" t="s">
        <v>277</v>
      </c>
      <c r="B1649" s="115" t="s">
        <v>278</v>
      </c>
      <c r="C1649" s="115" t="s">
        <v>1228</v>
      </c>
      <c r="D1649" s="115" t="s">
        <v>1229</v>
      </c>
      <c r="E1649" s="133" t="str">
        <f t="shared" si="50"/>
        <v>1200000095SST-11100 C10 YELLOW</v>
      </c>
      <c r="F1649" s="133" t="s">
        <v>3068</v>
      </c>
      <c r="G1649" s="133" t="s">
        <v>3883</v>
      </c>
      <c r="H1649" s="133">
        <f>VLOOKUP(G1649,'packing mapping'!A:B,2,0)</f>
        <v>4</v>
      </c>
      <c r="I1649" s="137">
        <v>940920</v>
      </c>
      <c r="J1649" s="132">
        <f t="shared" si="51"/>
        <v>235230</v>
      </c>
    </row>
    <row r="1650" spans="1:10">
      <c r="A1650" s="115" t="s">
        <v>277</v>
      </c>
      <c r="B1650" s="115" t="s">
        <v>278</v>
      </c>
      <c r="C1650" s="115" t="s">
        <v>1398</v>
      </c>
      <c r="D1650" s="115" t="s">
        <v>1399</v>
      </c>
      <c r="E1650" s="133" t="str">
        <f t="shared" si="50"/>
        <v>1200000095THC-73100 402 VN</v>
      </c>
      <c r="F1650" s="133" t="s">
        <v>3149</v>
      </c>
      <c r="G1650" s="133" t="s">
        <v>3884</v>
      </c>
      <c r="H1650" s="133">
        <f>VLOOKUP(G1650,'packing mapping'!A:B,2,0)</f>
        <v>200</v>
      </c>
      <c r="I1650" s="137">
        <v>12286000</v>
      </c>
      <c r="J1650" s="132">
        <f t="shared" si="51"/>
        <v>61430</v>
      </c>
    </row>
    <row r="1651" spans="1:10">
      <c r="A1651" s="115" t="s">
        <v>277</v>
      </c>
      <c r="B1651" s="115" t="s">
        <v>278</v>
      </c>
      <c r="C1651" s="115" t="s">
        <v>1402</v>
      </c>
      <c r="D1651" s="115" t="s">
        <v>1403</v>
      </c>
      <c r="E1651" s="133" t="str">
        <f t="shared" si="50"/>
        <v>1200000095THC-73100-007 VN</v>
      </c>
      <c r="F1651" s="133" t="s">
        <v>3150</v>
      </c>
      <c r="G1651" s="133" t="s">
        <v>3880</v>
      </c>
      <c r="H1651" s="133">
        <f>VLOOKUP(G1651,'packing mapping'!A:B,2,0)</f>
        <v>20</v>
      </c>
      <c r="I1651" s="137">
        <v>1081000</v>
      </c>
      <c r="J1651" s="132">
        <f t="shared" si="51"/>
        <v>54050</v>
      </c>
    </row>
    <row r="1652" spans="1:10">
      <c r="A1652" s="115" t="s">
        <v>277</v>
      </c>
      <c r="B1652" s="115" t="s">
        <v>278</v>
      </c>
      <c r="C1652" s="115" t="s">
        <v>2036</v>
      </c>
      <c r="D1652" s="115" t="s">
        <v>2037</v>
      </c>
      <c r="E1652" s="133" t="str">
        <f t="shared" si="50"/>
        <v>1200000095THC-73100-1103 VN</v>
      </c>
      <c r="F1652" s="133" t="s">
        <v>3437</v>
      </c>
      <c r="G1652" s="133" t="s">
        <v>3884</v>
      </c>
      <c r="H1652" s="133">
        <f>VLOOKUP(G1652,'packing mapping'!A:B,2,0)</f>
        <v>200</v>
      </c>
      <c r="I1652" s="137">
        <v>9158000</v>
      </c>
      <c r="J1652" s="132">
        <f t="shared" si="51"/>
        <v>45790</v>
      </c>
    </row>
    <row r="1653" spans="1:10">
      <c r="A1653" s="115" t="s">
        <v>277</v>
      </c>
      <c r="B1653" s="115" t="s">
        <v>278</v>
      </c>
      <c r="C1653" s="115" t="s">
        <v>1232</v>
      </c>
      <c r="D1653" s="115" t="s">
        <v>1233</v>
      </c>
      <c r="E1653" s="133" t="str">
        <f t="shared" si="50"/>
        <v>1200000095THC-73100-201 VN</v>
      </c>
      <c r="F1653" s="133" t="s">
        <v>3070</v>
      </c>
      <c r="G1653" s="133" t="s">
        <v>3880</v>
      </c>
      <c r="H1653" s="133">
        <f>VLOOKUP(G1653,'packing mapping'!A:B,2,0)</f>
        <v>20</v>
      </c>
      <c r="I1653" s="137">
        <v>1242000</v>
      </c>
      <c r="J1653" s="132">
        <f t="shared" si="51"/>
        <v>62100</v>
      </c>
    </row>
    <row r="1654" spans="1:10">
      <c r="A1654" s="115" t="s">
        <v>277</v>
      </c>
      <c r="B1654" s="115" t="s">
        <v>278</v>
      </c>
      <c r="C1654" s="115" t="s">
        <v>1482</v>
      </c>
      <c r="D1654" s="115" t="s">
        <v>1483</v>
      </c>
      <c r="E1654" s="133" t="str">
        <f t="shared" si="50"/>
        <v>1200000095THNC-71100 SD VN</v>
      </c>
      <c r="F1654" s="133" t="s">
        <v>3074</v>
      </c>
      <c r="G1654" s="133" t="s">
        <v>3880</v>
      </c>
      <c r="H1654" s="133">
        <f>VLOOKUP(G1654,'packing mapping'!A:B,2,0)</f>
        <v>20</v>
      </c>
      <c r="I1654" s="137">
        <v>973800</v>
      </c>
      <c r="J1654" s="132">
        <f t="shared" si="51"/>
        <v>48690</v>
      </c>
    </row>
    <row r="1655" spans="1:10">
      <c r="A1655" s="115" t="s">
        <v>277</v>
      </c>
      <c r="B1655" s="115" t="s">
        <v>278</v>
      </c>
      <c r="C1655" s="115" t="s">
        <v>1242</v>
      </c>
      <c r="D1655" s="115" t="s">
        <v>1243</v>
      </c>
      <c r="E1655" s="133" t="str">
        <f t="shared" si="50"/>
        <v>1200000095THPU-71306 ST VN</v>
      </c>
      <c r="F1655" s="133" t="s">
        <v>3039</v>
      </c>
      <c r="G1655" s="133" t="s">
        <v>3884</v>
      </c>
      <c r="H1655" s="133">
        <f>VLOOKUP(G1655,'packing mapping'!A:B,2,0)</f>
        <v>200</v>
      </c>
      <c r="I1655" s="137">
        <v>11290000</v>
      </c>
      <c r="J1655" s="132">
        <f t="shared" si="51"/>
        <v>56450</v>
      </c>
    </row>
    <row r="1656" spans="1:10">
      <c r="A1656" s="115" t="s">
        <v>277</v>
      </c>
      <c r="B1656" s="115" t="s">
        <v>278</v>
      </c>
      <c r="C1656" s="115" t="s">
        <v>1546</v>
      </c>
      <c r="D1656" s="115" t="s">
        <v>1547</v>
      </c>
      <c r="E1656" s="133" t="str">
        <f t="shared" si="50"/>
        <v>1200000095TOL-76301 N CLEAR BASE VN</v>
      </c>
      <c r="F1656" s="133" t="s">
        <v>3213</v>
      </c>
      <c r="G1656" s="133" t="s">
        <v>3880</v>
      </c>
      <c r="H1656" s="133">
        <f>VLOOKUP(G1656,'packing mapping'!A:B,2,0)</f>
        <v>20</v>
      </c>
      <c r="I1656" s="137">
        <v>1852200</v>
      </c>
      <c r="J1656" s="132">
        <f t="shared" si="51"/>
        <v>92610</v>
      </c>
    </row>
    <row r="1657" spans="1:10">
      <c r="A1657" s="115" t="s">
        <v>277</v>
      </c>
      <c r="B1657" s="115" t="s">
        <v>278</v>
      </c>
      <c r="C1657" s="115" t="s">
        <v>2600</v>
      </c>
      <c r="D1657" s="115" t="s">
        <v>2601</v>
      </c>
      <c r="E1657" s="133" t="str">
        <f t="shared" si="50"/>
        <v>1200000095WPWB-81201 ML VN</v>
      </c>
      <c r="F1657" s="133" t="s">
        <v>3675</v>
      </c>
      <c r="G1657" s="133" t="s">
        <v>3881</v>
      </c>
      <c r="H1657" s="133">
        <f>VLOOKUP(G1657,'packing mapping'!A:B,2,0)</f>
        <v>20</v>
      </c>
      <c r="I1657" s="137">
        <v>743200</v>
      </c>
      <c r="J1657" s="132">
        <f t="shared" si="51"/>
        <v>37160</v>
      </c>
    </row>
    <row r="1658" spans="1:10">
      <c r="A1658" s="115" t="s">
        <v>277</v>
      </c>
      <c r="B1658" s="115" t="s">
        <v>278</v>
      </c>
      <c r="C1658" s="115" t="s">
        <v>1248</v>
      </c>
      <c r="D1658" s="115" t="s">
        <v>1249</v>
      </c>
      <c r="E1658" s="133" t="str">
        <f t="shared" si="50"/>
        <v>1200000095MEPH-12003 PS VN</v>
      </c>
      <c r="F1658" s="133" t="s">
        <v>3077</v>
      </c>
      <c r="G1658" s="133" t="s">
        <v>3887</v>
      </c>
      <c r="H1658" s="133">
        <f>VLOOKUP(G1658,'packing mapping'!A:B,2,0)</f>
        <v>2</v>
      </c>
      <c r="I1658" s="137">
        <v>295900</v>
      </c>
      <c r="J1658" s="132">
        <f t="shared" si="51"/>
        <v>147950</v>
      </c>
    </row>
    <row r="1659" spans="1:10">
      <c r="A1659" s="115" t="s">
        <v>277</v>
      </c>
      <c r="B1659" s="115" t="s">
        <v>278</v>
      </c>
      <c r="C1659" s="115" t="s">
        <v>1260</v>
      </c>
      <c r="D1659" s="115" t="s">
        <v>1261</v>
      </c>
      <c r="E1659" s="133" t="str">
        <f t="shared" si="50"/>
        <v>1200000095NCL-11329 LC CLEAR 05 VN</v>
      </c>
      <c r="F1659" s="133" t="s">
        <v>3083</v>
      </c>
      <c r="G1659" s="133" t="s">
        <v>3879</v>
      </c>
      <c r="H1659" s="133">
        <f>VLOOKUP(G1659,'packing mapping'!A:B,2,0)</f>
        <v>20</v>
      </c>
      <c r="I1659" s="137">
        <v>2699000</v>
      </c>
      <c r="J1659" s="132">
        <f t="shared" si="51"/>
        <v>134950</v>
      </c>
    </row>
    <row r="1660" spans="1:10">
      <c r="A1660" s="115" t="s">
        <v>277</v>
      </c>
      <c r="B1660" s="115" t="s">
        <v>278</v>
      </c>
      <c r="C1660" s="115" t="s">
        <v>1264</v>
      </c>
      <c r="D1660" s="115" t="s">
        <v>1265</v>
      </c>
      <c r="E1660" s="133" t="str">
        <f t="shared" si="50"/>
        <v>1200000095NCL-11329 LC CLEAR 20 VN</v>
      </c>
      <c r="F1660" s="133" t="s">
        <v>3085</v>
      </c>
      <c r="G1660" s="133" t="s">
        <v>3879</v>
      </c>
      <c r="H1660" s="133">
        <f>VLOOKUP(G1660,'packing mapping'!A:B,2,0)</f>
        <v>20</v>
      </c>
      <c r="I1660" s="137">
        <v>2593200</v>
      </c>
      <c r="J1660" s="132">
        <f t="shared" si="51"/>
        <v>129660</v>
      </c>
    </row>
    <row r="1661" spans="1:10">
      <c r="A1661" s="115" t="s">
        <v>277</v>
      </c>
      <c r="B1661" s="115" t="s">
        <v>278</v>
      </c>
      <c r="C1661" s="115" t="s">
        <v>1272</v>
      </c>
      <c r="D1661" s="115" t="s">
        <v>1273</v>
      </c>
      <c r="E1661" s="133" t="str">
        <f t="shared" si="50"/>
        <v>1200000095NCSS-11229 LC VN</v>
      </c>
      <c r="F1661" s="133" t="s">
        <v>3089</v>
      </c>
      <c r="G1661" s="133" t="s">
        <v>3879</v>
      </c>
      <c r="H1661" s="133">
        <f>VLOOKUP(G1661,'packing mapping'!A:B,2,0)</f>
        <v>20</v>
      </c>
      <c r="I1661" s="137">
        <v>2534800</v>
      </c>
      <c r="J1661" s="132">
        <f t="shared" si="51"/>
        <v>126740</v>
      </c>
    </row>
    <row r="1662" spans="1:10">
      <c r="A1662" s="115" t="s">
        <v>277</v>
      </c>
      <c r="B1662" s="115" t="s">
        <v>278</v>
      </c>
      <c r="C1662" s="115" t="s">
        <v>1172</v>
      </c>
      <c r="D1662" s="115" t="s">
        <v>1173</v>
      </c>
      <c r="E1662" s="133" t="str">
        <f t="shared" si="50"/>
        <v>1200000095PUH-56135 S VN</v>
      </c>
      <c r="F1662" s="133" t="s">
        <v>3040</v>
      </c>
      <c r="G1662" s="133" t="s">
        <v>3881</v>
      </c>
      <c r="H1662" s="133">
        <f>VLOOKUP(G1662,'packing mapping'!A:B,2,0)</f>
        <v>20</v>
      </c>
      <c r="I1662" s="137">
        <v>2572600</v>
      </c>
      <c r="J1662" s="132">
        <f t="shared" si="51"/>
        <v>128630</v>
      </c>
    </row>
    <row r="1663" spans="1:10">
      <c r="A1663" s="115" t="s">
        <v>277</v>
      </c>
      <c r="B1663" s="115" t="s">
        <v>278</v>
      </c>
      <c r="C1663" s="115" t="s">
        <v>1558</v>
      </c>
      <c r="D1663" s="115" t="s">
        <v>1559</v>
      </c>
      <c r="E1663" s="133" t="str">
        <f t="shared" si="50"/>
        <v>1200000095PUP-54111 AC WHITE VN</v>
      </c>
      <c r="F1663" s="133" t="s">
        <v>3218</v>
      </c>
      <c r="G1663" s="133" t="s">
        <v>3881</v>
      </c>
      <c r="H1663" s="133">
        <f>VLOOKUP(G1663,'packing mapping'!A:B,2,0)</f>
        <v>20</v>
      </c>
      <c r="I1663" s="137">
        <v>2969600</v>
      </c>
      <c r="J1663" s="132">
        <f t="shared" si="51"/>
        <v>148480</v>
      </c>
    </row>
    <row r="1664" spans="1:10">
      <c r="A1664" s="115" t="s">
        <v>277</v>
      </c>
      <c r="B1664" s="115" t="s">
        <v>278</v>
      </c>
      <c r="C1664" s="115" t="s">
        <v>1296</v>
      </c>
      <c r="D1664" s="115" t="s">
        <v>1297</v>
      </c>
      <c r="E1664" s="133" t="str">
        <f t="shared" si="50"/>
        <v>1200000095RD-74106 VN</v>
      </c>
      <c r="F1664" s="133" t="s">
        <v>3099</v>
      </c>
      <c r="G1664" s="133" t="s">
        <v>3880</v>
      </c>
      <c r="H1664" s="133">
        <f>VLOOKUP(G1664,'packing mapping'!A:B,2,0)</f>
        <v>20</v>
      </c>
      <c r="I1664" s="137">
        <v>1246600</v>
      </c>
      <c r="J1664" s="132">
        <f t="shared" si="51"/>
        <v>62330</v>
      </c>
    </row>
    <row r="1665" spans="1:10">
      <c r="A1665" s="115" t="s">
        <v>277</v>
      </c>
      <c r="B1665" s="115" t="s">
        <v>278</v>
      </c>
      <c r="C1665" s="115" t="s">
        <v>1298</v>
      </c>
      <c r="D1665" s="115" t="s">
        <v>1299</v>
      </c>
      <c r="E1665" s="133" t="str">
        <f t="shared" si="50"/>
        <v>1200000095PUP-52122 PUTTY VN</v>
      </c>
      <c r="F1665" s="133" t="s">
        <v>3100</v>
      </c>
      <c r="G1665" s="133" t="s">
        <v>3883</v>
      </c>
      <c r="H1665" s="133">
        <f>VLOOKUP(G1665,'packing mapping'!A:B,2,0)</f>
        <v>4</v>
      </c>
      <c r="I1665" s="137">
        <v>223800</v>
      </c>
      <c r="J1665" s="132">
        <f t="shared" si="51"/>
        <v>55950</v>
      </c>
    </row>
    <row r="1666" spans="1:10">
      <c r="A1666" s="115" t="s">
        <v>277</v>
      </c>
      <c r="B1666" s="115" t="s">
        <v>278</v>
      </c>
      <c r="C1666" s="115" t="s">
        <v>1300</v>
      </c>
      <c r="D1666" s="115" t="s">
        <v>1301</v>
      </c>
      <c r="E1666" s="133" t="str">
        <f t="shared" si="50"/>
        <v>1200000095GZPU-21500 BLACK VN</v>
      </c>
      <c r="F1666" s="133" t="s">
        <v>3101</v>
      </c>
      <c r="G1666" s="133" t="s">
        <v>3883</v>
      </c>
      <c r="H1666" s="133">
        <f>VLOOKUP(G1666,'packing mapping'!A:B,2,0)</f>
        <v>4</v>
      </c>
      <c r="I1666" s="137">
        <v>1210800</v>
      </c>
      <c r="J1666" s="132">
        <f t="shared" si="51"/>
        <v>302700</v>
      </c>
    </row>
    <row r="1667" spans="1:10">
      <c r="A1667" s="115" t="s">
        <v>277</v>
      </c>
      <c r="B1667" s="115" t="s">
        <v>278</v>
      </c>
      <c r="C1667" s="115" t="s">
        <v>1302</v>
      </c>
      <c r="D1667" s="115" t="s">
        <v>1303</v>
      </c>
      <c r="E1667" s="133" t="str">
        <f t="shared" ref="E1667:E1730" si="52">A1667&amp;F1667</f>
        <v>1200000095GZPU-21500 BROWN VN</v>
      </c>
      <c r="F1667" s="133" t="s">
        <v>3102</v>
      </c>
      <c r="G1667" s="133" t="s">
        <v>3883</v>
      </c>
      <c r="H1667" s="133">
        <f>VLOOKUP(G1667,'packing mapping'!A:B,2,0)</f>
        <v>4</v>
      </c>
      <c r="I1667" s="137">
        <v>985240</v>
      </c>
      <c r="J1667" s="132">
        <f t="shared" ref="J1667:J1730" si="53">I1667/H1667</f>
        <v>246310</v>
      </c>
    </row>
    <row r="1668" spans="1:10">
      <c r="A1668" s="115" t="s">
        <v>277</v>
      </c>
      <c r="B1668" s="115" t="s">
        <v>278</v>
      </c>
      <c r="C1668" s="115" t="s">
        <v>1900</v>
      </c>
      <c r="D1668" s="115" t="s">
        <v>1901</v>
      </c>
      <c r="E1668" s="133" t="str">
        <f t="shared" si="52"/>
        <v>1200000095PUH-56303 NY VN</v>
      </c>
      <c r="F1668" s="133" t="s">
        <v>3366</v>
      </c>
      <c r="G1668" s="133" t="s">
        <v>3881</v>
      </c>
      <c r="H1668" s="133">
        <f>VLOOKUP(G1668,'packing mapping'!A:B,2,0)</f>
        <v>20</v>
      </c>
      <c r="I1668" s="137">
        <v>3661000</v>
      </c>
      <c r="J1668" s="132">
        <f t="shared" si="53"/>
        <v>183050</v>
      </c>
    </row>
    <row r="1669" spans="1:10">
      <c r="A1669" s="115" t="s">
        <v>277</v>
      </c>
      <c r="B1669" s="115" t="s">
        <v>278</v>
      </c>
      <c r="C1669" s="115" t="s">
        <v>2602</v>
      </c>
      <c r="D1669" s="115" t="s">
        <v>2603</v>
      </c>
      <c r="E1669" s="133" t="str">
        <f t="shared" si="52"/>
        <v>1200000095NCL-40800 LY CLEAR 40 VN</v>
      </c>
      <c r="F1669" s="133" t="s">
        <v>3676</v>
      </c>
      <c r="G1669" s="133" t="s">
        <v>3897</v>
      </c>
      <c r="H1669" s="133">
        <f>VLOOKUP(G1669,'packing mapping'!A:B,2,0)</f>
        <v>18</v>
      </c>
      <c r="I1669" s="137">
        <v>2479860</v>
      </c>
      <c r="J1669" s="132">
        <f t="shared" si="53"/>
        <v>137770</v>
      </c>
    </row>
    <row r="1670" spans="1:10">
      <c r="A1670" s="115" t="s">
        <v>277</v>
      </c>
      <c r="B1670" s="115" t="s">
        <v>278</v>
      </c>
      <c r="C1670" s="115" t="s">
        <v>1416</v>
      </c>
      <c r="D1670" s="115" t="s">
        <v>1417</v>
      </c>
      <c r="E1670" s="133" t="str">
        <f t="shared" si="52"/>
        <v>1200000095THC-73100 102 VN</v>
      </c>
      <c r="F1670" s="133" t="s">
        <v>3111</v>
      </c>
      <c r="G1670" s="133" t="s">
        <v>3884</v>
      </c>
      <c r="H1670" s="133">
        <f>VLOOKUP(G1670,'packing mapping'!A:B,2,0)</f>
        <v>200</v>
      </c>
      <c r="I1670" s="137">
        <v>9158000</v>
      </c>
      <c r="J1670" s="132">
        <f t="shared" si="53"/>
        <v>45790</v>
      </c>
    </row>
    <row r="1671" spans="1:10">
      <c r="A1671" s="115" t="s">
        <v>277</v>
      </c>
      <c r="B1671" s="115" t="s">
        <v>278</v>
      </c>
      <c r="C1671" s="115" t="s">
        <v>1496</v>
      </c>
      <c r="D1671" s="115" t="s">
        <v>1497</v>
      </c>
      <c r="E1671" s="133" t="str">
        <f t="shared" si="52"/>
        <v>1200000095PUH-56141 VN</v>
      </c>
      <c r="F1671" s="133" t="s">
        <v>3189</v>
      </c>
      <c r="G1671" s="133" t="s">
        <v>3881</v>
      </c>
      <c r="H1671" s="133">
        <f>VLOOKUP(G1671,'packing mapping'!A:B,2,0)</f>
        <v>20</v>
      </c>
      <c r="I1671" s="137">
        <v>2144400</v>
      </c>
      <c r="J1671" s="132">
        <f t="shared" si="53"/>
        <v>107220</v>
      </c>
    </row>
    <row r="1672" spans="1:10">
      <c r="A1672" s="115" t="s">
        <v>277</v>
      </c>
      <c r="B1672" s="115" t="s">
        <v>278</v>
      </c>
      <c r="C1672" s="115" t="s">
        <v>1498</v>
      </c>
      <c r="D1672" s="115" t="s">
        <v>1499</v>
      </c>
      <c r="E1672" s="133" t="str">
        <f t="shared" si="52"/>
        <v>1200000095GP-98000 GREENISH</v>
      </c>
      <c r="F1672" s="133" t="s">
        <v>3190</v>
      </c>
      <c r="G1672" s="133" t="s">
        <v>3894</v>
      </c>
      <c r="H1672" s="133">
        <f>VLOOKUP(G1672,'packing mapping'!A:B,2,0)</f>
        <v>1</v>
      </c>
      <c r="I1672" s="137">
        <v>2413490</v>
      </c>
      <c r="J1672" s="132">
        <f t="shared" si="53"/>
        <v>2413490</v>
      </c>
    </row>
    <row r="1673" spans="1:10">
      <c r="A1673" s="115" t="s">
        <v>277</v>
      </c>
      <c r="B1673" s="115" t="s">
        <v>278</v>
      </c>
      <c r="C1673" s="115" t="s">
        <v>1332</v>
      </c>
      <c r="D1673" s="115" t="s">
        <v>1333</v>
      </c>
      <c r="E1673" s="133" t="str">
        <f t="shared" si="52"/>
        <v>1200000095WFPU-51000 VN</v>
      </c>
      <c r="F1673" s="133" t="s">
        <v>3117</v>
      </c>
      <c r="G1673" s="133" t="s">
        <v>3881</v>
      </c>
      <c r="H1673" s="133">
        <f>VLOOKUP(G1673,'packing mapping'!A:B,2,0)</f>
        <v>20</v>
      </c>
      <c r="I1673" s="137">
        <v>1796000</v>
      </c>
      <c r="J1673" s="132">
        <f t="shared" si="53"/>
        <v>89800</v>
      </c>
    </row>
    <row r="1674" spans="1:10">
      <c r="A1674" s="115" t="s">
        <v>277</v>
      </c>
      <c r="B1674" s="115" t="s">
        <v>278</v>
      </c>
      <c r="C1674" s="115" t="s">
        <v>1334</v>
      </c>
      <c r="D1674" s="115" t="s">
        <v>1335</v>
      </c>
      <c r="E1674" s="133" t="str">
        <f t="shared" si="52"/>
        <v>1200000095MEP-12003 HC VN</v>
      </c>
      <c r="F1674" s="133" t="s">
        <v>3118</v>
      </c>
      <c r="G1674" s="133" t="s">
        <v>3882</v>
      </c>
      <c r="H1674" s="133">
        <f>VLOOKUP(G1674,'packing mapping'!A:B,2,0)</f>
        <v>18</v>
      </c>
      <c r="I1674" s="137">
        <v>2105640</v>
      </c>
      <c r="J1674" s="132">
        <f t="shared" si="53"/>
        <v>116980</v>
      </c>
    </row>
    <row r="1675" spans="1:10">
      <c r="A1675" s="115" t="s">
        <v>193</v>
      </c>
      <c r="B1675" s="115" t="s">
        <v>194</v>
      </c>
      <c r="C1675" s="115" t="s">
        <v>1460</v>
      </c>
      <c r="D1675" s="115" t="s">
        <v>1461</v>
      </c>
      <c r="E1675" s="133" t="str">
        <f t="shared" si="52"/>
        <v>120000005211-26 WIPPING THINNER LC VN</v>
      </c>
      <c r="F1675" s="133" t="s">
        <v>3177</v>
      </c>
      <c r="G1675" s="133" t="s">
        <v>3880</v>
      </c>
      <c r="H1675" s="133">
        <f>VLOOKUP(G1675,'packing mapping'!A:B,2,0)</f>
        <v>20</v>
      </c>
      <c r="I1675" s="137">
        <v>1202000</v>
      </c>
      <c r="J1675" s="132">
        <f t="shared" si="53"/>
        <v>60100</v>
      </c>
    </row>
    <row r="1676" spans="1:10">
      <c r="A1676" s="115" t="s">
        <v>193</v>
      </c>
      <c r="B1676" s="115" t="s">
        <v>194</v>
      </c>
      <c r="C1676" s="115" t="s">
        <v>1462</v>
      </c>
      <c r="D1676" s="115" t="s">
        <v>1463</v>
      </c>
      <c r="E1676" s="133" t="str">
        <f t="shared" si="52"/>
        <v>120000005264-56 MICRO FILLER VN</v>
      </c>
      <c r="F1676" s="133" t="s">
        <v>3178</v>
      </c>
      <c r="G1676" s="133" t="s">
        <v>3881</v>
      </c>
      <c r="H1676" s="133">
        <f>VLOOKUP(G1676,'packing mapping'!A:B,2,0)</f>
        <v>20</v>
      </c>
      <c r="I1676" s="137">
        <v>1314800</v>
      </c>
      <c r="J1676" s="132">
        <f t="shared" si="53"/>
        <v>65740</v>
      </c>
    </row>
    <row r="1677" spans="1:10">
      <c r="A1677" s="115" t="s">
        <v>193</v>
      </c>
      <c r="B1677" s="115" t="s">
        <v>194</v>
      </c>
      <c r="C1677" s="115" t="s">
        <v>1184</v>
      </c>
      <c r="D1677" s="115" t="s">
        <v>1185</v>
      </c>
      <c r="E1677" s="133" t="str">
        <f t="shared" si="52"/>
        <v>1200000052MEP-12003 CLEAR BASE VN</v>
      </c>
      <c r="F1677" s="133" t="s">
        <v>3046</v>
      </c>
      <c r="G1677" s="133" t="s">
        <v>3882</v>
      </c>
      <c r="H1677" s="133">
        <f>VLOOKUP(G1677,'packing mapping'!A:B,2,0)</f>
        <v>18</v>
      </c>
      <c r="I1677" s="137">
        <v>1356300</v>
      </c>
      <c r="J1677" s="132">
        <f t="shared" si="53"/>
        <v>75350</v>
      </c>
    </row>
    <row r="1678" spans="1:10">
      <c r="A1678" s="115" t="s">
        <v>193</v>
      </c>
      <c r="B1678" s="115" t="s">
        <v>194</v>
      </c>
      <c r="C1678" s="115" t="s">
        <v>2190</v>
      </c>
      <c r="D1678" s="115" t="s">
        <v>2191</v>
      </c>
      <c r="E1678" s="133" t="str">
        <f t="shared" si="52"/>
        <v>1200000052NCL-40800 LY CLEAR 10 VN</v>
      </c>
      <c r="F1678" s="133" t="s">
        <v>3509</v>
      </c>
      <c r="G1678" s="133" t="s">
        <v>3897</v>
      </c>
      <c r="H1678" s="133">
        <f>VLOOKUP(G1678,'packing mapping'!A:B,2,0)</f>
        <v>18</v>
      </c>
      <c r="I1678" s="137">
        <v>2306700</v>
      </c>
      <c r="J1678" s="132">
        <f t="shared" si="53"/>
        <v>128150</v>
      </c>
    </row>
    <row r="1679" spans="1:10">
      <c r="A1679" s="115" t="s">
        <v>193</v>
      </c>
      <c r="B1679" s="115" t="s">
        <v>194</v>
      </c>
      <c r="C1679" s="115" t="s">
        <v>2604</v>
      </c>
      <c r="D1679" s="115" t="s">
        <v>2605</v>
      </c>
      <c r="E1679" s="133" t="str">
        <f t="shared" si="52"/>
        <v>1200000052NCL-40800 LY CLEAR 90 VN</v>
      </c>
      <c r="F1679" s="133" t="s">
        <v>3677</v>
      </c>
      <c r="G1679" s="133" t="s">
        <v>3879</v>
      </c>
      <c r="H1679" s="133">
        <f>VLOOKUP(G1679,'packing mapping'!A:B,2,0)</f>
        <v>20</v>
      </c>
      <c r="I1679" s="137">
        <v>2990800</v>
      </c>
      <c r="J1679" s="132">
        <f t="shared" si="53"/>
        <v>149540</v>
      </c>
    </row>
    <row r="1680" spans="1:10">
      <c r="A1680" s="115" t="s">
        <v>193</v>
      </c>
      <c r="B1680" s="115" t="s">
        <v>194</v>
      </c>
      <c r="C1680" s="115" t="s">
        <v>2034</v>
      </c>
      <c r="D1680" s="115" t="s">
        <v>2035</v>
      </c>
      <c r="E1680" s="133" t="str">
        <f t="shared" si="52"/>
        <v>1200000052NCSS-30800 LY MOD VN</v>
      </c>
      <c r="F1680" s="133" t="s">
        <v>3436</v>
      </c>
      <c r="G1680" s="133" t="s">
        <v>3882</v>
      </c>
      <c r="H1680" s="133">
        <f>VLOOKUP(G1680,'packing mapping'!A:B,2,0)</f>
        <v>18</v>
      </c>
      <c r="I1680" s="137">
        <v>2239020</v>
      </c>
      <c r="J1680" s="132">
        <f t="shared" si="53"/>
        <v>124390</v>
      </c>
    </row>
    <row r="1681" spans="1:10">
      <c r="A1681" s="115" t="s">
        <v>193</v>
      </c>
      <c r="B1681" s="115" t="s">
        <v>194</v>
      </c>
      <c r="C1681" s="115" t="s">
        <v>1188</v>
      </c>
      <c r="D1681" s="115" t="s">
        <v>1189</v>
      </c>
      <c r="E1681" s="133" t="str">
        <f t="shared" si="52"/>
        <v>1200000052PCA-31100 BLACK PASTE VN</v>
      </c>
      <c r="F1681" s="133" t="s">
        <v>3048</v>
      </c>
      <c r="G1681" s="133" t="s">
        <v>3883</v>
      </c>
      <c r="H1681" s="133">
        <f>VLOOKUP(G1681,'packing mapping'!A:B,2,0)</f>
        <v>4</v>
      </c>
      <c r="I1681" s="137">
        <v>1188600</v>
      </c>
      <c r="J1681" s="132">
        <f t="shared" si="53"/>
        <v>297150</v>
      </c>
    </row>
    <row r="1682" spans="1:10">
      <c r="A1682" s="115" t="s">
        <v>193</v>
      </c>
      <c r="B1682" s="115" t="s">
        <v>194</v>
      </c>
      <c r="C1682" s="115" t="s">
        <v>1374</v>
      </c>
      <c r="D1682" s="115" t="s">
        <v>1375</v>
      </c>
      <c r="E1682" s="133" t="str">
        <f t="shared" si="52"/>
        <v>1200000052PCA-31100 RED OB 35 PASTE VN</v>
      </c>
      <c r="F1682" s="133" t="s">
        <v>3137</v>
      </c>
      <c r="G1682" s="133" t="s">
        <v>3883</v>
      </c>
      <c r="H1682" s="133">
        <f>VLOOKUP(G1682,'packing mapping'!A:B,2,0)</f>
        <v>4</v>
      </c>
      <c r="I1682" s="137">
        <v>2264560</v>
      </c>
      <c r="J1682" s="132">
        <f t="shared" si="53"/>
        <v>566140</v>
      </c>
    </row>
    <row r="1683" spans="1:10">
      <c r="A1683" s="115" t="s">
        <v>193</v>
      </c>
      <c r="B1683" s="115" t="s">
        <v>194</v>
      </c>
      <c r="C1683" s="115" t="s">
        <v>1190</v>
      </c>
      <c r="D1683" s="115" t="s">
        <v>1191</v>
      </c>
      <c r="E1683" s="133" t="str">
        <f t="shared" si="52"/>
        <v>1200000052PCA-31100 WHITE PASTE VN</v>
      </c>
      <c r="F1683" s="133" t="s">
        <v>3049</v>
      </c>
      <c r="G1683" s="133" t="s">
        <v>3883</v>
      </c>
      <c r="H1683" s="133">
        <f>VLOOKUP(G1683,'packing mapping'!A:B,2,0)</f>
        <v>4</v>
      </c>
      <c r="I1683" s="137">
        <v>800320</v>
      </c>
      <c r="J1683" s="132">
        <f t="shared" si="53"/>
        <v>200080</v>
      </c>
    </row>
    <row r="1684" spans="1:10">
      <c r="A1684" s="115" t="s">
        <v>193</v>
      </c>
      <c r="B1684" s="115" t="s">
        <v>194</v>
      </c>
      <c r="C1684" s="115" t="s">
        <v>1376</v>
      </c>
      <c r="D1684" s="115" t="s">
        <v>1377</v>
      </c>
      <c r="E1684" s="133" t="str">
        <f t="shared" si="52"/>
        <v>1200000052PCA-31100 YELLOW HR PASTE VN</v>
      </c>
      <c r="F1684" s="133" t="s">
        <v>3138</v>
      </c>
      <c r="G1684" s="133" t="s">
        <v>3883</v>
      </c>
      <c r="H1684" s="133">
        <f>VLOOKUP(G1684,'packing mapping'!A:B,2,0)</f>
        <v>4</v>
      </c>
      <c r="I1684" s="137">
        <v>1436920</v>
      </c>
      <c r="J1684" s="132">
        <f t="shared" si="53"/>
        <v>359230</v>
      </c>
    </row>
    <row r="1685" spans="1:10">
      <c r="A1685" s="115" t="s">
        <v>193</v>
      </c>
      <c r="B1685" s="115" t="s">
        <v>194</v>
      </c>
      <c r="C1685" s="115" t="s">
        <v>1468</v>
      </c>
      <c r="D1685" s="115" t="s">
        <v>1469</v>
      </c>
      <c r="E1685" s="133" t="str">
        <f t="shared" si="52"/>
        <v>1200000052PCA-31100 YELLOW OG 16 PASTE VN</v>
      </c>
      <c r="F1685" s="133" t="s">
        <v>3180</v>
      </c>
      <c r="G1685" s="133" t="s">
        <v>3883</v>
      </c>
      <c r="H1685" s="133">
        <f>VLOOKUP(G1685,'packing mapping'!A:B,2,0)</f>
        <v>4</v>
      </c>
      <c r="I1685" s="137">
        <v>2855520</v>
      </c>
      <c r="J1685" s="132">
        <f t="shared" si="53"/>
        <v>713880</v>
      </c>
    </row>
    <row r="1686" spans="1:10">
      <c r="A1686" s="115" t="s">
        <v>193</v>
      </c>
      <c r="B1686" s="115" t="s">
        <v>194</v>
      </c>
      <c r="C1686" s="115" t="s">
        <v>1192</v>
      </c>
      <c r="D1686" s="115" t="s">
        <v>1193</v>
      </c>
      <c r="E1686" s="133" t="str">
        <f t="shared" si="52"/>
        <v>1200000052PCL-31300 BLACK PASTE</v>
      </c>
      <c r="F1686" s="133" t="s">
        <v>3050</v>
      </c>
      <c r="G1686" s="133" t="s">
        <v>3883</v>
      </c>
      <c r="H1686" s="133">
        <f>VLOOKUP(G1686,'packing mapping'!A:B,2,0)</f>
        <v>4</v>
      </c>
      <c r="I1686" s="137">
        <v>1697120</v>
      </c>
      <c r="J1686" s="132">
        <f t="shared" si="53"/>
        <v>424280</v>
      </c>
    </row>
    <row r="1687" spans="1:10">
      <c r="A1687" s="115" t="s">
        <v>193</v>
      </c>
      <c r="B1687" s="115" t="s">
        <v>194</v>
      </c>
      <c r="C1687" s="115" t="s">
        <v>1194</v>
      </c>
      <c r="D1687" s="115" t="s">
        <v>1195</v>
      </c>
      <c r="E1687" s="133" t="str">
        <f t="shared" si="52"/>
        <v>1200000052PCL-31300 BLUE OG PASTE</v>
      </c>
      <c r="F1687" s="133" t="s">
        <v>3051</v>
      </c>
      <c r="G1687" s="133" t="s">
        <v>3883</v>
      </c>
      <c r="H1687" s="133">
        <f>VLOOKUP(G1687,'packing mapping'!A:B,2,0)</f>
        <v>4</v>
      </c>
      <c r="I1687" s="137">
        <v>1944800</v>
      </c>
      <c r="J1687" s="132">
        <f t="shared" si="53"/>
        <v>486200</v>
      </c>
    </row>
    <row r="1688" spans="1:10">
      <c r="A1688" s="115" t="s">
        <v>193</v>
      </c>
      <c r="B1688" s="115" t="s">
        <v>194</v>
      </c>
      <c r="C1688" s="115" t="s">
        <v>1196</v>
      </c>
      <c r="D1688" s="115" t="s">
        <v>1197</v>
      </c>
      <c r="E1688" s="133" t="str">
        <f t="shared" si="52"/>
        <v>1200000052PCL-31300 BLUE OR 50 PASTE</v>
      </c>
      <c r="F1688" s="133" t="s">
        <v>3052</v>
      </c>
      <c r="G1688" s="133" t="s">
        <v>3883</v>
      </c>
      <c r="H1688" s="133">
        <f>VLOOKUP(G1688,'packing mapping'!A:B,2,0)</f>
        <v>4</v>
      </c>
      <c r="I1688" s="137">
        <v>1944800</v>
      </c>
      <c r="J1688" s="132">
        <f t="shared" si="53"/>
        <v>486200</v>
      </c>
    </row>
    <row r="1689" spans="1:10">
      <c r="A1689" s="115" t="s">
        <v>193</v>
      </c>
      <c r="B1689" s="115" t="s">
        <v>194</v>
      </c>
      <c r="C1689" s="115" t="s">
        <v>1988</v>
      </c>
      <c r="D1689" s="115" t="s">
        <v>1989</v>
      </c>
      <c r="E1689" s="133" t="str">
        <f t="shared" si="52"/>
        <v>1200000052PCL-31300 GREEN OB PASTE</v>
      </c>
      <c r="F1689" s="133" t="s">
        <v>3415</v>
      </c>
      <c r="G1689" s="133" t="s">
        <v>3883</v>
      </c>
      <c r="H1689" s="133">
        <f>VLOOKUP(G1689,'packing mapping'!A:B,2,0)</f>
        <v>4</v>
      </c>
      <c r="I1689" s="137">
        <v>2264560</v>
      </c>
      <c r="J1689" s="132">
        <f t="shared" si="53"/>
        <v>566140</v>
      </c>
    </row>
    <row r="1690" spans="1:10">
      <c r="A1690" s="115" t="s">
        <v>193</v>
      </c>
      <c r="B1690" s="115" t="s">
        <v>194</v>
      </c>
      <c r="C1690" s="115" t="s">
        <v>1200</v>
      </c>
      <c r="D1690" s="115" t="s">
        <v>1201</v>
      </c>
      <c r="E1690" s="133" t="str">
        <f t="shared" si="52"/>
        <v>1200000052PCL-31300 RED OB 35 PASTE</v>
      </c>
      <c r="F1690" s="133" t="s">
        <v>3054</v>
      </c>
      <c r="G1690" s="133" t="s">
        <v>3883</v>
      </c>
      <c r="H1690" s="133">
        <f>VLOOKUP(G1690,'packing mapping'!A:B,2,0)</f>
        <v>4</v>
      </c>
      <c r="I1690" s="137">
        <v>2650400</v>
      </c>
      <c r="J1690" s="132">
        <f t="shared" si="53"/>
        <v>662600</v>
      </c>
    </row>
    <row r="1691" spans="1:10">
      <c r="A1691" s="115" t="s">
        <v>193</v>
      </c>
      <c r="B1691" s="115" t="s">
        <v>194</v>
      </c>
      <c r="C1691" s="115" t="s">
        <v>1384</v>
      </c>
      <c r="D1691" s="115" t="s">
        <v>1385</v>
      </c>
      <c r="E1691" s="133" t="str">
        <f t="shared" si="52"/>
        <v>1200000052PCL-31300 VIOLET PASTE</v>
      </c>
      <c r="F1691" s="133" t="s">
        <v>3142</v>
      </c>
      <c r="G1691" s="133" t="s">
        <v>3883</v>
      </c>
      <c r="H1691" s="133">
        <f>VLOOKUP(G1691,'packing mapping'!A:B,2,0)</f>
        <v>4</v>
      </c>
      <c r="I1691" s="137">
        <v>2530920</v>
      </c>
      <c r="J1691" s="132">
        <f t="shared" si="53"/>
        <v>632730</v>
      </c>
    </row>
    <row r="1692" spans="1:10">
      <c r="A1692" s="115" t="s">
        <v>193</v>
      </c>
      <c r="B1692" s="115" t="s">
        <v>194</v>
      </c>
      <c r="C1692" s="115" t="s">
        <v>1202</v>
      </c>
      <c r="D1692" s="115" t="s">
        <v>1203</v>
      </c>
      <c r="E1692" s="133" t="str">
        <f t="shared" si="52"/>
        <v>1200000052PCL-31300 WHITE PASTE</v>
      </c>
      <c r="F1692" s="133" t="s">
        <v>3055</v>
      </c>
      <c r="G1692" s="133" t="s">
        <v>3883</v>
      </c>
      <c r="H1692" s="133">
        <f>VLOOKUP(G1692,'packing mapping'!A:B,2,0)</f>
        <v>4</v>
      </c>
      <c r="I1692" s="137">
        <v>880360</v>
      </c>
      <c r="J1692" s="132">
        <f t="shared" si="53"/>
        <v>220090</v>
      </c>
    </row>
    <row r="1693" spans="1:10">
      <c r="A1693" s="115" t="s">
        <v>193</v>
      </c>
      <c r="B1693" s="115" t="s">
        <v>194</v>
      </c>
      <c r="C1693" s="115" t="s">
        <v>1204</v>
      </c>
      <c r="D1693" s="115" t="s">
        <v>1205</v>
      </c>
      <c r="E1693" s="133" t="str">
        <f t="shared" si="52"/>
        <v>1200000052PCL-31300 YELLOW OG 16 PASTE</v>
      </c>
      <c r="F1693" s="133" t="s">
        <v>3056</v>
      </c>
      <c r="G1693" s="133" t="s">
        <v>3883</v>
      </c>
      <c r="H1693" s="133">
        <f>VLOOKUP(G1693,'packing mapping'!A:B,2,0)</f>
        <v>4</v>
      </c>
      <c r="I1693" s="137">
        <v>3295600</v>
      </c>
      <c r="J1693" s="132">
        <f t="shared" si="53"/>
        <v>823900</v>
      </c>
    </row>
    <row r="1694" spans="1:10">
      <c r="A1694" s="115" t="s">
        <v>193</v>
      </c>
      <c r="B1694" s="115" t="s">
        <v>194</v>
      </c>
      <c r="C1694" s="115" t="s">
        <v>1206</v>
      </c>
      <c r="D1694" s="115" t="s">
        <v>1207</v>
      </c>
      <c r="E1694" s="133" t="str">
        <f t="shared" si="52"/>
        <v>1200000052PCL-31300 YELLOW OKER PASTE</v>
      </c>
      <c r="F1694" s="133" t="s">
        <v>3057</v>
      </c>
      <c r="G1694" s="133" t="s">
        <v>3883</v>
      </c>
      <c r="H1694" s="133">
        <f>VLOOKUP(G1694,'packing mapping'!A:B,2,0)</f>
        <v>4</v>
      </c>
      <c r="I1694" s="137">
        <v>990560</v>
      </c>
      <c r="J1694" s="132">
        <f t="shared" si="53"/>
        <v>247640</v>
      </c>
    </row>
    <row r="1695" spans="1:10">
      <c r="A1695" s="115" t="s">
        <v>193</v>
      </c>
      <c r="B1695" s="115" t="s">
        <v>194</v>
      </c>
      <c r="C1695" s="115" t="s">
        <v>1860</v>
      </c>
      <c r="D1695" s="115" t="s">
        <v>1861</v>
      </c>
      <c r="E1695" s="133" t="str">
        <f t="shared" si="52"/>
        <v>1200000052PCWB-31600 BLACK AY PASTE</v>
      </c>
      <c r="F1695" s="133" t="s">
        <v>3353</v>
      </c>
      <c r="G1695" s="133" t="s">
        <v>3883</v>
      </c>
      <c r="H1695" s="133">
        <f>VLOOKUP(G1695,'packing mapping'!A:B,2,0)</f>
        <v>4</v>
      </c>
      <c r="I1695" s="137">
        <v>1068400</v>
      </c>
      <c r="J1695" s="132">
        <f t="shared" si="53"/>
        <v>267100</v>
      </c>
    </row>
    <row r="1696" spans="1:10">
      <c r="A1696" s="115" t="s">
        <v>193</v>
      </c>
      <c r="B1696" s="115" t="s">
        <v>194</v>
      </c>
      <c r="C1696" s="115" t="s">
        <v>1864</v>
      </c>
      <c r="D1696" s="115" t="s">
        <v>1865</v>
      </c>
      <c r="E1696" s="133" t="str">
        <f t="shared" si="52"/>
        <v>1200000052PCWB-31600 RED OB 35 PASTE</v>
      </c>
      <c r="F1696" s="133" t="s">
        <v>3355</v>
      </c>
      <c r="G1696" s="133" t="s">
        <v>3883</v>
      </c>
      <c r="H1696" s="133">
        <f>VLOOKUP(G1696,'packing mapping'!A:B,2,0)</f>
        <v>4</v>
      </c>
      <c r="I1696" s="137">
        <v>7588520</v>
      </c>
      <c r="J1696" s="132">
        <f t="shared" si="53"/>
        <v>1897130</v>
      </c>
    </row>
    <row r="1697" spans="1:10">
      <c r="A1697" s="115" t="s">
        <v>193</v>
      </c>
      <c r="B1697" s="115" t="s">
        <v>194</v>
      </c>
      <c r="C1697" s="115" t="s">
        <v>1866</v>
      </c>
      <c r="D1697" s="115" t="s">
        <v>1867</v>
      </c>
      <c r="E1697" s="133" t="str">
        <f t="shared" si="52"/>
        <v>1200000052PCWB-31600 WHITE PASTE</v>
      </c>
      <c r="F1697" s="133" t="s">
        <v>3356</v>
      </c>
      <c r="G1697" s="133" t="s">
        <v>3883</v>
      </c>
      <c r="H1697" s="133">
        <f>VLOOKUP(G1697,'packing mapping'!A:B,2,0)</f>
        <v>4</v>
      </c>
      <c r="I1697" s="137">
        <v>987320</v>
      </c>
      <c r="J1697" s="132">
        <f t="shared" si="53"/>
        <v>246830</v>
      </c>
    </row>
    <row r="1698" spans="1:10">
      <c r="A1698" s="115" t="s">
        <v>193</v>
      </c>
      <c r="B1698" s="115" t="s">
        <v>194</v>
      </c>
      <c r="C1698" s="115" t="s">
        <v>1868</v>
      </c>
      <c r="D1698" s="115" t="s">
        <v>1869</v>
      </c>
      <c r="E1698" s="133" t="str">
        <f t="shared" si="52"/>
        <v>1200000052PCWB-31600 YELLOW AR PASTE</v>
      </c>
      <c r="F1698" s="133" t="s">
        <v>3357</v>
      </c>
      <c r="G1698" s="133" t="s">
        <v>3883</v>
      </c>
      <c r="H1698" s="133">
        <f>VLOOKUP(G1698,'packing mapping'!A:B,2,0)</f>
        <v>4</v>
      </c>
      <c r="I1698" s="137">
        <v>1104440</v>
      </c>
      <c r="J1698" s="132">
        <f t="shared" si="53"/>
        <v>276110</v>
      </c>
    </row>
    <row r="1699" spans="1:10">
      <c r="A1699" s="115" t="s">
        <v>193</v>
      </c>
      <c r="B1699" s="115" t="s">
        <v>194</v>
      </c>
      <c r="C1699" s="115" t="s">
        <v>1872</v>
      </c>
      <c r="D1699" s="115" t="s">
        <v>1873</v>
      </c>
      <c r="E1699" s="133" t="str">
        <f t="shared" si="52"/>
        <v>1200000052PCWB-31601 YELLOW 100 OR PASTE</v>
      </c>
      <c r="F1699" s="133" t="s">
        <v>3359</v>
      </c>
      <c r="G1699" s="133" t="s">
        <v>3883</v>
      </c>
      <c r="H1699" s="133">
        <f>VLOOKUP(G1699,'packing mapping'!A:B,2,0)</f>
        <v>4</v>
      </c>
      <c r="I1699" s="137">
        <v>2512400</v>
      </c>
      <c r="J1699" s="132">
        <f t="shared" si="53"/>
        <v>628100</v>
      </c>
    </row>
    <row r="1700" spans="1:10">
      <c r="A1700" s="115" t="s">
        <v>193</v>
      </c>
      <c r="B1700" s="115" t="s">
        <v>194</v>
      </c>
      <c r="C1700" s="115" t="s">
        <v>1208</v>
      </c>
      <c r="D1700" s="115" t="s">
        <v>1209</v>
      </c>
      <c r="E1700" s="133" t="str">
        <f t="shared" si="52"/>
        <v>1200000052PG-13900 WHITE 01 VN</v>
      </c>
      <c r="F1700" s="133" t="s">
        <v>3058</v>
      </c>
      <c r="G1700" s="133" t="s">
        <v>3881</v>
      </c>
      <c r="H1700" s="133">
        <f>VLOOKUP(G1700,'packing mapping'!A:B,2,0)</f>
        <v>20</v>
      </c>
      <c r="I1700" s="137">
        <v>5888000</v>
      </c>
      <c r="J1700" s="132">
        <f t="shared" si="53"/>
        <v>294400</v>
      </c>
    </row>
    <row r="1701" spans="1:10">
      <c r="A1701" s="115" t="s">
        <v>193</v>
      </c>
      <c r="B1701" s="115" t="s">
        <v>194</v>
      </c>
      <c r="C1701" s="115" t="s">
        <v>1386</v>
      </c>
      <c r="D1701" s="115" t="s">
        <v>1387</v>
      </c>
      <c r="E1701" s="133" t="str">
        <f t="shared" si="52"/>
        <v>1200000052PUC-54205 AC WHITE 90 VN</v>
      </c>
      <c r="F1701" s="133" t="s">
        <v>3143</v>
      </c>
      <c r="G1701" s="133" t="s">
        <v>3881</v>
      </c>
      <c r="H1701" s="133">
        <f>VLOOKUP(G1701,'packing mapping'!A:B,2,0)</f>
        <v>20</v>
      </c>
      <c r="I1701" s="137">
        <v>2636600</v>
      </c>
      <c r="J1701" s="132">
        <f t="shared" si="53"/>
        <v>131830</v>
      </c>
    </row>
    <row r="1702" spans="1:10">
      <c r="A1702" s="115" t="s">
        <v>193</v>
      </c>
      <c r="B1702" s="115" t="s">
        <v>194</v>
      </c>
      <c r="C1702" s="115" t="s">
        <v>1388</v>
      </c>
      <c r="D1702" s="115" t="s">
        <v>1389</v>
      </c>
      <c r="E1702" s="133" t="str">
        <f t="shared" si="52"/>
        <v>1200000052PUC-54205 AC WHITE 10 VN</v>
      </c>
      <c r="F1702" s="133" t="s">
        <v>3144</v>
      </c>
      <c r="G1702" s="133" t="s">
        <v>3881</v>
      </c>
      <c r="H1702" s="133">
        <f>VLOOKUP(G1702,'packing mapping'!A:B,2,0)</f>
        <v>20</v>
      </c>
      <c r="I1702" s="137">
        <v>2828400</v>
      </c>
      <c r="J1702" s="132">
        <f t="shared" si="53"/>
        <v>141420</v>
      </c>
    </row>
    <row r="1703" spans="1:10">
      <c r="A1703" s="115" t="s">
        <v>193</v>
      </c>
      <c r="B1703" s="115" t="s">
        <v>194</v>
      </c>
      <c r="C1703" s="115" t="s">
        <v>1390</v>
      </c>
      <c r="D1703" s="115" t="s">
        <v>1391</v>
      </c>
      <c r="E1703" s="133" t="str">
        <f t="shared" si="52"/>
        <v>1200000052PUC-54205 AC WHITE 20 VN</v>
      </c>
      <c r="F1703" s="133" t="s">
        <v>3145</v>
      </c>
      <c r="G1703" s="133" t="s">
        <v>3881</v>
      </c>
      <c r="H1703" s="133">
        <f>VLOOKUP(G1703,'packing mapping'!A:B,2,0)</f>
        <v>20</v>
      </c>
      <c r="I1703" s="137">
        <v>3314200</v>
      </c>
      <c r="J1703" s="132">
        <f t="shared" si="53"/>
        <v>165710</v>
      </c>
    </row>
    <row r="1704" spans="1:10">
      <c r="A1704" s="115" t="s">
        <v>193</v>
      </c>
      <c r="B1704" s="115" t="s">
        <v>194</v>
      </c>
      <c r="C1704" s="115" t="s">
        <v>1210</v>
      </c>
      <c r="D1704" s="115" t="s">
        <v>1211</v>
      </c>
      <c r="E1704" s="133" t="str">
        <f t="shared" si="52"/>
        <v>1200000052PUH-56306 LY VN</v>
      </c>
      <c r="F1704" s="133" t="s">
        <v>3059</v>
      </c>
      <c r="G1704" s="133" t="s">
        <v>3879</v>
      </c>
      <c r="H1704" s="133">
        <f>VLOOKUP(G1704,'packing mapping'!A:B,2,0)</f>
        <v>20</v>
      </c>
      <c r="I1704" s="137">
        <v>3252600</v>
      </c>
      <c r="J1704" s="132">
        <f t="shared" si="53"/>
        <v>162630</v>
      </c>
    </row>
    <row r="1705" spans="1:10">
      <c r="A1705" s="115" t="s">
        <v>193</v>
      </c>
      <c r="B1705" s="115" t="s">
        <v>194</v>
      </c>
      <c r="C1705" s="115" t="s">
        <v>1718</v>
      </c>
      <c r="D1705" s="115" t="s">
        <v>1719</v>
      </c>
      <c r="E1705" s="133" t="str">
        <f t="shared" si="52"/>
        <v>1200000052PUL-51341 CLEAR 10 VN</v>
      </c>
      <c r="F1705" s="133" t="s">
        <v>3294</v>
      </c>
      <c r="G1705" s="133" t="s">
        <v>3882</v>
      </c>
      <c r="H1705" s="133">
        <f>VLOOKUP(G1705,'packing mapping'!A:B,2,0)</f>
        <v>18</v>
      </c>
      <c r="I1705" s="137">
        <v>2093760</v>
      </c>
      <c r="J1705" s="132">
        <f t="shared" si="53"/>
        <v>116320</v>
      </c>
    </row>
    <row r="1706" spans="1:10">
      <c r="A1706" s="115" t="s">
        <v>193</v>
      </c>
      <c r="B1706" s="115" t="s">
        <v>194</v>
      </c>
      <c r="C1706" s="115" t="s">
        <v>1542</v>
      </c>
      <c r="D1706" s="115" t="s">
        <v>1543</v>
      </c>
      <c r="E1706" s="133" t="str">
        <f t="shared" si="52"/>
        <v>1200000052PUL-53306 AC EX CLEAR 05 VN</v>
      </c>
      <c r="F1706" s="133" t="s">
        <v>3211</v>
      </c>
      <c r="G1706" s="133" t="s">
        <v>3879</v>
      </c>
      <c r="H1706" s="133">
        <f>VLOOKUP(G1706,'packing mapping'!A:B,2,0)</f>
        <v>20</v>
      </c>
      <c r="I1706" s="137">
        <v>3293400</v>
      </c>
      <c r="J1706" s="132">
        <f t="shared" si="53"/>
        <v>164670</v>
      </c>
    </row>
    <row r="1707" spans="1:10">
      <c r="A1707" s="115" t="s">
        <v>193</v>
      </c>
      <c r="B1707" s="115" t="s">
        <v>194</v>
      </c>
      <c r="C1707" s="115" t="s">
        <v>1396</v>
      </c>
      <c r="D1707" s="115" t="s">
        <v>1397</v>
      </c>
      <c r="E1707" s="133" t="str">
        <f t="shared" si="52"/>
        <v>1200000052PUL-53306 AC EX CLEAR 10 VN</v>
      </c>
      <c r="F1707" s="133" t="s">
        <v>3148</v>
      </c>
      <c r="G1707" s="133" t="s">
        <v>3879</v>
      </c>
      <c r="H1707" s="133">
        <f>VLOOKUP(G1707,'packing mapping'!A:B,2,0)</f>
        <v>20</v>
      </c>
      <c r="I1707" s="137">
        <v>2792000</v>
      </c>
      <c r="J1707" s="132">
        <f t="shared" si="53"/>
        <v>139600</v>
      </c>
    </row>
    <row r="1708" spans="1:10">
      <c r="A1708" s="115" t="s">
        <v>193</v>
      </c>
      <c r="B1708" s="115" t="s">
        <v>194</v>
      </c>
      <c r="C1708" s="115" t="s">
        <v>1212</v>
      </c>
      <c r="D1708" s="115" t="s">
        <v>1213</v>
      </c>
      <c r="E1708" s="133" t="str">
        <f t="shared" si="52"/>
        <v>1200000052PUL-53306 AC EX CLEAR 20 VN</v>
      </c>
      <c r="F1708" s="133" t="s">
        <v>3060</v>
      </c>
      <c r="G1708" s="133" t="s">
        <v>3879</v>
      </c>
      <c r="H1708" s="133">
        <f>VLOOKUP(G1708,'packing mapping'!A:B,2,0)</f>
        <v>20</v>
      </c>
      <c r="I1708" s="137">
        <v>2847000</v>
      </c>
      <c r="J1708" s="132">
        <f t="shared" si="53"/>
        <v>142350</v>
      </c>
    </row>
    <row r="1709" spans="1:10">
      <c r="A1709" s="115" t="s">
        <v>193</v>
      </c>
      <c r="B1709" s="115" t="s">
        <v>194</v>
      </c>
      <c r="C1709" s="115" t="s">
        <v>1474</v>
      </c>
      <c r="D1709" s="115" t="s">
        <v>1475</v>
      </c>
      <c r="E1709" s="133" t="str">
        <f t="shared" si="52"/>
        <v>1200000052PUL-53306 AC EX CLEAR 30 VN</v>
      </c>
      <c r="F1709" s="133" t="s">
        <v>3183</v>
      </c>
      <c r="G1709" s="133" t="s">
        <v>3879</v>
      </c>
      <c r="H1709" s="133">
        <f>VLOOKUP(G1709,'packing mapping'!A:B,2,0)</f>
        <v>20</v>
      </c>
      <c r="I1709" s="137">
        <v>3013800</v>
      </c>
      <c r="J1709" s="132">
        <f t="shared" si="53"/>
        <v>150690</v>
      </c>
    </row>
    <row r="1710" spans="1:10">
      <c r="A1710" s="115" t="s">
        <v>193</v>
      </c>
      <c r="B1710" s="115" t="s">
        <v>194</v>
      </c>
      <c r="C1710" s="115" t="s">
        <v>1878</v>
      </c>
      <c r="D1710" s="115" t="s">
        <v>1879</v>
      </c>
      <c r="E1710" s="133" t="str">
        <f t="shared" si="52"/>
        <v>1200000052PUL-53306 AC EX CLEAR 40 VN</v>
      </c>
      <c r="F1710" s="133" t="s">
        <v>3362</v>
      </c>
      <c r="G1710" s="133" t="s">
        <v>3879</v>
      </c>
      <c r="H1710" s="133">
        <f>VLOOKUP(G1710,'packing mapping'!A:B,2,0)</f>
        <v>20</v>
      </c>
      <c r="I1710" s="137">
        <v>3304200</v>
      </c>
      <c r="J1710" s="132">
        <f t="shared" si="53"/>
        <v>165210</v>
      </c>
    </row>
    <row r="1711" spans="1:10">
      <c r="A1711" s="115" t="s">
        <v>193</v>
      </c>
      <c r="B1711" s="115" t="s">
        <v>194</v>
      </c>
      <c r="C1711" s="115" t="s">
        <v>1216</v>
      </c>
      <c r="D1711" s="115" t="s">
        <v>1217</v>
      </c>
      <c r="E1711" s="133" t="str">
        <f t="shared" si="52"/>
        <v>1200000052PUL-53306 AC EX CLEAR 90 VN</v>
      </c>
      <c r="F1711" s="133" t="s">
        <v>3062</v>
      </c>
      <c r="G1711" s="133" t="s">
        <v>3879</v>
      </c>
      <c r="H1711" s="133">
        <f>VLOOKUP(G1711,'packing mapping'!A:B,2,0)</f>
        <v>20</v>
      </c>
      <c r="I1711" s="137">
        <v>2362200</v>
      </c>
      <c r="J1711" s="132">
        <f t="shared" si="53"/>
        <v>118110</v>
      </c>
    </row>
    <row r="1712" spans="1:10">
      <c r="A1712" s="115" t="s">
        <v>193</v>
      </c>
      <c r="B1712" s="115" t="s">
        <v>194</v>
      </c>
      <c r="C1712" s="115" t="s">
        <v>1476</v>
      </c>
      <c r="D1712" s="115" t="s">
        <v>1477</v>
      </c>
      <c r="E1712" s="133" t="str">
        <f t="shared" si="52"/>
        <v>1200000052PUP-52141 WHITE 01 VN</v>
      </c>
      <c r="F1712" s="133" t="s">
        <v>3184</v>
      </c>
      <c r="G1712" s="133" t="s">
        <v>3881</v>
      </c>
      <c r="H1712" s="133">
        <f>VLOOKUP(G1712,'packing mapping'!A:B,2,0)</f>
        <v>20</v>
      </c>
      <c r="I1712" s="137">
        <v>2242600</v>
      </c>
      <c r="J1712" s="132">
        <f t="shared" si="53"/>
        <v>112130</v>
      </c>
    </row>
    <row r="1713" spans="1:10">
      <c r="A1713" s="115" t="s">
        <v>193</v>
      </c>
      <c r="B1713" s="115" t="s">
        <v>194</v>
      </c>
      <c r="C1713" s="115" t="s">
        <v>1478</v>
      </c>
      <c r="D1713" s="115" t="s">
        <v>1479</v>
      </c>
      <c r="E1713" s="133" t="str">
        <f t="shared" si="52"/>
        <v>1200000052PUSS-51241 VN</v>
      </c>
      <c r="F1713" s="133" t="s">
        <v>3185</v>
      </c>
      <c r="G1713" s="133" t="s">
        <v>3881</v>
      </c>
      <c r="H1713" s="133">
        <f>VLOOKUP(G1713,'packing mapping'!A:B,2,0)</f>
        <v>20</v>
      </c>
      <c r="I1713" s="137">
        <v>1889800</v>
      </c>
      <c r="J1713" s="132">
        <f t="shared" si="53"/>
        <v>94490</v>
      </c>
    </row>
    <row r="1714" spans="1:10">
      <c r="A1714" s="115" t="s">
        <v>193</v>
      </c>
      <c r="B1714" s="115" t="s">
        <v>194</v>
      </c>
      <c r="C1714" s="115" t="s">
        <v>1218</v>
      </c>
      <c r="D1714" s="115" t="s">
        <v>1219</v>
      </c>
      <c r="E1714" s="133" t="str">
        <f t="shared" si="52"/>
        <v>1200000052PUSS-53206 AC EX VN</v>
      </c>
      <c r="F1714" s="133" t="s">
        <v>3063</v>
      </c>
      <c r="G1714" s="133" t="s">
        <v>3881</v>
      </c>
      <c r="H1714" s="133">
        <f>VLOOKUP(G1714,'packing mapping'!A:B,2,0)</f>
        <v>20</v>
      </c>
      <c r="I1714" s="137">
        <v>2209000</v>
      </c>
      <c r="J1714" s="132">
        <f t="shared" si="53"/>
        <v>110450</v>
      </c>
    </row>
    <row r="1715" spans="1:10">
      <c r="A1715" s="115" t="s">
        <v>193</v>
      </c>
      <c r="B1715" s="115" t="s">
        <v>194</v>
      </c>
      <c r="C1715" s="115" t="s">
        <v>1220</v>
      </c>
      <c r="D1715" s="115" t="s">
        <v>1221</v>
      </c>
      <c r="E1715" s="133" t="str">
        <f t="shared" si="52"/>
        <v>1200000052SST-11100 C10 BLACK</v>
      </c>
      <c r="F1715" s="133" t="s">
        <v>3064</v>
      </c>
      <c r="G1715" s="133" t="s">
        <v>3883</v>
      </c>
      <c r="H1715" s="133">
        <f>VLOOKUP(G1715,'packing mapping'!A:B,2,0)</f>
        <v>4</v>
      </c>
      <c r="I1715" s="137">
        <v>1144200</v>
      </c>
      <c r="J1715" s="132">
        <f t="shared" si="53"/>
        <v>286050</v>
      </c>
    </row>
    <row r="1716" spans="1:10">
      <c r="A1716" s="115" t="s">
        <v>193</v>
      </c>
      <c r="B1716" s="115" t="s">
        <v>194</v>
      </c>
      <c r="C1716" s="115" t="s">
        <v>1222</v>
      </c>
      <c r="D1716" s="115" t="s">
        <v>1223</v>
      </c>
      <c r="E1716" s="133" t="str">
        <f t="shared" si="52"/>
        <v>1200000052SST-11100 C10 BLUE</v>
      </c>
      <c r="F1716" s="133" t="s">
        <v>3065</v>
      </c>
      <c r="G1716" s="133" t="s">
        <v>3883</v>
      </c>
      <c r="H1716" s="133">
        <f>VLOOKUP(G1716,'packing mapping'!A:B,2,0)</f>
        <v>4</v>
      </c>
      <c r="I1716" s="137">
        <v>2026840</v>
      </c>
      <c r="J1716" s="132">
        <f t="shared" si="53"/>
        <v>506710</v>
      </c>
    </row>
    <row r="1717" spans="1:10">
      <c r="A1717" s="115" t="s">
        <v>193</v>
      </c>
      <c r="B1717" s="115" t="s">
        <v>194</v>
      </c>
      <c r="C1717" s="115" t="s">
        <v>1224</v>
      </c>
      <c r="D1717" s="115" t="s">
        <v>1225</v>
      </c>
      <c r="E1717" s="133" t="str">
        <f t="shared" si="52"/>
        <v>1200000052SST-11100 C10 ORANGE</v>
      </c>
      <c r="F1717" s="133" t="s">
        <v>3066</v>
      </c>
      <c r="G1717" s="133" t="s">
        <v>3883</v>
      </c>
      <c r="H1717" s="133">
        <f>VLOOKUP(G1717,'packing mapping'!A:B,2,0)</f>
        <v>4</v>
      </c>
      <c r="I1717" s="137">
        <v>923920</v>
      </c>
      <c r="J1717" s="132">
        <f t="shared" si="53"/>
        <v>230980</v>
      </c>
    </row>
    <row r="1718" spans="1:10">
      <c r="A1718" s="115" t="s">
        <v>193</v>
      </c>
      <c r="B1718" s="115" t="s">
        <v>194</v>
      </c>
      <c r="C1718" s="115" t="s">
        <v>1226</v>
      </c>
      <c r="D1718" s="115" t="s">
        <v>1227</v>
      </c>
      <c r="E1718" s="133" t="str">
        <f t="shared" si="52"/>
        <v>1200000052SST-11100 C10 RED</v>
      </c>
      <c r="F1718" s="133" t="s">
        <v>3067</v>
      </c>
      <c r="G1718" s="133" t="s">
        <v>3883</v>
      </c>
      <c r="H1718" s="133">
        <f>VLOOKUP(G1718,'packing mapping'!A:B,2,0)</f>
        <v>4</v>
      </c>
      <c r="I1718" s="137">
        <v>1186800</v>
      </c>
      <c r="J1718" s="132">
        <f t="shared" si="53"/>
        <v>296700</v>
      </c>
    </row>
    <row r="1719" spans="1:10">
      <c r="A1719" s="115" t="s">
        <v>193</v>
      </c>
      <c r="B1719" s="115" t="s">
        <v>194</v>
      </c>
      <c r="C1719" s="115" t="s">
        <v>1228</v>
      </c>
      <c r="D1719" s="115" t="s">
        <v>1229</v>
      </c>
      <c r="E1719" s="133" t="str">
        <f t="shared" si="52"/>
        <v>1200000052SST-11100 C10 YELLOW</v>
      </c>
      <c r="F1719" s="133" t="s">
        <v>3068</v>
      </c>
      <c r="G1719" s="133" t="s">
        <v>3883</v>
      </c>
      <c r="H1719" s="133">
        <f>VLOOKUP(G1719,'packing mapping'!A:B,2,0)</f>
        <v>4</v>
      </c>
      <c r="I1719" s="137">
        <v>928400</v>
      </c>
      <c r="J1719" s="132">
        <f t="shared" si="53"/>
        <v>232100</v>
      </c>
    </row>
    <row r="1720" spans="1:10">
      <c r="A1720" s="115" t="s">
        <v>193</v>
      </c>
      <c r="B1720" s="115" t="s">
        <v>194</v>
      </c>
      <c r="C1720" s="115" t="s">
        <v>1398</v>
      </c>
      <c r="D1720" s="115" t="s">
        <v>1399</v>
      </c>
      <c r="E1720" s="133" t="str">
        <f t="shared" si="52"/>
        <v>1200000052THC-73100 402 VN</v>
      </c>
      <c r="F1720" s="133" t="s">
        <v>3149</v>
      </c>
      <c r="G1720" s="133" t="s">
        <v>3884</v>
      </c>
      <c r="H1720" s="133">
        <f>VLOOKUP(G1720,'packing mapping'!A:B,2,0)</f>
        <v>200</v>
      </c>
      <c r="I1720" s="137">
        <v>10682000</v>
      </c>
      <c r="J1720" s="132">
        <f t="shared" si="53"/>
        <v>53410</v>
      </c>
    </row>
    <row r="1721" spans="1:10">
      <c r="A1721" s="115" t="s">
        <v>193</v>
      </c>
      <c r="B1721" s="115" t="s">
        <v>194</v>
      </c>
      <c r="C1721" s="115" t="s">
        <v>1682</v>
      </c>
      <c r="D1721" s="115" t="s">
        <v>1683</v>
      </c>
      <c r="E1721" s="133" t="str">
        <f t="shared" si="52"/>
        <v>1200000052THC-73100 402 VN</v>
      </c>
      <c r="F1721" s="133" t="s">
        <v>3149</v>
      </c>
      <c r="G1721" s="133" t="s">
        <v>3880</v>
      </c>
      <c r="H1721" s="133">
        <f>VLOOKUP(G1721,'packing mapping'!A:B,2,0)</f>
        <v>20</v>
      </c>
      <c r="I1721" s="137">
        <v>1109000</v>
      </c>
      <c r="J1721" s="132">
        <f t="shared" si="53"/>
        <v>55450</v>
      </c>
    </row>
    <row r="1722" spans="1:10">
      <c r="A1722" s="115" t="s">
        <v>193</v>
      </c>
      <c r="B1722" s="115" t="s">
        <v>194</v>
      </c>
      <c r="C1722" s="115" t="s">
        <v>1402</v>
      </c>
      <c r="D1722" s="115" t="s">
        <v>1403</v>
      </c>
      <c r="E1722" s="133" t="str">
        <f t="shared" si="52"/>
        <v>1200000052THC-73100-007 VN</v>
      </c>
      <c r="F1722" s="133" t="s">
        <v>3150</v>
      </c>
      <c r="G1722" s="133" t="s">
        <v>3880</v>
      </c>
      <c r="H1722" s="133">
        <f>VLOOKUP(G1722,'packing mapping'!A:B,2,0)</f>
        <v>20</v>
      </c>
      <c r="I1722" s="137">
        <v>1397400</v>
      </c>
      <c r="J1722" s="132">
        <f t="shared" si="53"/>
        <v>69870</v>
      </c>
    </row>
    <row r="1723" spans="1:10">
      <c r="A1723" s="115" t="s">
        <v>193</v>
      </c>
      <c r="B1723" s="115" t="s">
        <v>194</v>
      </c>
      <c r="C1723" s="115" t="s">
        <v>2606</v>
      </c>
      <c r="D1723" s="115" t="s">
        <v>2607</v>
      </c>
      <c r="E1723" s="133" t="str">
        <f t="shared" si="52"/>
        <v>1200000052THC-73100-1103 KD VN</v>
      </c>
      <c r="F1723" s="133" t="s">
        <v>3506</v>
      </c>
      <c r="G1723" s="133" t="s">
        <v>3880</v>
      </c>
      <c r="H1723" s="133">
        <f>VLOOKUP(G1723,'packing mapping'!A:B,2,0)</f>
        <v>20</v>
      </c>
      <c r="I1723" s="137">
        <v>777000</v>
      </c>
      <c r="J1723" s="132">
        <f t="shared" si="53"/>
        <v>38850</v>
      </c>
    </row>
    <row r="1724" spans="1:10">
      <c r="A1724" s="115" t="s">
        <v>193</v>
      </c>
      <c r="B1724" s="115" t="s">
        <v>194</v>
      </c>
      <c r="C1724" s="115" t="s">
        <v>1232</v>
      </c>
      <c r="D1724" s="115" t="s">
        <v>1233</v>
      </c>
      <c r="E1724" s="133" t="str">
        <f t="shared" si="52"/>
        <v>1200000052THC-73100-201 VN</v>
      </c>
      <c r="F1724" s="133" t="s">
        <v>3070</v>
      </c>
      <c r="G1724" s="133" t="s">
        <v>3880</v>
      </c>
      <c r="H1724" s="133">
        <f>VLOOKUP(G1724,'packing mapping'!A:B,2,0)</f>
        <v>20</v>
      </c>
      <c r="I1724" s="137">
        <v>1250200</v>
      </c>
      <c r="J1724" s="132">
        <f t="shared" si="53"/>
        <v>62510</v>
      </c>
    </row>
    <row r="1725" spans="1:10">
      <c r="A1725" s="115" t="s">
        <v>193</v>
      </c>
      <c r="B1725" s="115" t="s">
        <v>194</v>
      </c>
      <c r="C1725" s="115" t="s">
        <v>1738</v>
      </c>
      <c r="D1725" s="115" t="s">
        <v>1739</v>
      </c>
      <c r="E1725" s="133" t="str">
        <f t="shared" si="52"/>
        <v>1200000052THC-73100-452 VN</v>
      </c>
      <c r="F1725" s="133" t="s">
        <v>3302</v>
      </c>
      <c r="G1725" s="133" t="s">
        <v>3880</v>
      </c>
      <c r="H1725" s="133">
        <f>VLOOKUP(G1725,'packing mapping'!A:B,2,0)</f>
        <v>20</v>
      </c>
      <c r="I1725" s="137">
        <v>2365400</v>
      </c>
      <c r="J1725" s="132">
        <f t="shared" si="53"/>
        <v>118270</v>
      </c>
    </row>
    <row r="1726" spans="1:10">
      <c r="A1726" s="115" t="s">
        <v>193</v>
      </c>
      <c r="B1726" s="115" t="s">
        <v>194</v>
      </c>
      <c r="C1726" s="115" t="s">
        <v>1238</v>
      </c>
      <c r="D1726" s="115" t="s">
        <v>1239</v>
      </c>
      <c r="E1726" s="133" t="str">
        <f t="shared" si="52"/>
        <v>1200000052THGZ-72200 VN</v>
      </c>
      <c r="F1726" s="133" t="s">
        <v>3073</v>
      </c>
      <c r="G1726" s="133" t="s">
        <v>3880</v>
      </c>
      <c r="H1726" s="133">
        <f>VLOOKUP(G1726,'packing mapping'!A:B,2,0)</f>
        <v>20</v>
      </c>
      <c r="I1726" s="137">
        <v>1446200</v>
      </c>
      <c r="J1726" s="132">
        <f t="shared" si="53"/>
        <v>72310</v>
      </c>
    </row>
    <row r="1727" spans="1:10">
      <c r="A1727" s="115" t="s">
        <v>193</v>
      </c>
      <c r="B1727" s="115" t="s">
        <v>194</v>
      </c>
      <c r="C1727" s="115" t="s">
        <v>1482</v>
      </c>
      <c r="D1727" s="115" t="s">
        <v>1483</v>
      </c>
      <c r="E1727" s="133" t="str">
        <f t="shared" si="52"/>
        <v>1200000052THNC-71100 SD VN</v>
      </c>
      <c r="F1727" s="133" t="s">
        <v>3074</v>
      </c>
      <c r="G1727" s="133" t="s">
        <v>3880</v>
      </c>
      <c r="H1727" s="133">
        <f>VLOOKUP(G1727,'packing mapping'!A:B,2,0)</f>
        <v>20</v>
      </c>
      <c r="I1727" s="137">
        <v>1166600</v>
      </c>
      <c r="J1727" s="132">
        <f t="shared" si="53"/>
        <v>58330</v>
      </c>
    </row>
    <row r="1728" spans="1:10">
      <c r="A1728" s="115" t="s">
        <v>193</v>
      </c>
      <c r="B1728" s="115" t="s">
        <v>194</v>
      </c>
      <c r="C1728" s="115" t="s">
        <v>2198</v>
      </c>
      <c r="D1728" s="115" t="s">
        <v>2199</v>
      </c>
      <c r="E1728" s="133" t="str">
        <f t="shared" si="52"/>
        <v>1200000052THPU-71306 VN</v>
      </c>
      <c r="F1728" s="133" t="s">
        <v>3513</v>
      </c>
      <c r="G1728" s="133" t="s">
        <v>3884</v>
      </c>
      <c r="H1728" s="133">
        <f>VLOOKUP(G1728,'packing mapping'!A:B,2,0)</f>
        <v>200</v>
      </c>
      <c r="I1728" s="137">
        <v>11666000</v>
      </c>
      <c r="J1728" s="132">
        <f t="shared" si="53"/>
        <v>58330</v>
      </c>
    </row>
    <row r="1729" spans="1:10">
      <c r="A1729" s="115" t="s">
        <v>193</v>
      </c>
      <c r="B1729" s="115" t="s">
        <v>194</v>
      </c>
      <c r="C1729" s="115" t="s">
        <v>2608</v>
      </c>
      <c r="D1729" s="115" t="s">
        <v>2609</v>
      </c>
      <c r="E1729" s="133" t="str">
        <f t="shared" si="52"/>
        <v>1200000052THPU-71306 VN</v>
      </c>
      <c r="F1729" s="133" t="s">
        <v>3513</v>
      </c>
      <c r="G1729" s="133" t="s">
        <v>3880</v>
      </c>
      <c r="H1729" s="133">
        <f>VLOOKUP(G1729,'packing mapping'!A:B,2,0)</f>
        <v>20</v>
      </c>
      <c r="I1729" s="137">
        <v>1205000</v>
      </c>
      <c r="J1729" s="132">
        <f t="shared" si="53"/>
        <v>60250</v>
      </c>
    </row>
    <row r="1730" spans="1:10">
      <c r="A1730" s="115" t="s">
        <v>193</v>
      </c>
      <c r="B1730" s="115" t="s">
        <v>194</v>
      </c>
      <c r="C1730" s="115" t="s">
        <v>1246</v>
      </c>
      <c r="D1730" s="115" t="s">
        <v>1247</v>
      </c>
      <c r="E1730" s="133" t="str">
        <f t="shared" si="52"/>
        <v>1200000052UVX-03300 VN</v>
      </c>
      <c r="F1730" s="133" t="s">
        <v>3076</v>
      </c>
      <c r="G1730" s="133" t="s">
        <v>3886</v>
      </c>
      <c r="H1730" s="133">
        <f>VLOOKUP(G1730,'packing mapping'!A:B,2,0)</f>
        <v>5</v>
      </c>
      <c r="I1730" s="137">
        <v>4294250</v>
      </c>
      <c r="J1730" s="132">
        <f t="shared" si="53"/>
        <v>858850</v>
      </c>
    </row>
    <row r="1731" spans="1:10">
      <c r="A1731" s="115" t="s">
        <v>193</v>
      </c>
      <c r="B1731" s="115" t="s">
        <v>194</v>
      </c>
      <c r="C1731" s="115" t="s">
        <v>1484</v>
      </c>
      <c r="D1731" s="115" t="s">
        <v>1485</v>
      </c>
      <c r="E1731" s="133" t="str">
        <f t="shared" ref="E1731:E1794" si="54">A1731&amp;F1731</f>
        <v>1200000052AP-98200 NLT 01 VN</v>
      </c>
      <c r="F1731" s="133" t="s">
        <v>3186</v>
      </c>
      <c r="G1731" s="133" t="s">
        <v>3894</v>
      </c>
      <c r="H1731" s="133">
        <f>VLOOKUP(G1731,'packing mapping'!A:B,2,0)</f>
        <v>1</v>
      </c>
      <c r="I1731" s="137">
        <v>1872050</v>
      </c>
      <c r="J1731" s="132">
        <f t="shared" ref="J1731:J1794" si="55">I1731/H1731</f>
        <v>1872050</v>
      </c>
    </row>
    <row r="1732" spans="1:10">
      <c r="A1732" s="115" t="s">
        <v>193</v>
      </c>
      <c r="B1732" s="115" t="s">
        <v>194</v>
      </c>
      <c r="C1732" s="115" t="s">
        <v>1404</v>
      </c>
      <c r="D1732" s="115" t="s">
        <v>1405</v>
      </c>
      <c r="E1732" s="133" t="str">
        <f t="shared" si="54"/>
        <v>1200000052PP-98100 PEARL 111 VN</v>
      </c>
      <c r="F1732" s="133" t="s">
        <v>3151</v>
      </c>
      <c r="G1732" s="133" t="s">
        <v>3894</v>
      </c>
      <c r="H1732" s="133">
        <f>VLOOKUP(G1732,'packing mapping'!A:B,2,0)</f>
        <v>1</v>
      </c>
      <c r="I1732" s="137">
        <v>677070</v>
      </c>
      <c r="J1732" s="132">
        <f t="shared" si="55"/>
        <v>677070</v>
      </c>
    </row>
    <row r="1733" spans="1:10">
      <c r="A1733" s="115" t="s">
        <v>193</v>
      </c>
      <c r="B1733" s="115" t="s">
        <v>194</v>
      </c>
      <c r="C1733" s="115" t="s">
        <v>2610</v>
      </c>
      <c r="D1733" s="115" t="s">
        <v>2611</v>
      </c>
      <c r="E1733" s="133" t="str">
        <f t="shared" si="54"/>
        <v>1200000052AKS-71100 WP NATURAL VN</v>
      </c>
      <c r="F1733" s="133" t="s">
        <v>3678</v>
      </c>
      <c r="G1733" s="133" t="s">
        <v>3881</v>
      </c>
      <c r="H1733" s="133">
        <f>VLOOKUP(G1733,'packing mapping'!A:B,2,0)</f>
        <v>20</v>
      </c>
      <c r="I1733" s="137">
        <v>1272400</v>
      </c>
      <c r="J1733" s="132">
        <f t="shared" si="55"/>
        <v>63620</v>
      </c>
    </row>
    <row r="1734" spans="1:10">
      <c r="A1734" s="115" t="s">
        <v>193</v>
      </c>
      <c r="B1734" s="115" t="s">
        <v>194</v>
      </c>
      <c r="C1734" s="115" t="s">
        <v>1248</v>
      </c>
      <c r="D1734" s="115" t="s">
        <v>1249</v>
      </c>
      <c r="E1734" s="133" t="str">
        <f t="shared" si="54"/>
        <v>1200000052MEPH-12003 PS VN</v>
      </c>
      <c r="F1734" s="133" t="s">
        <v>3077</v>
      </c>
      <c r="G1734" s="133" t="s">
        <v>3887</v>
      </c>
      <c r="H1734" s="133">
        <f>VLOOKUP(G1734,'packing mapping'!A:B,2,0)</f>
        <v>2</v>
      </c>
      <c r="I1734" s="137">
        <v>300240</v>
      </c>
      <c r="J1734" s="132">
        <f t="shared" si="55"/>
        <v>150120</v>
      </c>
    </row>
    <row r="1735" spans="1:10">
      <c r="A1735" s="115" t="s">
        <v>193</v>
      </c>
      <c r="B1735" s="115" t="s">
        <v>194</v>
      </c>
      <c r="C1735" s="115" t="s">
        <v>1888</v>
      </c>
      <c r="D1735" s="115" t="s">
        <v>1889</v>
      </c>
      <c r="E1735" s="133" t="str">
        <f t="shared" si="54"/>
        <v>1200000052PUH-56303 NY VN</v>
      </c>
      <c r="F1735" s="133" t="s">
        <v>3366</v>
      </c>
      <c r="G1735" s="133" t="s">
        <v>3883</v>
      </c>
      <c r="H1735" s="133">
        <f>VLOOKUP(G1735,'packing mapping'!A:B,2,0)</f>
        <v>4</v>
      </c>
      <c r="I1735" s="137">
        <v>963000</v>
      </c>
      <c r="J1735" s="132">
        <f t="shared" si="55"/>
        <v>240750</v>
      </c>
    </row>
    <row r="1736" spans="1:10">
      <c r="A1736" s="115" t="s">
        <v>193</v>
      </c>
      <c r="B1736" s="115" t="s">
        <v>194</v>
      </c>
      <c r="C1736" s="115" t="s">
        <v>1250</v>
      </c>
      <c r="D1736" s="115" t="s">
        <v>1251</v>
      </c>
      <c r="E1736" s="133" t="str">
        <f t="shared" si="54"/>
        <v>1200000052MPULH-13700 PS VN</v>
      </c>
      <c r="F1736" s="133" t="s">
        <v>3078</v>
      </c>
      <c r="G1736" s="133" t="s">
        <v>3883</v>
      </c>
      <c r="H1736" s="133">
        <f>VLOOKUP(G1736,'packing mapping'!A:B,2,0)</f>
        <v>4</v>
      </c>
      <c r="I1736" s="137">
        <v>864840</v>
      </c>
      <c r="J1736" s="132">
        <f t="shared" si="55"/>
        <v>216210</v>
      </c>
    </row>
    <row r="1737" spans="1:10">
      <c r="A1737" s="115" t="s">
        <v>193</v>
      </c>
      <c r="B1737" s="115" t="s">
        <v>194</v>
      </c>
      <c r="C1737" s="115" t="s">
        <v>1252</v>
      </c>
      <c r="D1737" s="115" t="s">
        <v>1253</v>
      </c>
      <c r="E1737" s="133" t="str">
        <f t="shared" si="54"/>
        <v>1200000052SPE-9110 CRACKING VN</v>
      </c>
      <c r="F1737" s="133" t="s">
        <v>3079</v>
      </c>
      <c r="G1737" s="133" t="s">
        <v>3888</v>
      </c>
      <c r="H1737" s="133">
        <f>VLOOKUP(G1737,'packing mapping'!A:B,2,0)</f>
        <v>4</v>
      </c>
      <c r="I1737" s="137">
        <v>540240</v>
      </c>
      <c r="J1737" s="132">
        <f t="shared" si="55"/>
        <v>135060</v>
      </c>
    </row>
    <row r="1738" spans="1:10">
      <c r="A1738" s="115" t="s">
        <v>193</v>
      </c>
      <c r="B1738" s="115" t="s">
        <v>194</v>
      </c>
      <c r="C1738" s="115" t="s">
        <v>1256</v>
      </c>
      <c r="D1738" s="115" t="s">
        <v>1257</v>
      </c>
      <c r="E1738" s="133" t="str">
        <f t="shared" si="54"/>
        <v>1200000052DC-12223 LC WHITE 01 05 VN</v>
      </c>
      <c r="F1738" s="133" t="s">
        <v>3081</v>
      </c>
      <c r="G1738" s="133" t="s">
        <v>3882</v>
      </c>
      <c r="H1738" s="133">
        <f>VLOOKUP(G1738,'packing mapping'!A:B,2,0)</f>
        <v>18</v>
      </c>
      <c r="I1738" s="137">
        <v>3407760</v>
      </c>
      <c r="J1738" s="132">
        <f t="shared" si="55"/>
        <v>189320</v>
      </c>
    </row>
    <row r="1739" spans="1:10">
      <c r="A1739" s="115" t="s">
        <v>193</v>
      </c>
      <c r="B1739" s="115" t="s">
        <v>194</v>
      </c>
      <c r="C1739" s="115" t="s">
        <v>1258</v>
      </c>
      <c r="D1739" s="115" t="s">
        <v>1259</v>
      </c>
      <c r="E1739" s="133" t="str">
        <f t="shared" si="54"/>
        <v>1200000052DP-12123 LC WHITE 01 VN</v>
      </c>
      <c r="F1739" s="133" t="s">
        <v>3082</v>
      </c>
      <c r="G1739" s="133" t="s">
        <v>3881</v>
      </c>
      <c r="H1739" s="133">
        <f>VLOOKUP(G1739,'packing mapping'!A:B,2,0)</f>
        <v>20</v>
      </c>
      <c r="I1739" s="137">
        <v>2804800</v>
      </c>
      <c r="J1739" s="132">
        <f t="shared" si="55"/>
        <v>140240</v>
      </c>
    </row>
    <row r="1740" spans="1:10">
      <c r="A1740" s="115" t="s">
        <v>193</v>
      </c>
      <c r="B1740" s="115" t="s">
        <v>194</v>
      </c>
      <c r="C1740" s="115" t="s">
        <v>1172</v>
      </c>
      <c r="D1740" s="115" t="s">
        <v>1173</v>
      </c>
      <c r="E1740" s="133" t="str">
        <f t="shared" si="54"/>
        <v>1200000052PUH-56135 S VN</v>
      </c>
      <c r="F1740" s="133" t="s">
        <v>3040</v>
      </c>
      <c r="G1740" s="133" t="s">
        <v>3881</v>
      </c>
      <c r="H1740" s="133">
        <f>VLOOKUP(G1740,'packing mapping'!A:B,2,0)</f>
        <v>20</v>
      </c>
      <c r="I1740" s="137">
        <v>2432000</v>
      </c>
      <c r="J1740" s="132">
        <f t="shared" si="55"/>
        <v>121600</v>
      </c>
    </row>
    <row r="1741" spans="1:10">
      <c r="A1741" s="115" t="s">
        <v>193</v>
      </c>
      <c r="B1741" s="115" t="s">
        <v>194</v>
      </c>
      <c r="C1741" s="115" t="s">
        <v>1292</v>
      </c>
      <c r="D1741" s="115" t="s">
        <v>1293</v>
      </c>
      <c r="E1741" s="133" t="str">
        <f t="shared" si="54"/>
        <v>1200000052PUP-52135 WHITE VN</v>
      </c>
      <c r="F1741" s="133" t="s">
        <v>3098</v>
      </c>
      <c r="G1741" s="133" t="s">
        <v>3881</v>
      </c>
      <c r="H1741" s="133">
        <f>VLOOKUP(G1741,'packing mapping'!A:B,2,0)</f>
        <v>20</v>
      </c>
      <c r="I1741" s="137">
        <v>2229400</v>
      </c>
      <c r="J1741" s="132">
        <f t="shared" si="55"/>
        <v>111470</v>
      </c>
    </row>
    <row r="1742" spans="1:10">
      <c r="A1742" s="115" t="s">
        <v>193</v>
      </c>
      <c r="B1742" s="115" t="s">
        <v>194</v>
      </c>
      <c r="C1742" s="115" t="s">
        <v>1558</v>
      </c>
      <c r="D1742" s="115" t="s">
        <v>1559</v>
      </c>
      <c r="E1742" s="133" t="str">
        <f t="shared" si="54"/>
        <v>1200000052PUP-54111 AC WHITE VN</v>
      </c>
      <c r="F1742" s="133" t="s">
        <v>3218</v>
      </c>
      <c r="G1742" s="133" t="s">
        <v>3881</v>
      </c>
      <c r="H1742" s="133">
        <f>VLOOKUP(G1742,'packing mapping'!A:B,2,0)</f>
        <v>20</v>
      </c>
      <c r="I1742" s="137">
        <v>3279000</v>
      </c>
      <c r="J1742" s="132">
        <f t="shared" si="55"/>
        <v>163950</v>
      </c>
    </row>
    <row r="1743" spans="1:10">
      <c r="A1743" s="115" t="s">
        <v>193</v>
      </c>
      <c r="B1743" s="115" t="s">
        <v>194</v>
      </c>
      <c r="C1743" s="115" t="s">
        <v>1296</v>
      </c>
      <c r="D1743" s="115" t="s">
        <v>1297</v>
      </c>
      <c r="E1743" s="133" t="str">
        <f t="shared" si="54"/>
        <v>1200000052RD-74106 VN</v>
      </c>
      <c r="F1743" s="133" t="s">
        <v>3099</v>
      </c>
      <c r="G1743" s="133" t="s">
        <v>3880</v>
      </c>
      <c r="H1743" s="133">
        <f>VLOOKUP(G1743,'packing mapping'!A:B,2,0)</f>
        <v>20</v>
      </c>
      <c r="I1743" s="137">
        <v>1313800</v>
      </c>
      <c r="J1743" s="132">
        <f t="shared" si="55"/>
        <v>65690</v>
      </c>
    </row>
    <row r="1744" spans="1:10">
      <c r="A1744" s="115" t="s">
        <v>193</v>
      </c>
      <c r="B1744" s="115" t="s">
        <v>194</v>
      </c>
      <c r="C1744" s="115" t="s">
        <v>1298</v>
      </c>
      <c r="D1744" s="115" t="s">
        <v>1299</v>
      </c>
      <c r="E1744" s="133" t="str">
        <f t="shared" si="54"/>
        <v>1200000052PUP-52122 PUTTY VN</v>
      </c>
      <c r="F1744" s="133" t="s">
        <v>3100</v>
      </c>
      <c r="G1744" s="133" t="s">
        <v>3883</v>
      </c>
      <c r="H1744" s="133">
        <f>VLOOKUP(G1744,'packing mapping'!A:B,2,0)</f>
        <v>4</v>
      </c>
      <c r="I1744" s="137">
        <v>474520</v>
      </c>
      <c r="J1744" s="132">
        <f t="shared" si="55"/>
        <v>118630</v>
      </c>
    </row>
    <row r="1745" spans="1:10">
      <c r="A1745" s="115" t="s">
        <v>193</v>
      </c>
      <c r="B1745" s="115" t="s">
        <v>194</v>
      </c>
      <c r="C1745" s="115" t="s">
        <v>1300</v>
      </c>
      <c r="D1745" s="115" t="s">
        <v>1301</v>
      </c>
      <c r="E1745" s="133" t="str">
        <f t="shared" si="54"/>
        <v>1200000052GZPU-21500 BLACK VN</v>
      </c>
      <c r="F1745" s="133" t="s">
        <v>3101</v>
      </c>
      <c r="G1745" s="133" t="s">
        <v>3883</v>
      </c>
      <c r="H1745" s="133">
        <f>VLOOKUP(G1745,'packing mapping'!A:B,2,0)</f>
        <v>4</v>
      </c>
      <c r="I1745" s="137">
        <v>1210560</v>
      </c>
      <c r="J1745" s="132">
        <f t="shared" si="55"/>
        <v>302640</v>
      </c>
    </row>
    <row r="1746" spans="1:10">
      <c r="A1746" s="115" t="s">
        <v>193</v>
      </c>
      <c r="B1746" s="115" t="s">
        <v>194</v>
      </c>
      <c r="C1746" s="115" t="s">
        <v>1304</v>
      </c>
      <c r="D1746" s="115" t="s">
        <v>1305</v>
      </c>
      <c r="E1746" s="133" t="str">
        <f t="shared" si="54"/>
        <v>1200000052GZ-12700 N BLACK VN</v>
      </c>
      <c r="F1746" s="133" t="s">
        <v>3103</v>
      </c>
      <c r="G1746" s="133" t="s">
        <v>3883</v>
      </c>
      <c r="H1746" s="133">
        <f>VLOOKUP(G1746,'packing mapping'!A:B,2,0)</f>
        <v>4</v>
      </c>
      <c r="I1746" s="137">
        <v>760080</v>
      </c>
      <c r="J1746" s="132">
        <f t="shared" si="55"/>
        <v>190020</v>
      </c>
    </row>
    <row r="1747" spans="1:10">
      <c r="A1747" s="115" t="s">
        <v>193</v>
      </c>
      <c r="B1747" s="115" t="s">
        <v>194</v>
      </c>
      <c r="C1747" s="115" t="s">
        <v>1306</v>
      </c>
      <c r="D1747" s="115" t="s">
        <v>1307</v>
      </c>
      <c r="E1747" s="133" t="str">
        <f t="shared" si="54"/>
        <v>1200000052GZ-12700 N RED VN</v>
      </c>
      <c r="F1747" s="133" t="s">
        <v>3104</v>
      </c>
      <c r="G1747" s="133" t="s">
        <v>3883</v>
      </c>
      <c r="H1747" s="133">
        <f>VLOOKUP(G1747,'packing mapping'!A:B,2,0)</f>
        <v>4</v>
      </c>
      <c r="I1747" s="137">
        <v>1013000</v>
      </c>
      <c r="J1747" s="132">
        <f t="shared" si="55"/>
        <v>253250</v>
      </c>
    </row>
    <row r="1748" spans="1:10">
      <c r="A1748" s="115" t="s">
        <v>193</v>
      </c>
      <c r="B1748" s="115" t="s">
        <v>194</v>
      </c>
      <c r="C1748" s="115" t="s">
        <v>1308</v>
      </c>
      <c r="D1748" s="115" t="s">
        <v>1309</v>
      </c>
      <c r="E1748" s="133" t="str">
        <f t="shared" si="54"/>
        <v>1200000052GZ-12700 N YELLOW</v>
      </c>
      <c r="F1748" s="133" t="s">
        <v>3105</v>
      </c>
      <c r="G1748" s="133" t="s">
        <v>3883</v>
      </c>
      <c r="H1748" s="133">
        <f>VLOOKUP(G1748,'packing mapping'!A:B,2,0)</f>
        <v>4</v>
      </c>
      <c r="I1748" s="137">
        <v>1102640</v>
      </c>
      <c r="J1748" s="132">
        <f t="shared" si="55"/>
        <v>275660</v>
      </c>
    </row>
    <row r="1749" spans="1:10">
      <c r="A1749" s="115" t="s">
        <v>193</v>
      </c>
      <c r="B1749" s="115" t="s">
        <v>194</v>
      </c>
      <c r="C1749" s="115" t="s">
        <v>1310</v>
      </c>
      <c r="D1749" s="115" t="s">
        <v>1311</v>
      </c>
      <c r="E1749" s="133" t="str">
        <f t="shared" si="54"/>
        <v>1200000052GZPU-21500 RED VN</v>
      </c>
      <c r="F1749" s="133" t="s">
        <v>3106</v>
      </c>
      <c r="G1749" s="133" t="s">
        <v>3883</v>
      </c>
      <c r="H1749" s="133">
        <f>VLOOKUP(G1749,'packing mapping'!A:B,2,0)</f>
        <v>4</v>
      </c>
      <c r="I1749" s="137">
        <v>1614520</v>
      </c>
      <c r="J1749" s="132">
        <f t="shared" si="55"/>
        <v>403630</v>
      </c>
    </row>
    <row r="1750" spans="1:10">
      <c r="A1750" s="115" t="s">
        <v>193</v>
      </c>
      <c r="B1750" s="115" t="s">
        <v>194</v>
      </c>
      <c r="C1750" s="115" t="s">
        <v>1312</v>
      </c>
      <c r="D1750" s="115" t="s">
        <v>1313</v>
      </c>
      <c r="E1750" s="133" t="str">
        <f t="shared" si="54"/>
        <v>1200000052GZPU-21500 YELLOW VN</v>
      </c>
      <c r="F1750" s="133" t="s">
        <v>3107</v>
      </c>
      <c r="G1750" s="133" t="s">
        <v>3883</v>
      </c>
      <c r="H1750" s="133">
        <f>VLOOKUP(G1750,'packing mapping'!A:B,2,0)</f>
        <v>4</v>
      </c>
      <c r="I1750" s="137">
        <v>1271440</v>
      </c>
      <c r="J1750" s="132">
        <f t="shared" si="55"/>
        <v>317860</v>
      </c>
    </row>
    <row r="1751" spans="1:10">
      <c r="A1751" s="115" t="s">
        <v>193</v>
      </c>
      <c r="B1751" s="115" t="s">
        <v>194</v>
      </c>
      <c r="C1751" s="115" t="s">
        <v>1900</v>
      </c>
      <c r="D1751" s="115" t="s">
        <v>1901</v>
      </c>
      <c r="E1751" s="133" t="str">
        <f t="shared" si="54"/>
        <v>1200000052PUH-56303 NY VN</v>
      </c>
      <c r="F1751" s="133" t="s">
        <v>3366</v>
      </c>
      <c r="G1751" s="133" t="s">
        <v>3881</v>
      </c>
      <c r="H1751" s="133">
        <f>VLOOKUP(G1751,'packing mapping'!A:B,2,0)</f>
        <v>20</v>
      </c>
      <c r="I1751" s="137">
        <v>4648000</v>
      </c>
      <c r="J1751" s="132">
        <f t="shared" si="55"/>
        <v>232400</v>
      </c>
    </row>
    <row r="1752" spans="1:10">
      <c r="A1752" s="115" t="s">
        <v>193</v>
      </c>
      <c r="B1752" s="115" t="s">
        <v>194</v>
      </c>
      <c r="C1752" s="115" t="s">
        <v>1314</v>
      </c>
      <c r="D1752" s="115" t="s">
        <v>1315</v>
      </c>
      <c r="E1752" s="133" t="str">
        <f t="shared" si="54"/>
        <v>1200000052PCL-31300 RED 31701 PASTE</v>
      </c>
      <c r="F1752" s="133" t="s">
        <v>3108</v>
      </c>
      <c r="G1752" s="133" t="s">
        <v>3883</v>
      </c>
      <c r="H1752" s="133">
        <f>VLOOKUP(G1752,'packing mapping'!A:B,2,0)</f>
        <v>4</v>
      </c>
      <c r="I1752" s="137">
        <v>3475080</v>
      </c>
      <c r="J1752" s="132">
        <f t="shared" si="55"/>
        <v>868770</v>
      </c>
    </row>
    <row r="1753" spans="1:10">
      <c r="A1753" s="115" t="s">
        <v>193</v>
      </c>
      <c r="B1753" s="115" t="s">
        <v>194</v>
      </c>
      <c r="C1753" s="115" t="s">
        <v>1414</v>
      </c>
      <c r="D1753" s="115" t="s">
        <v>1415</v>
      </c>
      <c r="E1753" s="133" t="str">
        <f t="shared" si="54"/>
        <v>1200000052AP-98200 1201 VN</v>
      </c>
      <c r="F1753" s="133" t="s">
        <v>3156</v>
      </c>
      <c r="G1753" s="133" t="s">
        <v>3894</v>
      </c>
      <c r="H1753" s="133">
        <f>VLOOKUP(G1753,'packing mapping'!A:B,2,0)</f>
        <v>1</v>
      </c>
      <c r="I1753" s="137">
        <v>1739750</v>
      </c>
      <c r="J1753" s="132">
        <f t="shared" si="55"/>
        <v>1739750</v>
      </c>
    </row>
    <row r="1754" spans="1:10">
      <c r="A1754" s="115" t="s">
        <v>193</v>
      </c>
      <c r="B1754" s="115" t="s">
        <v>194</v>
      </c>
      <c r="C1754" s="115" t="s">
        <v>2612</v>
      </c>
      <c r="D1754" s="115" t="s">
        <v>2613</v>
      </c>
      <c r="E1754" s="133" t="str">
        <f t="shared" si="54"/>
        <v>1200000052MPUL-13700 20 VN</v>
      </c>
      <c r="F1754" s="133" t="s">
        <v>3679</v>
      </c>
      <c r="G1754" s="133" t="s">
        <v>3890</v>
      </c>
      <c r="H1754" s="133">
        <f>VLOOKUP(G1754,'packing mapping'!A:B,2,0)</f>
        <v>16</v>
      </c>
      <c r="I1754" s="137">
        <v>2423840</v>
      </c>
      <c r="J1754" s="132">
        <f t="shared" si="55"/>
        <v>151490</v>
      </c>
    </row>
    <row r="1755" spans="1:10">
      <c r="A1755" s="115" t="s">
        <v>193</v>
      </c>
      <c r="B1755" s="115" t="s">
        <v>194</v>
      </c>
      <c r="C1755" s="115" t="s">
        <v>1316</v>
      </c>
      <c r="D1755" s="115" t="s">
        <v>1317</v>
      </c>
      <c r="E1755" s="133" t="str">
        <f t="shared" si="54"/>
        <v>1200000052PCL-31300 YELLOW 170 HR PASTE</v>
      </c>
      <c r="F1755" s="133" t="s">
        <v>3109</v>
      </c>
      <c r="G1755" s="133" t="s">
        <v>3883</v>
      </c>
      <c r="H1755" s="133">
        <f>VLOOKUP(G1755,'packing mapping'!A:B,2,0)</f>
        <v>4</v>
      </c>
      <c r="I1755" s="137">
        <v>1901600</v>
      </c>
      <c r="J1755" s="132">
        <f t="shared" si="55"/>
        <v>475400</v>
      </c>
    </row>
    <row r="1756" spans="1:10">
      <c r="A1756" s="115" t="s">
        <v>193</v>
      </c>
      <c r="B1756" s="115" t="s">
        <v>194</v>
      </c>
      <c r="C1756" s="115" t="s">
        <v>1318</v>
      </c>
      <c r="D1756" s="115" t="s">
        <v>1319</v>
      </c>
      <c r="E1756" s="133" t="str">
        <f t="shared" si="54"/>
        <v>1200000052GZPU-21500 WHITE VN</v>
      </c>
      <c r="F1756" s="133" t="s">
        <v>3110</v>
      </c>
      <c r="G1756" s="133" t="s">
        <v>3883</v>
      </c>
      <c r="H1756" s="133">
        <f>VLOOKUP(G1756,'packing mapping'!A:B,2,0)</f>
        <v>4</v>
      </c>
      <c r="I1756" s="137">
        <v>973720</v>
      </c>
      <c r="J1756" s="132">
        <f t="shared" si="55"/>
        <v>243430</v>
      </c>
    </row>
    <row r="1757" spans="1:10">
      <c r="A1757" s="115" t="s">
        <v>193</v>
      </c>
      <c r="B1757" s="115" t="s">
        <v>194</v>
      </c>
      <c r="C1757" s="115" t="s">
        <v>1320</v>
      </c>
      <c r="D1757" s="115" t="s">
        <v>1321</v>
      </c>
      <c r="E1757" s="133" t="str">
        <f t="shared" si="54"/>
        <v>1200000052THC-73100 102 VN</v>
      </c>
      <c r="F1757" s="133" t="s">
        <v>3111</v>
      </c>
      <c r="G1757" s="133" t="s">
        <v>3880</v>
      </c>
      <c r="H1757" s="133">
        <f>VLOOKUP(G1757,'packing mapping'!A:B,2,0)</f>
        <v>20</v>
      </c>
      <c r="I1757" s="137">
        <v>923600</v>
      </c>
      <c r="J1757" s="132">
        <f t="shared" si="55"/>
        <v>46180</v>
      </c>
    </row>
    <row r="1758" spans="1:10">
      <c r="A1758" s="115" t="s">
        <v>193</v>
      </c>
      <c r="B1758" s="115" t="s">
        <v>194</v>
      </c>
      <c r="C1758" s="115" t="s">
        <v>2614</v>
      </c>
      <c r="D1758" s="115" t="s">
        <v>2615</v>
      </c>
      <c r="E1758" s="133" t="str">
        <f t="shared" si="54"/>
        <v>1200000052NCSS-11229 BC VN</v>
      </c>
      <c r="F1758" s="133" t="s">
        <v>3680</v>
      </c>
      <c r="G1758" s="133" t="s">
        <v>3879</v>
      </c>
      <c r="H1758" s="133">
        <f>VLOOKUP(G1758,'packing mapping'!A:B,2,0)</f>
        <v>20</v>
      </c>
      <c r="I1758" s="137">
        <v>1789200</v>
      </c>
      <c r="J1758" s="132">
        <f t="shared" si="55"/>
        <v>89460</v>
      </c>
    </row>
    <row r="1759" spans="1:10">
      <c r="A1759" s="115" t="s">
        <v>193</v>
      </c>
      <c r="B1759" s="115" t="s">
        <v>194</v>
      </c>
      <c r="C1759" s="115" t="s">
        <v>2616</v>
      </c>
      <c r="D1759" s="115" t="s">
        <v>2617</v>
      </c>
      <c r="E1759" s="133" t="str">
        <f t="shared" si="54"/>
        <v>1200000052NCL-11329 BC CLEAR 30 VN</v>
      </c>
      <c r="F1759" s="133" t="s">
        <v>3681</v>
      </c>
      <c r="G1759" s="133" t="s">
        <v>3879</v>
      </c>
      <c r="H1759" s="133">
        <f>VLOOKUP(G1759,'packing mapping'!A:B,2,0)</f>
        <v>20</v>
      </c>
      <c r="I1759" s="137">
        <v>2432000</v>
      </c>
      <c r="J1759" s="132">
        <f t="shared" si="55"/>
        <v>121600</v>
      </c>
    </row>
    <row r="1760" spans="1:10">
      <c r="A1760" s="115" t="s">
        <v>193</v>
      </c>
      <c r="B1760" s="115" t="s">
        <v>194</v>
      </c>
      <c r="C1760" s="115" t="s">
        <v>2618</v>
      </c>
      <c r="D1760" s="115" t="s">
        <v>2619</v>
      </c>
      <c r="E1760" s="133" t="str">
        <f t="shared" si="54"/>
        <v>1200000052NCL-11329 BC CLEAR 10 VN</v>
      </c>
      <c r="F1760" s="133" t="s">
        <v>3682</v>
      </c>
      <c r="G1760" s="133" t="s">
        <v>3879</v>
      </c>
      <c r="H1760" s="133">
        <f>VLOOKUP(G1760,'packing mapping'!A:B,2,0)</f>
        <v>20</v>
      </c>
      <c r="I1760" s="137">
        <v>1769800</v>
      </c>
      <c r="J1760" s="132">
        <f t="shared" si="55"/>
        <v>88490</v>
      </c>
    </row>
    <row r="1761" spans="1:10">
      <c r="A1761" s="115" t="s">
        <v>193</v>
      </c>
      <c r="B1761" s="115" t="s">
        <v>194</v>
      </c>
      <c r="C1761" s="115" t="s">
        <v>1322</v>
      </c>
      <c r="D1761" s="115" t="s">
        <v>1323</v>
      </c>
      <c r="E1761" s="133" t="str">
        <f t="shared" si="54"/>
        <v>1200000052MPUL-13700 90 VN</v>
      </c>
      <c r="F1761" s="133" t="s">
        <v>3112</v>
      </c>
      <c r="G1761" s="133" t="s">
        <v>3890</v>
      </c>
      <c r="H1761" s="133">
        <f>VLOOKUP(G1761,'packing mapping'!A:B,2,0)</f>
        <v>16</v>
      </c>
      <c r="I1761" s="137">
        <v>2246560</v>
      </c>
      <c r="J1761" s="132">
        <f t="shared" si="55"/>
        <v>140410</v>
      </c>
    </row>
    <row r="1762" spans="1:10">
      <c r="A1762" s="115" t="s">
        <v>193</v>
      </c>
      <c r="B1762" s="115" t="s">
        <v>194</v>
      </c>
      <c r="C1762" s="115" t="s">
        <v>2620</v>
      </c>
      <c r="D1762" s="115" t="s">
        <v>2621</v>
      </c>
      <c r="E1762" s="133" t="str">
        <f t="shared" si="54"/>
        <v>1200000052WBL-61201 CLEAR 05 VN</v>
      </c>
      <c r="F1762" s="133" t="s">
        <v>3683</v>
      </c>
      <c r="G1762" s="133" t="s">
        <v>3881</v>
      </c>
      <c r="H1762" s="133">
        <f>VLOOKUP(G1762,'packing mapping'!A:B,2,0)</f>
        <v>20</v>
      </c>
      <c r="I1762" s="137">
        <v>2990800</v>
      </c>
      <c r="J1762" s="132">
        <f t="shared" si="55"/>
        <v>149540</v>
      </c>
    </row>
    <row r="1763" spans="1:10">
      <c r="A1763" s="115" t="s">
        <v>193</v>
      </c>
      <c r="B1763" s="115" t="s">
        <v>194</v>
      </c>
      <c r="C1763" s="115" t="s">
        <v>2622</v>
      </c>
      <c r="D1763" s="115" t="s">
        <v>2623</v>
      </c>
      <c r="E1763" s="133" t="str">
        <f t="shared" si="54"/>
        <v>1200000052WBL-61201 CLEAR 50 VN</v>
      </c>
      <c r="F1763" s="133" t="s">
        <v>3684</v>
      </c>
      <c r="G1763" s="133" t="s">
        <v>3881</v>
      </c>
      <c r="H1763" s="133">
        <f>VLOOKUP(G1763,'packing mapping'!A:B,2,0)</f>
        <v>20</v>
      </c>
      <c r="I1763" s="137">
        <v>2917400</v>
      </c>
      <c r="J1763" s="132">
        <f t="shared" si="55"/>
        <v>145870</v>
      </c>
    </row>
    <row r="1764" spans="1:10">
      <c r="A1764" s="115" t="s">
        <v>193</v>
      </c>
      <c r="B1764" s="115" t="s">
        <v>194</v>
      </c>
      <c r="C1764" s="115" t="s">
        <v>1494</v>
      </c>
      <c r="D1764" s="115" t="s">
        <v>1495</v>
      </c>
      <c r="E1764" s="133" t="str">
        <f t="shared" si="54"/>
        <v>1200000052NCL-11301 AC CLEAR 10 VN</v>
      </c>
      <c r="F1764" s="133" t="s">
        <v>3188</v>
      </c>
      <c r="G1764" s="133" t="s">
        <v>3879</v>
      </c>
      <c r="H1764" s="133">
        <f>VLOOKUP(G1764,'packing mapping'!A:B,2,0)</f>
        <v>20</v>
      </c>
      <c r="I1764" s="137">
        <v>2963600</v>
      </c>
      <c r="J1764" s="132">
        <f t="shared" si="55"/>
        <v>148180</v>
      </c>
    </row>
    <row r="1765" spans="1:10">
      <c r="A1765" s="115" t="s">
        <v>193</v>
      </c>
      <c r="B1765" s="115" t="s">
        <v>194</v>
      </c>
      <c r="C1765" s="115" t="s">
        <v>1496</v>
      </c>
      <c r="D1765" s="115" t="s">
        <v>1497</v>
      </c>
      <c r="E1765" s="133" t="str">
        <f t="shared" si="54"/>
        <v>1200000052PUH-56141 VN</v>
      </c>
      <c r="F1765" s="133" t="s">
        <v>3189</v>
      </c>
      <c r="G1765" s="133" t="s">
        <v>3881</v>
      </c>
      <c r="H1765" s="133">
        <f>VLOOKUP(G1765,'packing mapping'!A:B,2,0)</f>
        <v>20</v>
      </c>
      <c r="I1765" s="137">
        <v>2355800</v>
      </c>
      <c r="J1765" s="132">
        <f t="shared" si="55"/>
        <v>117790</v>
      </c>
    </row>
    <row r="1766" spans="1:10">
      <c r="A1766" s="115" t="s">
        <v>193</v>
      </c>
      <c r="B1766" s="115" t="s">
        <v>194</v>
      </c>
      <c r="C1766" s="115" t="s">
        <v>1780</v>
      </c>
      <c r="D1766" s="115" t="s">
        <v>1781</v>
      </c>
      <c r="E1766" s="133" t="str">
        <f t="shared" si="54"/>
        <v>1200000052MEP-12003 GLASS VN</v>
      </c>
      <c r="F1766" s="133" t="s">
        <v>3318</v>
      </c>
      <c r="G1766" s="133" t="s">
        <v>3882</v>
      </c>
      <c r="H1766" s="133">
        <f>VLOOKUP(G1766,'packing mapping'!A:B,2,0)</f>
        <v>18</v>
      </c>
      <c r="I1766" s="137">
        <v>2099520</v>
      </c>
      <c r="J1766" s="132">
        <f t="shared" si="55"/>
        <v>116640</v>
      </c>
    </row>
    <row r="1767" spans="1:10">
      <c r="A1767" s="115" t="s">
        <v>193</v>
      </c>
      <c r="B1767" s="115" t="s">
        <v>194</v>
      </c>
      <c r="C1767" s="115" t="s">
        <v>1422</v>
      </c>
      <c r="D1767" s="115" t="s">
        <v>1423</v>
      </c>
      <c r="E1767" s="133" t="str">
        <f t="shared" si="54"/>
        <v>1200000052THPU-71306 WP LC VN</v>
      </c>
      <c r="F1767" s="133" t="s">
        <v>3159</v>
      </c>
      <c r="G1767" s="133" t="s">
        <v>3880</v>
      </c>
      <c r="H1767" s="133">
        <f>VLOOKUP(G1767,'packing mapping'!A:B,2,0)</f>
        <v>20</v>
      </c>
      <c r="I1767" s="137">
        <v>1202000</v>
      </c>
      <c r="J1767" s="132">
        <f t="shared" si="55"/>
        <v>60100</v>
      </c>
    </row>
    <row r="1768" spans="1:10">
      <c r="A1768" s="115" t="s">
        <v>193</v>
      </c>
      <c r="B1768" s="115" t="s">
        <v>194</v>
      </c>
      <c r="C1768" s="115" t="s">
        <v>1332</v>
      </c>
      <c r="D1768" s="115" t="s">
        <v>1333</v>
      </c>
      <c r="E1768" s="133" t="str">
        <f t="shared" si="54"/>
        <v>1200000052WFPU-51000 VN</v>
      </c>
      <c r="F1768" s="133" t="s">
        <v>3117</v>
      </c>
      <c r="G1768" s="133" t="s">
        <v>3881</v>
      </c>
      <c r="H1768" s="133">
        <f>VLOOKUP(G1768,'packing mapping'!A:B,2,0)</f>
        <v>20</v>
      </c>
      <c r="I1768" s="137">
        <v>1547400</v>
      </c>
      <c r="J1768" s="132">
        <f t="shared" si="55"/>
        <v>77370</v>
      </c>
    </row>
    <row r="1769" spans="1:10">
      <c r="A1769" s="115" t="s">
        <v>193</v>
      </c>
      <c r="B1769" s="115" t="s">
        <v>194</v>
      </c>
      <c r="C1769" s="115" t="s">
        <v>2624</v>
      </c>
      <c r="D1769" s="115" t="s">
        <v>2625</v>
      </c>
      <c r="E1769" s="133" t="str">
        <f t="shared" si="54"/>
        <v>1200000052PUC-54205 AC NYU PT 01 30 GE VN</v>
      </c>
      <c r="F1769" s="133" t="s">
        <v>3685</v>
      </c>
      <c r="G1769" s="133" t="s">
        <v>3881</v>
      </c>
      <c r="H1769" s="133">
        <f>VLOOKUP(G1769,'packing mapping'!A:B,2,0)</f>
        <v>20</v>
      </c>
      <c r="I1769" s="137">
        <v>3558800</v>
      </c>
      <c r="J1769" s="132">
        <f t="shared" si="55"/>
        <v>177940</v>
      </c>
    </row>
    <row r="1770" spans="1:10">
      <c r="A1770" s="115" t="s">
        <v>193</v>
      </c>
      <c r="B1770" s="115" t="s">
        <v>194</v>
      </c>
      <c r="C1770" s="115" t="s">
        <v>2626</v>
      </c>
      <c r="D1770" s="115" t="s">
        <v>2627</v>
      </c>
      <c r="E1770" s="133" t="str">
        <f t="shared" si="54"/>
        <v>1200000052PP-98100 PEARL G24 VN</v>
      </c>
      <c r="F1770" s="133" t="s">
        <v>3686</v>
      </c>
      <c r="G1770" s="133" t="s">
        <v>3894</v>
      </c>
      <c r="H1770" s="133">
        <f>VLOOKUP(G1770,'packing mapping'!A:B,2,0)</f>
        <v>1</v>
      </c>
      <c r="I1770" s="137">
        <v>2203350</v>
      </c>
      <c r="J1770" s="132">
        <f t="shared" si="55"/>
        <v>2203350</v>
      </c>
    </row>
    <row r="1771" spans="1:10">
      <c r="A1771" s="115" t="s">
        <v>193</v>
      </c>
      <c r="B1771" s="115" t="s">
        <v>194</v>
      </c>
      <c r="C1771" s="115" t="s">
        <v>1428</v>
      </c>
      <c r="D1771" s="115" t="s">
        <v>1429</v>
      </c>
      <c r="E1771" s="133" t="str">
        <f t="shared" si="54"/>
        <v>1200000052PCWB-31600 WHITE 02196 PASTE VN</v>
      </c>
      <c r="F1771" s="133" t="s">
        <v>3162</v>
      </c>
      <c r="G1771" s="133" t="s">
        <v>3883</v>
      </c>
      <c r="H1771" s="133">
        <f>VLOOKUP(G1771,'packing mapping'!A:B,2,0)</f>
        <v>4</v>
      </c>
      <c r="I1771" s="137">
        <v>987320</v>
      </c>
      <c r="J1771" s="132">
        <f t="shared" si="55"/>
        <v>246830</v>
      </c>
    </row>
    <row r="1772" spans="1:10">
      <c r="A1772" s="115" t="s">
        <v>193</v>
      </c>
      <c r="B1772" s="115" t="s">
        <v>194</v>
      </c>
      <c r="C1772" s="115" t="s">
        <v>2628</v>
      </c>
      <c r="D1772" s="115" t="s">
        <v>2629</v>
      </c>
      <c r="E1772" s="133" t="str">
        <f t="shared" si="54"/>
        <v>1200000052PUC-54205 AC CREAM 90 GE VN</v>
      </c>
      <c r="F1772" s="133" t="s">
        <v>3687</v>
      </c>
      <c r="G1772" s="133" t="s">
        <v>3881</v>
      </c>
      <c r="H1772" s="133">
        <f>VLOOKUP(G1772,'packing mapping'!A:B,2,0)</f>
        <v>20</v>
      </c>
      <c r="I1772" s="137">
        <v>4108000</v>
      </c>
      <c r="J1772" s="132">
        <f t="shared" si="55"/>
        <v>205400</v>
      </c>
    </row>
    <row r="1773" spans="1:10">
      <c r="A1773" s="115" t="s">
        <v>193</v>
      </c>
      <c r="B1773" s="115" t="s">
        <v>194</v>
      </c>
      <c r="C1773" s="115" t="s">
        <v>1840</v>
      </c>
      <c r="D1773" s="115" t="s">
        <v>1841</v>
      </c>
      <c r="E1773" s="133" t="str">
        <f t="shared" si="54"/>
        <v>1200000052THGZ-72200 D40 VN</v>
      </c>
      <c r="F1773" s="133" t="s">
        <v>3344</v>
      </c>
      <c r="G1773" s="133" t="s">
        <v>3895</v>
      </c>
      <c r="H1773" s="133">
        <f>VLOOKUP(G1773,'packing mapping'!A:B,2,0)</f>
        <v>16</v>
      </c>
      <c r="I1773" s="137">
        <v>1635200</v>
      </c>
      <c r="J1773" s="132">
        <f t="shared" si="55"/>
        <v>102200</v>
      </c>
    </row>
    <row r="1774" spans="1:10">
      <c r="A1774" s="115" t="s">
        <v>253</v>
      </c>
      <c r="B1774" s="115" t="s">
        <v>254</v>
      </c>
      <c r="C1774" s="115" t="s">
        <v>1180</v>
      </c>
      <c r="D1774" s="115" t="s">
        <v>1181</v>
      </c>
      <c r="E1774" s="133" t="str">
        <f t="shared" si="54"/>
        <v>1200000082GZPU-21500 RU BASE VN</v>
      </c>
      <c r="F1774" s="133" t="s">
        <v>3044</v>
      </c>
      <c r="G1774" s="133" t="s">
        <v>3882</v>
      </c>
      <c r="H1774" s="133">
        <f>VLOOKUP(G1774,'packing mapping'!A:B,2,0)</f>
        <v>18</v>
      </c>
      <c r="I1774" s="137">
        <v>4177440</v>
      </c>
      <c r="J1774" s="132">
        <f t="shared" si="55"/>
        <v>232080</v>
      </c>
    </row>
    <row r="1775" spans="1:10">
      <c r="A1775" s="115" t="s">
        <v>253</v>
      </c>
      <c r="B1775" s="115" t="s">
        <v>254</v>
      </c>
      <c r="C1775" s="115" t="s">
        <v>1186</v>
      </c>
      <c r="D1775" s="115" t="s">
        <v>1187</v>
      </c>
      <c r="E1775" s="133" t="str">
        <f t="shared" si="54"/>
        <v>1200000082MEP-12003 GREY VN</v>
      </c>
      <c r="F1775" s="133" t="s">
        <v>3047</v>
      </c>
      <c r="G1775" s="133" t="s">
        <v>3882</v>
      </c>
      <c r="H1775" s="133">
        <f>VLOOKUP(G1775,'packing mapping'!A:B,2,0)</f>
        <v>18</v>
      </c>
      <c r="I1775" s="137">
        <v>2222640</v>
      </c>
      <c r="J1775" s="132">
        <f t="shared" si="55"/>
        <v>123480</v>
      </c>
    </row>
    <row r="1776" spans="1:10">
      <c r="A1776" s="115" t="s">
        <v>253</v>
      </c>
      <c r="B1776" s="115" t="s">
        <v>254</v>
      </c>
      <c r="C1776" s="115" t="s">
        <v>1188</v>
      </c>
      <c r="D1776" s="115" t="s">
        <v>1189</v>
      </c>
      <c r="E1776" s="133" t="str">
        <f t="shared" si="54"/>
        <v>1200000082PCA-31100 BLACK PASTE VN</v>
      </c>
      <c r="F1776" s="133" t="s">
        <v>3048</v>
      </c>
      <c r="G1776" s="133" t="s">
        <v>3883</v>
      </c>
      <c r="H1776" s="133">
        <f>VLOOKUP(G1776,'packing mapping'!A:B,2,0)</f>
        <v>4</v>
      </c>
      <c r="I1776" s="137">
        <v>1200880</v>
      </c>
      <c r="J1776" s="132">
        <f t="shared" si="55"/>
        <v>300220</v>
      </c>
    </row>
    <row r="1777" spans="1:10">
      <c r="A1777" s="115" t="s">
        <v>253</v>
      </c>
      <c r="B1777" s="115" t="s">
        <v>254</v>
      </c>
      <c r="C1777" s="115" t="s">
        <v>1370</v>
      </c>
      <c r="D1777" s="115" t="s">
        <v>1371</v>
      </c>
      <c r="E1777" s="133" t="str">
        <f t="shared" si="54"/>
        <v>1200000082PCA-31100 BLUE OG PASTE VN</v>
      </c>
      <c r="F1777" s="133" t="s">
        <v>3135</v>
      </c>
      <c r="G1777" s="133" t="s">
        <v>3883</v>
      </c>
      <c r="H1777" s="133">
        <f>VLOOKUP(G1777,'packing mapping'!A:B,2,0)</f>
        <v>4</v>
      </c>
      <c r="I1777" s="137">
        <v>1312400</v>
      </c>
      <c r="J1777" s="132">
        <f t="shared" si="55"/>
        <v>328100</v>
      </c>
    </row>
    <row r="1778" spans="1:10">
      <c r="A1778" s="115" t="s">
        <v>253</v>
      </c>
      <c r="B1778" s="115" t="s">
        <v>254</v>
      </c>
      <c r="C1778" s="115" t="s">
        <v>1726</v>
      </c>
      <c r="D1778" s="115" t="s">
        <v>1727</v>
      </c>
      <c r="E1778" s="133" t="str">
        <f t="shared" si="54"/>
        <v>1200000082PCA-31100 BROWN 645 PASTE VN</v>
      </c>
      <c r="F1778" s="133" t="s">
        <v>3298</v>
      </c>
      <c r="G1778" s="133" t="s">
        <v>3883</v>
      </c>
      <c r="H1778" s="133">
        <f>VLOOKUP(G1778,'packing mapping'!A:B,2,0)</f>
        <v>4</v>
      </c>
      <c r="I1778" s="137">
        <v>993120</v>
      </c>
      <c r="J1778" s="132">
        <f t="shared" si="55"/>
        <v>248280</v>
      </c>
    </row>
    <row r="1779" spans="1:10">
      <c r="A1779" s="115" t="s">
        <v>253</v>
      </c>
      <c r="B1779" s="115" t="s">
        <v>254</v>
      </c>
      <c r="C1779" s="115" t="s">
        <v>1520</v>
      </c>
      <c r="D1779" s="115" t="s">
        <v>1521</v>
      </c>
      <c r="E1779" s="133" t="str">
        <f t="shared" si="54"/>
        <v>1200000082PCA-31100 GREEN OB PASTE VN</v>
      </c>
      <c r="F1779" s="133" t="s">
        <v>3200</v>
      </c>
      <c r="G1779" s="133" t="s">
        <v>3883</v>
      </c>
      <c r="H1779" s="133">
        <f>VLOOKUP(G1779,'packing mapping'!A:B,2,0)</f>
        <v>4</v>
      </c>
      <c r="I1779" s="137">
        <v>1414320</v>
      </c>
      <c r="J1779" s="132">
        <f t="shared" si="55"/>
        <v>353580</v>
      </c>
    </row>
    <row r="1780" spans="1:10">
      <c r="A1780" s="115" t="s">
        <v>253</v>
      </c>
      <c r="B1780" s="115" t="s">
        <v>254</v>
      </c>
      <c r="C1780" s="115" t="s">
        <v>1372</v>
      </c>
      <c r="D1780" s="115" t="s">
        <v>1373</v>
      </c>
      <c r="E1780" s="133" t="str">
        <f t="shared" si="54"/>
        <v>1200000082PCA-31100 OXIDE RED PASTE VN</v>
      </c>
      <c r="F1780" s="133" t="s">
        <v>3136</v>
      </c>
      <c r="G1780" s="133" t="s">
        <v>3883</v>
      </c>
      <c r="H1780" s="133">
        <f>VLOOKUP(G1780,'packing mapping'!A:B,2,0)</f>
        <v>4</v>
      </c>
      <c r="I1780" s="137">
        <v>1098960</v>
      </c>
      <c r="J1780" s="132">
        <f t="shared" si="55"/>
        <v>274740</v>
      </c>
    </row>
    <row r="1781" spans="1:10">
      <c r="A1781" s="115" t="s">
        <v>253</v>
      </c>
      <c r="B1781" s="115" t="s">
        <v>254</v>
      </c>
      <c r="C1781" s="115" t="s">
        <v>1374</v>
      </c>
      <c r="D1781" s="115" t="s">
        <v>1375</v>
      </c>
      <c r="E1781" s="133" t="str">
        <f t="shared" si="54"/>
        <v>1200000082PCA-31100 RED OB 35 PASTE VN</v>
      </c>
      <c r="F1781" s="133" t="s">
        <v>3137</v>
      </c>
      <c r="G1781" s="133" t="s">
        <v>3883</v>
      </c>
      <c r="H1781" s="133">
        <f>VLOOKUP(G1781,'packing mapping'!A:B,2,0)</f>
        <v>4</v>
      </c>
      <c r="I1781" s="137">
        <v>2193120</v>
      </c>
      <c r="J1781" s="132">
        <f t="shared" si="55"/>
        <v>548280</v>
      </c>
    </row>
    <row r="1782" spans="1:10">
      <c r="A1782" s="115" t="s">
        <v>253</v>
      </c>
      <c r="B1782" s="115" t="s">
        <v>254</v>
      </c>
      <c r="C1782" s="115" t="s">
        <v>1190</v>
      </c>
      <c r="D1782" s="115" t="s">
        <v>1191</v>
      </c>
      <c r="E1782" s="133" t="str">
        <f t="shared" si="54"/>
        <v>1200000082PCA-31100 WHITE PASTE VN</v>
      </c>
      <c r="F1782" s="133" t="s">
        <v>3049</v>
      </c>
      <c r="G1782" s="133" t="s">
        <v>3883</v>
      </c>
      <c r="H1782" s="133">
        <f>VLOOKUP(G1782,'packing mapping'!A:B,2,0)</f>
        <v>4</v>
      </c>
      <c r="I1782" s="137">
        <v>851120</v>
      </c>
      <c r="J1782" s="132">
        <f t="shared" si="55"/>
        <v>212780</v>
      </c>
    </row>
    <row r="1783" spans="1:10">
      <c r="A1783" s="115" t="s">
        <v>253</v>
      </c>
      <c r="B1783" s="115" t="s">
        <v>254</v>
      </c>
      <c r="C1783" s="115" t="s">
        <v>1376</v>
      </c>
      <c r="D1783" s="115" t="s">
        <v>1377</v>
      </c>
      <c r="E1783" s="133" t="str">
        <f t="shared" si="54"/>
        <v>1200000082PCA-31100 YELLOW HR PASTE VN</v>
      </c>
      <c r="F1783" s="133" t="s">
        <v>3138</v>
      </c>
      <c r="G1783" s="133" t="s">
        <v>3883</v>
      </c>
      <c r="H1783" s="133">
        <f>VLOOKUP(G1783,'packing mapping'!A:B,2,0)</f>
        <v>4</v>
      </c>
      <c r="I1783" s="137">
        <v>1278000</v>
      </c>
      <c r="J1783" s="132">
        <f t="shared" si="55"/>
        <v>319500</v>
      </c>
    </row>
    <row r="1784" spans="1:10">
      <c r="A1784" s="115" t="s">
        <v>253</v>
      </c>
      <c r="B1784" s="115" t="s">
        <v>254</v>
      </c>
      <c r="C1784" s="115" t="s">
        <v>1468</v>
      </c>
      <c r="D1784" s="115" t="s">
        <v>1469</v>
      </c>
      <c r="E1784" s="133" t="str">
        <f t="shared" si="54"/>
        <v>1200000082PCA-31100 YELLOW OG 16 PASTE VN</v>
      </c>
      <c r="F1784" s="133" t="s">
        <v>3180</v>
      </c>
      <c r="G1784" s="133" t="s">
        <v>3883</v>
      </c>
      <c r="H1784" s="133">
        <f>VLOOKUP(G1784,'packing mapping'!A:B,2,0)</f>
        <v>4</v>
      </c>
      <c r="I1784" s="137">
        <v>3416880</v>
      </c>
      <c r="J1784" s="132">
        <f t="shared" si="55"/>
        <v>854220</v>
      </c>
    </row>
    <row r="1785" spans="1:10">
      <c r="A1785" s="115" t="s">
        <v>253</v>
      </c>
      <c r="B1785" s="115" t="s">
        <v>254</v>
      </c>
      <c r="C1785" s="115" t="s">
        <v>1192</v>
      </c>
      <c r="D1785" s="115" t="s">
        <v>1193</v>
      </c>
      <c r="E1785" s="133" t="str">
        <f t="shared" si="54"/>
        <v>1200000082PCL-31300 BLACK PASTE</v>
      </c>
      <c r="F1785" s="133" t="s">
        <v>3050</v>
      </c>
      <c r="G1785" s="133" t="s">
        <v>3883</v>
      </c>
      <c r="H1785" s="133">
        <f>VLOOKUP(G1785,'packing mapping'!A:B,2,0)</f>
        <v>4</v>
      </c>
      <c r="I1785" s="137">
        <v>2835200</v>
      </c>
      <c r="J1785" s="132">
        <f t="shared" si="55"/>
        <v>708800</v>
      </c>
    </row>
    <row r="1786" spans="1:10">
      <c r="A1786" s="115" t="s">
        <v>253</v>
      </c>
      <c r="B1786" s="115" t="s">
        <v>254</v>
      </c>
      <c r="C1786" s="115" t="s">
        <v>1988</v>
      </c>
      <c r="D1786" s="115" t="s">
        <v>1989</v>
      </c>
      <c r="E1786" s="133" t="str">
        <f t="shared" si="54"/>
        <v>1200000082PCL-31300 GREEN OB PASTE</v>
      </c>
      <c r="F1786" s="133" t="s">
        <v>3415</v>
      </c>
      <c r="G1786" s="133" t="s">
        <v>3883</v>
      </c>
      <c r="H1786" s="133">
        <f>VLOOKUP(G1786,'packing mapping'!A:B,2,0)</f>
        <v>4</v>
      </c>
      <c r="I1786" s="137">
        <v>2009520</v>
      </c>
      <c r="J1786" s="132">
        <f t="shared" si="55"/>
        <v>502380</v>
      </c>
    </row>
    <row r="1787" spans="1:10">
      <c r="A1787" s="115" t="s">
        <v>253</v>
      </c>
      <c r="B1787" s="115" t="s">
        <v>254</v>
      </c>
      <c r="C1787" s="115" t="s">
        <v>1380</v>
      </c>
      <c r="D1787" s="115" t="s">
        <v>1381</v>
      </c>
      <c r="E1787" s="133" t="str">
        <f t="shared" si="54"/>
        <v>1200000082PCL-31300 OXIDE RED PASTE</v>
      </c>
      <c r="F1787" s="133" t="s">
        <v>3140</v>
      </c>
      <c r="G1787" s="133" t="s">
        <v>3883</v>
      </c>
      <c r="H1787" s="133">
        <f>VLOOKUP(G1787,'packing mapping'!A:B,2,0)</f>
        <v>4</v>
      </c>
      <c r="I1787" s="137">
        <v>2291440</v>
      </c>
      <c r="J1787" s="132">
        <f t="shared" si="55"/>
        <v>572860</v>
      </c>
    </row>
    <row r="1788" spans="1:10">
      <c r="A1788" s="115" t="s">
        <v>253</v>
      </c>
      <c r="B1788" s="115" t="s">
        <v>254</v>
      </c>
      <c r="C1788" s="115" t="s">
        <v>1200</v>
      </c>
      <c r="D1788" s="115" t="s">
        <v>1201</v>
      </c>
      <c r="E1788" s="133" t="str">
        <f t="shared" si="54"/>
        <v>1200000082PCL-31300 RED OB 35 PASTE</v>
      </c>
      <c r="F1788" s="133" t="s">
        <v>3054</v>
      </c>
      <c r="G1788" s="133" t="s">
        <v>3883</v>
      </c>
      <c r="H1788" s="133">
        <f>VLOOKUP(G1788,'packing mapping'!A:B,2,0)</f>
        <v>4</v>
      </c>
      <c r="I1788" s="137">
        <v>1522800</v>
      </c>
      <c r="J1788" s="132">
        <f t="shared" si="55"/>
        <v>380700</v>
      </c>
    </row>
    <row r="1789" spans="1:10">
      <c r="A1789" s="115" t="s">
        <v>253</v>
      </c>
      <c r="B1789" s="115" t="s">
        <v>254</v>
      </c>
      <c r="C1789" s="115" t="s">
        <v>1206</v>
      </c>
      <c r="D1789" s="115" t="s">
        <v>1207</v>
      </c>
      <c r="E1789" s="133" t="str">
        <f t="shared" si="54"/>
        <v>1200000082PCL-31300 YELLOW OKER PASTE</v>
      </c>
      <c r="F1789" s="133" t="s">
        <v>3057</v>
      </c>
      <c r="G1789" s="133" t="s">
        <v>3883</v>
      </c>
      <c r="H1789" s="133">
        <f>VLOOKUP(G1789,'packing mapping'!A:B,2,0)</f>
        <v>4</v>
      </c>
      <c r="I1789" s="137">
        <v>1763120</v>
      </c>
      <c r="J1789" s="132">
        <f t="shared" si="55"/>
        <v>440780</v>
      </c>
    </row>
    <row r="1790" spans="1:10">
      <c r="A1790" s="115" t="s">
        <v>253</v>
      </c>
      <c r="B1790" s="115" t="s">
        <v>254</v>
      </c>
      <c r="C1790" s="115" t="s">
        <v>2630</v>
      </c>
      <c r="D1790" s="115" t="s">
        <v>2631</v>
      </c>
      <c r="E1790" s="133" t="str">
        <f t="shared" si="54"/>
        <v>1200000082PUC-54205 AC WHITE 05 MK VN</v>
      </c>
      <c r="F1790" s="133" t="s">
        <v>3688</v>
      </c>
      <c r="G1790" s="133" t="s">
        <v>3881</v>
      </c>
      <c r="H1790" s="133">
        <f>VLOOKUP(G1790,'packing mapping'!A:B,2,0)</f>
        <v>20</v>
      </c>
      <c r="I1790" s="137">
        <v>2662400</v>
      </c>
      <c r="J1790" s="132">
        <f t="shared" si="55"/>
        <v>133120</v>
      </c>
    </row>
    <row r="1791" spans="1:10">
      <c r="A1791" s="115" t="s">
        <v>253</v>
      </c>
      <c r="B1791" s="115" t="s">
        <v>254</v>
      </c>
      <c r="C1791" s="115" t="s">
        <v>1714</v>
      </c>
      <c r="D1791" s="115" t="s">
        <v>1715</v>
      </c>
      <c r="E1791" s="133" t="str">
        <f t="shared" si="54"/>
        <v>1200000082PUC-54205 AC WHITE 08 AA VN</v>
      </c>
      <c r="F1791" s="133" t="s">
        <v>3293</v>
      </c>
      <c r="G1791" s="133" t="s">
        <v>3881</v>
      </c>
      <c r="H1791" s="133">
        <f>VLOOKUP(G1791,'packing mapping'!A:B,2,0)</f>
        <v>20</v>
      </c>
      <c r="I1791" s="137">
        <v>2662400</v>
      </c>
      <c r="J1791" s="132">
        <f t="shared" si="55"/>
        <v>133120</v>
      </c>
    </row>
    <row r="1792" spans="1:10">
      <c r="A1792" s="115" t="s">
        <v>253</v>
      </c>
      <c r="B1792" s="115" t="s">
        <v>254</v>
      </c>
      <c r="C1792" s="115" t="s">
        <v>1210</v>
      </c>
      <c r="D1792" s="115" t="s">
        <v>1211</v>
      </c>
      <c r="E1792" s="133" t="str">
        <f t="shared" si="54"/>
        <v>1200000082PUH-56306 LY VN</v>
      </c>
      <c r="F1792" s="133" t="s">
        <v>3059</v>
      </c>
      <c r="G1792" s="133" t="s">
        <v>3879</v>
      </c>
      <c r="H1792" s="133">
        <f>VLOOKUP(G1792,'packing mapping'!A:B,2,0)</f>
        <v>20</v>
      </c>
      <c r="I1792" s="137">
        <v>3096400</v>
      </c>
      <c r="J1792" s="132">
        <f t="shared" si="55"/>
        <v>154820</v>
      </c>
    </row>
    <row r="1793" spans="1:10">
      <c r="A1793" s="115" t="s">
        <v>253</v>
      </c>
      <c r="B1793" s="115" t="s">
        <v>254</v>
      </c>
      <c r="C1793" s="115" t="s">
        <v>1982</v>
      </c>
      <c r="D1793" s="115" t="s">
        <v>1983</v>
      </c>
      <c r="E1793" s="133" t="str">
        <f t="shared" si="54"/>
        <v>1200000082PUL-51341 CLEAR 05 VN</v>
      </c>
      <c r="F1793" s="133" t="s">
        <v>3412</v>
      </c>
      <c r="G1793" s="133" t="s">
        <v>3882</v>
      </c>
      <c r="H1793" s="133">
        <f>VLOOKUP(G1793,'packing mapping'!A:B,2,0)</f>
        <v>18</v>
      </c>
      <c r="I1793" s="137">
        <v>2440980</v>
      </c>
      <c r="J1793" s="132">
        <f t="shared" si="55"/>
        <v>135610</v>
      </c>
    </row>
    <row r="1794" spans="1:10">
      <c r="A1794" s="115" t="s">
        <v>253</v>
      </c>
      <c r="B1794" s="115" t="s">
        <v>254</v>
      </c>
      <c r="C1794" s="115" t="s">
        <v>1718</v>
      </c>
      <c r="D1794" s="115" t="s">
        <v>1719</v>
      </c>
      <c r="E1794" s="133" t="str">
        <f t="shared" si="54"/>
        <v>1200000082PUL-51341 CLEAR 10 VN</v>
      </c>
      <c r="F1794" s="133" t="s">
        <v>3294</v>
      </c>
      <c r="G1794" s="133" t="s">
        <v>3882</v>
      </c>
      <c r="H1794" s="133">
        <f>VLOOKUP(G1794,'packing mapping'!A:B,2,0)</f>
        <v>18</v>
      </c>
      <c r="I1794" s="137">
        <v>1982700</v>
      </c>
      <c r="J1794" s="132">
        <f t="shared" si="55"/>
        <v>110150</v>
      </c>
    </row>
    <row r="1795" spans="1:10">
      <c r="A1795" s="115" t="s">
        <v>253</v>
      </c>
      <c r="B1795" s="115" t="s">
        <v>254</v>
      </c>
      <c r="C1795" s="115" t="s">
        <v>1542</v>
      </c>
      <c r="D1795" s="115" t="s">
        <v>1543</v>
      </c>
      <c r="E1795" s="133" t="str">
        <f t="shared" ref="E1795:E1858" si="56">A1795&amp;F1795</f>
        <v>1200000082PUL-53306 AC EX CLEAR 05 VN</v>
      </c>
      <c r="F1795" s="133" t="s">
        <v>3211</v>
      </c>
      <c r="G1795" s="133" t="s">
        <v>3879</v>
      </c>
      <c r="H1795" s="133">
        <f>VLOOKUP(G1795,'packing mapping'!A:B,2,0)</f>
        <v>20</v>
      </c>
      <c r="I1795" s="137">
        <v>3598600</v>
      </c>
      <c r="J1795" s="132">
        <f t="shared" ref="J1795:J1858" si="57">I1795/H1795</f>
        <v>179930</v>
      </c>
    </row>
    <row r="1796" spans="1:10">
      <c r="A1796" s="115" t="s">
        <v>253</v>
      </c>
      <c r="B1796" s="115" t="s">
        <v>254</v>
      </c>
      <c r="C1796" s="115" t="s">
        <v>1216</v>
      </c>
      <c r="D1796" s="115" t="s">
        <v>1217</v>
      </c>
      <c r="E1796" s="133" t="str">
        <f t="shared" si="56"/>
        <v>1200000082PUL-53306 AC EX CLEAR 90 VN</v>
      </c>
      <c r="F1796" s="133" t="s">
        <v>3062</v>
      </c>
      <c r="G1796" s="133" t="s">
        <v>3879</v>
      </c>
      <c r="H1796" s="133">
        <f>VLOOKUP(G1796,'packing mapping'!A:B,2,0)</f>
        <v>20</v>
      </c>
      <c r="I1796" s="137">
        <v>2844400</v>
      </c>
      <c r="J1796" s="132">
        <f t="shared" si="57"/>
        <v>142220</v>
      </c>
    </row>
    <row r="1797" spans="1:10">
      <c r="A1797" s="115" t="s">
        <v>253</v>
      </c>
      <c r="B1797" s="115" t="s">
        <v>254</v>
      </c>
      <c r="C1797" s="115" t="s">
        <v>1478</v>
      </c>
      <c r="D1797" s="115" t="s">
        <v>1479</v>
      </c>
      <c r="E1797" s="133" t="str">
        <f t="shared" si="56"/>
        <v>1200000082PUSS-51241 VN</v>
      </c>
      <c r="F1797" s="133" t="s">
        <v>3185</v>
      </c>
      <c r="G1797" s="133" t="s">
        <v>3881</v>
      </c>
      <c r="H1797" s="133">
        <f>VLOOKUP(G1797,'packing mapping'!A:B,2,0)</f>
        <v>20</v>
      </c>
      <c r="I1797" s="137">
        <v>1971200</v>
      </c>
      <c r="J1797" s="132">
        <f t="shared" si="57"/>
        <v>98560</v>
      </c>
    </row>
    <row r="1798" spans="1:10">
      <c r="A1798" s="115" t="s">
        <v>253</v>
      </c>
      <c r="B1798" s="115" t="s">
        <v>254</v>
      </c>
      <c r="C1798" s="115" t="s">
        <v>1220</v>
      </c>
      <c r="D1798" s="115" t="s">
        <v>1221</v>
      </c>
      <c r="E1798" s="133" t="str">
        <f t="shared" si="56"/>
        <v>1200000082SST-11100 C10 BLACK</v>
      </c>
      <c r="F1798" s="133" t="s">
        <v>3064</v>
      </c>
      <c r="G1798" s="133" t="s">
        <v>3883</v>
      </c>
      <c r="H1798" s="133">
        <f>VLOOKUP(G1798,'packing mapping'!A:B,2,0)</f>
        <v>4</v>
      </c>
      <c r="I1798" s="137">
        <v>726760</v>
      </c>
      <c r="J1798" s="132">
        <f t="shared" si="57"/>
        <v>181690</v>
      </c>
    </row>
    <row r="1799" spans="1:10">
      <c r="A1799" s="115" t="s">
        <v>253</v>
      </c>
      <c r="B1799" s="115" t="s">
        <v>254</v>
      </c>
      <c r="C1799" s="115" t="s">
        <v>1226</v>
      </c>
      <c r="D1799" s="115" t="s">
        <v>1227</v>
      </c>
      <c r="E1799" s="133" t="str">
        <f t="shared" si="56"/>
        <v>1200000082SST-11100 C10 RED</v>
      </c>
      <c r="F1799" s="133" t="s">
        <v>3067</v>
      </c>
      <c r="G1799" s="133" t="s">
        <v>3883</v>
      </c>
      <c r="H1799" s="133">
        <f>VLOOKUP(G1799,'packing mapping'!A:B,2,0)</f>
        <v>4</v>
      </c>
      <c r="I1799" s="137">
        <v>769560</v>
      </c>
      <c r="J1799" s="132">
        <f t="shared" si="57"/>
        <v>192390</v>
      </c>
    </row>
    <row r="1800" spans="1:10">
      <c r="A1800" s="115" t="s">
        <v>253</v>
      </c>
      <c r="B1800" s="115" t="s">
        <v>254</v>
      </c>
      <c r="C1800" s="115" t="s">
        <v>1228</v>
      </c>
      <c r="D1800" s="115" t="s">
        <v>1229</v>
      </c>
      <c r="E1800" s="133" t="str">
        <f t="shared" si="56"/>
        <v>1200000082SST-11100 C10 YELLOW</v>
      </c>
      <c r="F1800" s="133" t="s">
        <v>3068</v>
      </c>
      <c r="G1800" s="133" t="s">
        <v>3883</v>
      </c>
      <c r="H1800" s="133">
        <f>VLOOKUP(G1800,'packing mapping'!A:B,2,0)</f>
        <v>4</v>
      </c>
      <c r="I1800" s="137">
        <v>649160</v>
      </c>
      <c r="J1800" s="132">
        <f t="shared" si="57"/>
        <v>162290</v>
      </c>
    </row>
    <row r="1801" spans="1:10">
      <c r="A1801" s="115" t="s">
        <v>253</v>
      </c>
      <c r="B1801" s="115" t="s">
        <v>254</v>
      </c>
      <c r="C1801" s="115" t="s">
        <v>1402</v>
      </c>
      <c r="D1801" s="115" t="s">
        <v>1403</v>
      </c>
      <c r="E1801" s="133" t="str">
        <f t="shared" si="56"/>
        <v>1200000082THC-73100-007 VN</v>
      </c>
      <c r="F1801" s="133" t="s">
        <v>3150</v>
      </c>
      <c r="G1801" s="133" t="s">
        <v>3880</v>
      </c>
      <c r="H1801" s="133">
        <f>VLOOKUP(G1801,'packing mapping'!A:B,2,0)</f>
        <v>20</v>
      </c>
      <c r="I1801" s="137">
        <v>1594000</v>
      </c>
      <c r="J1801" s="132">
        <f t="shared" si="57"/>
        <v>79700</v>
      </c>
    </row>
    <row r="1802" spans="1:10">
      <c r="A1802" s="115" t="s">
        <v>253</v>
      </c>
      <c r="B1802" s="115" t="s">
        <v>254</v>
      </c>
      <c r="C1802" s="115" t="s">
        <v>1242</v>
      </c>
      <c r="D1802" s="115" t="s">
        <v>1243</v>
      </c>
      <c r="E1802" s="133" t="str">
        <f t="shared" si="56"/>
        <v>1200000082THPU-71306 ST VN</v>
      </c>
      <c r="F1802" s="133" t="s">
        <v>3039</v>
      </c>
      <c r="G1802" s="133" t="s">
        <v>3884</v>
      </c>
      <c r="H1802" s="133">
        <f>VLOOKUP(G1802,'packing mapping'!A:B,2,0)</f>
        <v>200</v>
      </c>
      <c r="I1802" s="137">
        <v>11766000</v>
      </c>
      <c r="J1802" s="132">
        <f t="shared" si="57"/>
        <v>58830</v>
      </c>
    </row>
    <row r="1803" spans="1:10">
      <c r="A1803" s="115" t="s">
        <v>253</v>
      </c>
      <c r="B1803" s="115" t="s">
        <v>254</v>
      </c>
      <c r="C1803" s="115" t="s">
        <v>2632</v>
      </c>
      <c r="D1803" s="115" t="s">
        <v>2633</v>
      </c>
      <c r="E1803" s="133" t="str">
        <f t="shared" si="56"/>
        <v>1200000082PUC-54205 AC BG MK 05 VN</v>
      </c>
      <c r="F1803" s="133" t="s">
        <v>3689</v>
      </c>
      <c r="G1803" s="133" t="s">
        <v>3881</v>
      </c>
      <c r="H1803" s="133">
        <f>VLOOKUP(G1803,'packing mapping'!A:B,2,0)</f>
        <v>20</v>
      </c>
      <c r="I1803" s="137">
        <v>2944400</v>
      </c>
      <c r="J1803" s="132">
        <f t="shared" si="57"/>
        <v>147220</v>
      </c>
    </row>
    <row r="1804" spans="1:10">
      <c r="A1804" s="115" t="s">
        <v>253</v>
      </c>
      <c r="B1804" s="115" t="s">
        <v>254</v>
      </c>
      <c r="C1804" s="115" t="s">
        <v>2634</v>
      </c>
      <c r="D1804" s="115" t="s">
        <v>2635</v>
      </c>
      <c r="E1804" s="133" t="str">
        <f t="shared" si="56"/>
        <v>1200000082PUC-54206 AC EX TB 05 MK VN</v>
      </c>
      <c r="F1804" s="133" t="s">
        <v>3690</v>
      </c>
      <c r="G1804" s="133" t="s">
        <v>3881</v>
      </c>
      <c r="H1804" s="133">
        <f>VLOOKUP(G1804,'packing mapping'!A:B,2,0)</f>
        <v>20</v>
      </c>
      <c r="I1804" s="137">
        <v>3753400</v>
      </c>
      <c r="J1804" s="132">
        <f t="shared" si="57"/>
        <v>187670</v>
      </c>
    </row>
    <row r="1805" spans="1:10">
      <c r="A1805" s="115" t="s">
        <v>253</v>
      </c>
      <c r="B1805" s="115" t="s">
        <v>254</v>
      </c>
      <c r="C1805" s="115" t="s">
        <v>1248</v>
      </c>
      <c r="D1805" s="115" t="s">
        <v>1249</v>
      </c>
      <c r="E1805" s="133" t="str">
        <f t="shared" si="56"/>
        <v>1200000082MEPH-12003 PS VN</v>
      </c>
      <c r="F1805" s="133" t="s">
        <v>3077</v>
      </c>
      <c r="G1805" s="133" t="s">
        <v>3887</v>
      </c>
      <c r="H1805" s="133">
        <f>VLOOKUP(G1805,'packing mapping'!A:B,2,0)</f>
        <v>2</v>
      </c>
      <c r="I1805" s="137">
        <v>430420</v>
      </c>
      <c r="J1805" s="132">
        <f t="shared" si="57"/>
        <v>215210</v>
      </c>
    </row>
    <row r="1806" spans="1:10">
      <c r="A1806" s="115" t="s">
        <v>253</v>
      </c>
      <c r="B1806" s="115" t="s">
        <v>254</v>
      </c>
      <c r="C1806" s="115" t="s">
        <v>1254</v>
      </c>
      <c r="D1806" s="115" t="s">
        <v>1255</v>
      </c>
      <c r="E1806" s="133" t="str">
        <f t="shared" si="56"/>
        <v>1200000082MEP-12003 BLACK VN</v>
      </c>
      <c r="F1806" s="133" t="s">
        <v>3080</v>
      </c>
      <c r="G1806" s="133" t="s">
        <v>3882</v>
      </c>
      <c r="H1806" s="133">
        <f>VLOOKUP(G1806,'packing mapping'!A:B,2,0)</f>
        <v>18</v>
      </c>
      <c r="I1806" s="137">
        <v>2633580</v>
      </c>
      <c r="J1806" s="132">
        <f t="shared" si="57"/>
        <v>146310</v>
      </c>
    </row>
    <row r="1807" spans="1:10">
      <c r="A1807" s="115" t="s">
        <v>253</v>
      </c>
      <c r="B1807" s="115" t="s">
        <v>254</v>
      </c>
      <c r="C1807" s="115" t="s">
        <v>2636</v>
      </c>
      <c r="D1807" s="115" t="s">
        <v>2637</v>
      </c>
      <c r="E1807" s="133" t="str">
        <f t="shared" si="56"/>
        <v>1200000082PUC-52239 BLACK 05 VN</v>
      </c>
      <c r="F1807" s="133" t="s">
        <v>3691</v>
      </c>
      <c r="G1807" s="133" t="s">
        <v>3881</v>
      </c>
      <c r="H1807" s="133">
        <f>VLOOKUP(G1807,'packing mapping'!A:B,2,0)</f>
        <v>20</v>
      </c>
      <c r="I1807" s="137">
        <v>2106600</v>
      </c>
      <c r="J1807" s="132">
        <f t="shared" si="57"/>
        <v>105330</v>
      </c>
    </row>
    <row r="1808" spans="1:10">
      <c r="A1808" s="115" t="s">
        <v>253</v>
      </c>
      <c r="B1808" s="115" t="s">
        <v>254</v>
      </c>
      <c r="C1808" s="115" t="s">
        <v>1172</v>
      </c>
      <c r="D1808" s="115" t="s">
        <v>1173</v>
      </c>
      <c r="E1808" s="133" t="str">
        <f t="shared" si="56"/>
        <v>1200000082PUH-56135 S VN</v>
      </c>
      <c r="F1808" s="133" t="s">
        <v>3040</v>
      </c>
      <c r="G1808" s="133" t="s">
        <v>3881</v>
      </c>
      <c r="H1808" s="133">
        <f>VLOOKUP(G1808,'packing mapping'!A:B,2,0)</f>
        <v>20</v>
      </c>
      <c r="I1808" s="137">
        <v>2319400</v>
      </c>
      <c r="J1808" s="132">
        <f t="shared" si="57"/>
        <v>115970</v>
      </c>
    </row>
    <row r="1809" spans="1:10">
      <c r="A1809" s="115" t="s">
        <v>253</v>
      </c>
      <c r="B1809" s="115" t="s">
        <v>254</v>
      </c>
      <c r="C1809" s="115" t="s">
        <v>1174</v>
      </c>
      <c r="D1809" s="115" t="s">
        <v>1175</v>
      </c>
      <c r="E1809" s="133" t="str">
        <f t="shared" si="56"/>
        <v>1200000082PUH-56139 VN</v>
      </c>
      <c r="F1809" s="133" t="s">
        <v>3041</v>
      </c>
      <c r="G1809" s="133" t="s">
        <v>3881</v>
      </c>
      <c r="H1809" s="133">
        <f>VLOOKUP(G1809,'packing mapping'!A:B,2,0)</f>
        <v>20</v>
      </c>
      <c r="I1809" s="137">
        <v>4123200</v>
      </c>
      <c r="J1809" s="132">
        <f t="shared" si="57"/>
        <v>206160</v>
      </c>
    </row>
    <row r="1810" spans="1:10">
      <c r="A1810" s="115" t="s">
        <v>253</v>
      </c>
      <c r="B1810" s="115" t="s">
        <v>254</v>
      </c>
      <c r="C1810" s="115" t="s">
        <v>1300</v>
      </c>
      <c r="D1810" s="115" t="s">
        <v>1301</v>
      </c>
      <c r="E1810" s="133" t="str">
        <f t="shared" si="56"/>
        <v>1200000082GZPU-21500 BLACK VN</v>
      </c>
      <c r="F1810" s="133" t="s">
        <v>3101</v>
      </c>
      <c r="G1810" s="133" t="s">
        <v>3883</v>
      </c>
      <c r="H1810" s="133">
        <f>VLOOKUP(G1810,'packing mapping'!A:B,2,0)</f>
        <v>4</v>
      </c>
      <c r="I1810" s="137">
        <v>1898080</v>
      </c>
      <c r="J1810" s="132">
        <f t="shared" si="57"/>
        <v>474520</v>
      </c>
    </row>
    <row r="1811" spans="1:10">
      <c r="A1811" s="115" t="s">
        <v>253</v>
      </c>
      <c r="B1811" s="115" t="s">
        <v>254</v>
      </c>
      <c r="C1811" s="115" t="s">
        <v>1302</v>
      </c>
      <c r="D1811" s="115" t="s">
        <v>1303</v>
      </c>
      <c r="E1811" s="133" t="str">
        <f t="shared" si="56"/>
        <v>1200000082GZPU-21500 BROWN VN</v>
      </c>
      <c r="F1811" s="133" t="s">
        <v>3102</v>
      </c>
      <c r="G1811" s="133" t="s">
        <v>3883</v>
      </c>
      <c r="H1811" s="133">
        <f>VLOOKUP(G1811,'packing mapping'!A:B,2,0)</f>
        <v>4</v>
      </c>
      <c r="I1811" s="137">
        <v>1720800</v>
      </c>
      <c r="J1811" s="132">
        <f t="shared" si="57"/>
        <v>430200</v>
      </c>
    </row>
    <row r="1812" spans="1:10">
      <c r="A1812" s="115" t="s">
        <v>253</v>
      </c>
      <c r="B1812" s="115" t="s">
        <v>254</v>
      </c>
      <c r="C1812" s="115" t="s">
        <v>1320</v>
      </c>
      <c r="D1812" s="115" t="s">
        <v>1321</v>
      </c>
      <c r="E1812" s="133" t="str">
        <f t="shared" si="56"/>
        <v>1200000082THC-73100 102 VN</v>
      </c>
      <c r="F1812" s="133" t="s">
        <v>3111</v>
      </c>
      <c r="G1812" s="133" t="s">
        <v>3880</v>
      </c>
      <c r="H1812" s="133">
        <f>VLOOKUP(G1812,'packing mapping'!A:B,2,0)</f>
        <v>20</v>
      </c>
      <c r="I1812" s="137">
        <v>967400</v>
      </c>
      <c r="J1812" s="132">
        <f t="shared" si="57"/>
        <v>48370</v>
      </c>
    </row>
    <row r="1813" spans="1:10">
      <c r="A1813" s="115" t="s">
        <v>253</v>
      </c>
      <c r="B1813" s="115" t="s">
        <v>254</v>
      </c>
      <c r="C1813" s="115" t="s">
        <v>2638</v>
      </c>
      <c r="D1813" s="115" t="s">
        <v>2639</v>
      </c>
      <c r="E1813" s="133" t="str">
        <f t="shared" si="56"/>
        <v>1200000082PUC-54205 AC YELLOW DA 10 MK VN</v>
      </c>
      <c r="F1813" s="133" t="s">
        <v>3692</v>
      </c>
      <c r="G1813" s="133" t="s">
        <v>3881</v>
      </c>
      <c r="H1813" s="133">
        <f>VLOOKUP(G1813,'packing mapping'!A:B,2,0)</f>
        <v>20</v>
      </c>
      <c r="I1813" s="137">
        <v>5424400</v>
      </c>
      <c r="J1813" s="132">
        <f t="shared" si="57"/>
        <v>271220</v>
      </c>
    </row>
    <row r="1814" spans="1:10">
      <c r="A1814" s="115" t="s">
        <v>253</v>
      </c>
      <c r="B1814" s="115" t="s">
        <v>254</v>
      </c>
      <c r="C1814" s="115" t="s">
        <v>2640</v>
      </c>
      <c r="D1814" s="115" t="s">
        <v>2641</v>
      </c>
      <c r="E1814" s="133" t="str">
        <f t="shared" si="56"/>
        <v>1200000082PUC-54205 AC WHITEGREY 05 MK VN</v>
      </c>
      <c r="F1814" s="133" t="s">
        <v>3693</v>
      </c>
      <c r="G1814" s="133" t="s">
        <v>3881</v>
      </c>
      <c r="H1814" s="133">
        <f>VLOOKUP(G1814,'packing mapping'!A:B,2,0)</f>
        <v>20</v>
      </c>
      <c r="I1814" s="137">
        <v>3893200</v>
      </c>
      <c r="J1814" s="132">
        <f t="shared" si="57"/>
        <v>194660</v>
      </c>
    </row>
    <row r="1815" spans="1:10">
      <c r="A1815" s="115" t="s">
        <v>253</v>
      </c>
      <c r="B1815" s="115" t="s">
        <v>254</v>
      </c>
      <c r="C1815" s="115" t="s">
        <v>2642</v>
      </c>
      <c r="D1815" s="115" t="s">
        <v>2643</v>
      </c>
      <c r="E1815" s="133" t="str">
        <f t="shared" si="56"/>
        <v>1200000082PUC-54206 AC EX CEMENT 05 MK VN</v>
      </c>
      <c r="F1815" s="133" t="s">
        <v>3694</v>
      </c>
      <c r="G1815" s="133" t="s">
        <v>3881</v>
      </c>
      <c r="H1815" s="133">
        <f>VLOOKUP(G1815,'packing mapping'!A:B,2,0)</f>
        <v>20</v>
      </c>
      <c r="I1815" s="137">
        <v>4098000</v>
      </c>
      <c r="J1815" s="132">
        <f t="shared" si="57"/>
        <v>204900</v>
      </c>
    </row>
    <row r="1816" spans="1:10">
      <c r="A1816" s="115" t="s">
        <v>253</v>
      </c>
      <c r="B1816" s="115" t="s">
        <v>254</v>
      </c>
      <c r="C1816" s="115" t="s">
        <v>1496</v>
      </c>
      <c r="D1816" s="115" t="s">
        <v>1497</v>
      </c>
      <c r="E1816" s="133" t="str">
        <f t="shared" si="56"/>
        <v>1200000082PUH-56141 VN</v>
      </c>
      <c r="F1816" s="133" t="s">
        <v>3189</v>
      </c>
      <c r="G1816" s="133" t="s">
        <v>3881</v>
      </c>
      <c r="H1816" s="133">
        <f>VLOOKUP(G1816,'packing mapping'!A:B,2,0)</f>
        <v>20</v>
      </c>
      <c r="I1816" s="137">
        <v>2505400</v>
      </c>
      <c r="J1816" s="132">
        <f t="shared" si="57"/>
        <v>125270</v>
      </c>
    </row>
    <row r="1817" spans="1:10">
      <c r="A1817" s="115" t="s">
        <v>253</v>
      </c>
      <c r="B1817" s="115" t="s">
        <v>254</v>
      </c>
      <c r="C1817" s="115" t="s">
        <v>2644</v>
      </c>
      <c r="D1817" s="115" t="s">
        <v>2645</v>
      </c>
      <c r="E1817" s="133" t="str">
        <f t="shared" si="56"/>
        <v>1200000082PUC-54206 AC EX BLUE DL 05 MK VN</v>
      </c>
      <c r="F1817" s="133" t="s">
        <v>3695</v>
      </c>
      <c r="G1817" s="133" t="s">
        <v>3881</v>
      </c>
      <c r="H1817" s="133">
        <f>VLOOKUP(G1817,'packing mapping'!A:B,2,0)</f>
        <v>20</v>
      </c>
      <c r="I1817" s="137">
        <v>4541200</v>
      </c>
      <c r="J1817" s="132">
        <f t="shared" si="57"/>
        <v>227060</v>
      </c>
    </row>
    <row r="1818" spans="1:10">
      <c r="A1818" s="115" t="s">
        <v>253</v>
      </c>
      <c r="B1818" s="115" t="s">
        <v>254</v>
      </c>
      <c r="C1818" s="115" t="s">
        <v>2646</v>
      </c>
      <c r="D1818" s="115" t="s">
        <v>2647</v>
      </c>
      <c r="E1818" s="133" t="str">
        <f t="shared" si="56"/>
        <v>1200000082PUC-54205 AC TALCO 08 MK VN</v>
      </c>
      <c r="F1818" s="133" t="s">
        <v>3696</v>
      </c>
      <c r="G1818" s="133" t="s">
        <v>3881</v>
      </c>
      <c r="H1818" s="133">
        <f>VLOOKUP(G1818,'packing mapping'!A:B,2,0)</f>
        <v>20</v>
      </c>
      <c r="I1818" s="137">
        <v>3706800</v>
      </c>
      <c r="J1818" s="132">
        <f t="shared" si="57"/>
        <v>185340</v>
      </c>
    </row>
    <row r="1819" spans="1:10">
      <c r="A1819" s="115" t="s">
        <v>253</v>
      </c>
      <c r="B1819" s="115" t="s">
        <v>254</v>
      </c>
      <c r="C1819" s="115" t="s">
        <v>2648</v>
      </c>
      <c r="D1819" s="115" t="s">
        <v>2649</v>
      </c>
      <c r="E1819" s="133" t="str">
        <f t="shared" si="56"/>
        <v>1200000082PUC-54206 AC EX CUANDO 05 MK VN</v>
      </c>
      <c r="F1819" s="133" t="s">
        <v>3697</v>
      </c>
      <c r="G1819" s="133" t="s">
        <v>3881</v>
      </c>
      <c r="H1819" s="133">
        <f>VLOOKUP(G1819,'packing mapping'!A:B,2,0)</f>
        <v>20</v>
      </c>
      <c r="I1819" s="137">
        <v>4363400</v>
      </c>
      <c r="J1819" s="132">
        <f t="shared" si="57"/>
        <v>218170</v>
      </c>
    </row>
    <row r="1820" spans="1:10">
      <c r="A1820" s="115" t="s">
        <v>253</v>
      </c>
      <c r="B1820" s="115" t="s">
        <v>254</v>
      </c>
      <c r="C1820" s="115" t="s">
        <v>2650</v>
      </c>
      <c r="D1820" s="115" t="s">
        <v>2651</v>
      </c>
      <c r="E1820" s="133" t="str">
        <f t="shared" si="56"/>
        <v>1200000082PUC-54206 AC EX VERDE 05 MK VN</v>
      </c>
      <c r="F1820" s="133" t="s">
        <v>3698</v>
      </c>
      <c r="G1820" s="133" t="s">
        <v>3881</v>
      </c>
      <c r="H1820" s="133">
        <f>VLOOKUP(G1820,'packing mapping'!A:B,2,0)</f>
        <v>20</v>
      </c>
      <c r="I1820" s="137">
        <v>4505000</v>
      </c>
      <c r="J1820" s="132">
        <f t="shared" si="57"/>
        <v>225250</v>
      </c>
    </row>
    <row r="1821" spans="1:10">
      <c r="A1821" s="115" t="s">
        <v>253</v>
      </c>
      <c r="B1821" s="115" t="s">
        <v>254</v>
      </c>
      <c r="C1821" s="115" t="s">
        <v>1330</v>
      </c>
      <c r="D1821" s="115" t="s">
        <v>1331</v>
      </c>
      <c r="E1821" s="133" t="str">
        <f t="shared" si="56"/>
        <v>1200000082SST-11100 BROWN AA VN</v>
      </c>
      <c r="F1821" s="133" t="s">
        <v>3116</v>
      </c>
      <c r="G1821" s="133" t="s">
        <v>3883</v>
      </c>
      <c r="H1821" s="133">
        <f>VLOOKUP(G1821,'packing mapping'!A:B,2,0)</f>
        <v>4</v>
      </c>
      <c r="I1821" s="137">
        <v>404400</v>
      </c>
      <c r="J1821" s="132">
        <f t="shared" si="57"/>
        <v>101100</v>
      </c>
    </row>
    <row r="1822" spans="1:10">
      <c r="A1822" s="115" t="s">
        <v>253</v>
      </c>
      <c r="B1822" s="115" t="s">
        <v>254</v>
      </c>
      <c r="C1822" s="115" t="s">
        <v>2652</v>
      </c>
      <c r="D1822" s="115" t="s">
        <v>2653</v>
      </c>
      <c r="E1822" s="133" t="str">
        <f t="shared" si="56"/>
        <v>1200000082PUC-52241 U961PT 05 MK VN</v>
      </c>
      <c r="F1822" s="133" t="s">
        <v>3699</v>
      </c>
      <c r="G1822" s="133" t="s">
        <v>3881</v>
      </c>
      <c r="H1822" s="133">
        <f>VLOOKUP(G1822,'packing mapping'!A:B,2,0)</f>
        <v>20</v>
      </c>
      <c r="I1822" s="137">
        <v>3437800</v>
      </c>
      <c r="J1822" s="132">
        <f t="shared" si="57"/>
        <v>171890</v>
      </c>
    </row>
    <row r="1823" spans="1:10">
      <c r="A1823" s="115" t="s">
        <v>253</v>
      </c>
      <c r="B1823" s="115" t="s">
        <v>254</v>
      </c>
      <c r="C1823" s="115" t="s">
        <v>2654</v>
      </c>
      <c r="D1823" s="115" t="s">
        <v>2655</v>
      </c>
      <c r="E1823" s="133" t="str">
        <f t="shared" si="56"/>
        <v>1200000082WFPU-51000 MKG08 MK VN</v>
      </c>
      <c r="F1823" s="133" t="s">
        <v>3700</v>
      </c>
      <c r="G1823" s="133" t="s">
        <v>3881</v>
      </c>
      <c r="H1823" s="133">
        <f>VLOOKUP(G1823,'packing mapping'!A:B,2,0)</f>
        <v>20</v>
      </c>
      <c r="I1823" s="137">
        <v>2332800</v>
      </c>
      <c r="J1823" s="132">
        <f t="shared" si="57"/>
        <v>116640</v>
      </c>
    </row>
    <row r="1824" spans="1:10">
      <c r="A1824" s="115" t="s">
        <v>253</v>
      </c>
      <c r="B1824" s="115" t="s">
        <v>254</v>
      </c>
      <c r="C1824" s="115" t="s">
        <v>2656</v>
      </c>
      <c r="D1824" s="115" t="s">
        <v>2657</v>
      </c>
      <c r="E1824" s="133" t="str">
        <f t="shared" si="56"/>
        <v>1200000082PCA-31100 MKG08 MK VN</v>
      </c>
      <c r="F1824" s="133" t="s">
        <v>3701</v>
      </c>
      <c r="G1824" s="133" t="s">
        <v>3895</v>
      </c>
      <c r="H1824" s="133">
        <f>VLOOKUP(G1824,'packing mapping'!A:B,2,0)</f>
        <v>16</v>
      </c>
      <c r="I1824" s="137">
        <v>2260480</v>
      </c>
      <c r="J1824" s="132">
        <f t="shared" si="57"/>
        <v>141280</v>
      </c>
    </row>
    <row r="1825" spans="1:10">
      <c r="A1825" s="115" t="s">
        <v>253</v>
      </c>
      <c r="B1825" s="115" t="s">
        <v>254</v>
      </c>
      <c r="C1825" s="115" t="s">
        <v>2658</v>
      </c>
      <c r="D1825" s="115" t="s">
        <v>2659</v>
      </c>
      <c r="E1825" s="133" t="str">
        <f t="shared" si="56"/>
        <v>1200000082GZPU-21500 MKG08 MK VN</v>
      </c>
      <c r="F1825" s="133" t="s">
        <v>3702</v>
      </c>
      <c r="G1825" s="133" t="s">
        <v>3882</v>
      </c>
      <c r="H1825" s="133">
        <f>VLOOKUP(G1825,'packing mapping'!A:B,2,0)</f>
        <v>18</v>
      </c>
      <c r="I1825" s="137">
        <v>5685660</v>
      </c>
      <c r="J1825" s="132">
        <f t="shared" si="57"/>
        <v>315870</v>
      </c>
    </row>
    <row r="1826" spans="1:10">
      <c r="A1826" s="115" t="s">
        <v>253</v>
      </c>
      <c r="B1826" s="115" t="s">
        <v>254</v>
      </c>
      <c r="C1826" s="115" t="s">
        <v>1422</v>
      </c>
      <c r="D1826" s="115" t="s">
        <v>1423</v>
      </c>
      <c r="E1826" s="133" t="str">
        <f t="shared" si="56"/>
        <v>1200000082THPU-71306 WP LC VN</v>
      </c>
      <c r="F1826" s="133" t="s">
        <v>3159</v>
      </c>
      <c r="G1826" s="133" t="s">
        <v>3880</v>
      </c>
      <c r="H1826" s="133">
        <f>VLOOKUP(G1826,'packing mapping'!A:B,2,0)</f>
        <v>20</v>
      </c>
      <c r="I1826" s="137">
        <v>1429600</v>
      </c>
      <c r="J1826" s="132">
        <f t="shared" si="57"/>
        <v>71480</v>
      </c>
    </row>
    <row r="1827" spans="1:10">
      <c r="A1827" s="115" t="s">
        <v>253</v>
      </c>
      <c r="B1827" s="115" t="s">
        <v>254</v>
      </c>
      <c r="C1827" s="115" t="s">
        <v>1332</v>
      </c>
      <c r="D1827" s="115" t="s">
        <v>1333</v>
      </c>
      <c r="E1827" s="133" t="str">
        <f t="shared" si="56"/>
        <v>1200000082WFPU-51000 VN</v>
      </c>
      <c r="F1827" s="133" t="s">
        <v>3117</v>
      </c>
      <c r="G1827" s="133" t="s">
        <v>3881</v>
      </c>
      <c r="H1827" s="133">
        <f>VLOOKUP(G1827,'packing mapping'!A:B,2,0)</f>
        <v>20</v>
      </c>
      <c r="I1827" s="137">
        <v>1742000</v>
      </c>
      <c r="J1827" s="132">
        <f t="shared" si="57"/>
        <v>87100</v>
      </c>
    </row>
    <row r="1828" spans="1:10">
      <c r="A1828" s="115" t="s">
        <v>253</v>
      </c>
      <c r="B1828" s="115" t="s">
        <v>254</v>
      </c>
      <c r="C1828" s="115" t="s">
        <v>2660</v>
      </c>
      <c r="D1828" s="115" t="s">
        <v>2661</v>
      </c>
      <c r="E1828" s="133" t="str">
        <f t="shared" si="56"/>
        <v>1200000082PUC-54206 AC EX MINK 05 MK VN</v>
      </c>
      <c r="F1828" s="133" t="s">
        <v>3703</v>
      </c>
      <c r="G1828" s="133" t="s">
        <v>3882</v>
      </c>
      <c r="H1828" s="133">
        <f>VLOOKUP(G1828,'packing mapping'!A:B,2,0)</f>
        <v>18</v>
      </c>
      <c r="I1828" s="137">
        <v>3613860</v>
      </c>
      <c r="J1828" s="132">
        <f t="shared" si="57"/>
        <v>200770</v>
      </c>
    </row>
    <row r="1829" spans="1:10">
      <c r="A1829" s="115" t="s">
        <v>253</v>
      </c>
      <c r="B1829" s="115" t="s">
        <v>254</v>
      </c>
      <c r="C1829" s="115" t="s">
        <v>1454</v>
      </c>
      <c r="D1829" s="115" t="s">
        <v>1455</v>
      </c>
      <c r="E1829" s="133" t="str">
        <f t="shared" si="56"/>
        <v>1200000082WBL-61202 CLEAR 20 VN</v>
      </c>
      <c r="F1829" s="133" t="s">
        <v>3175</v>
      </c>
      <c r="G1829" s="133" t="s">
        <v>3881</v>
      </c>
      <c r="H1829" s="133">
        <f>VLOOKUP(G1829,'packing mapping'!A:B,2,0)</f>
        <v>20</v>
      </c>
      <c r="I1829" s="137">
        <v>3263400</v>
      </c>
      <c r="J1829" s="132">
        <f t="shared" si="57"/>
        <v>163170</v>
      </c>
    </row>
    <row r="1830" spans="1:10">
      <c r="A1830" s="115" t="s">
        <v>253</v>
      </c>
      <c r="B1830" s="115" t="s">
        <v>254</v>
      </c>
      <c r="C1830" s="115" t="s">
        <v>2662</v>
      </c>
      <c r="D1830" s="115" t="s">
        <v>2663</v>
      </c>
      <c r="E1830" s="133" t="str">
        <f t="shared" si="56"/>
        <v>1200000082PUC-52239 BLACK 01 MK 05 VN</v>
      </c>
      <c r="F1830" s="133" t="s">
        <v>3704</v>
      </c>
      <c r="G1830" s="133" t="s">
        <v>3881</v>
      </c>
      <c r="H1830" s="133">
        <f>VLOOKUP(G1830,'packing mapping'!A:B,2,0)</f>
        <v>20</v>
      </c>
      <c r="I1830" s="137">
        <v>3338400</v>
      </c>
      <c r="J1830" s="132">
        <f t="shared" si="57"/>
        <v>166920</v>
      </c>
    </row>
    <row r="1831" spans="1:10">
      <c r="A1831" s="115" t="s">
        <v>253</v>
      </c>
      <c r="B1831" s="115" t="s">
        <v>254</v>
      </c>
      <c r="C1831" s="115" t="s">
        <v>2664</v>
      </c>
      <c r="D1831" s="115" t="s">
        <v>2665</v>
      </c>
      <c r="E1831" s="133" t="str">
        <f t="shared" si="56"/>
        <v>1200000082PUC-54205 AC PT18-4220 MK 08 VN</v>
      </c>
      <c r="F1831" s="133" t="s">
        <v>3705</v>
      </c>
      <c r="G1831" s="133" t="s">
        <v>3881</v>
      </c>
      <c r="H1831" s="133">
        <f>VLOOKUP(G1831,'packing mapping'!A:B,2,0)</f>
        <v>20</v>
      </c>
      <c r="I1831" s="137">
        <v>5334000</v>
      </c>
      <c r="J1831" s="132">
        <f t="shared" si="57"/>
        <v>266700</v>
      </c>
    </row>
    <row r="1832" spans="1:10">
      <c r="A1832" s="115" t="s">
        <v>253</v>
      </c>
      <c r="B1832" s="115" t="s">
        <v>254</v>
      </c>
      <c r="C1832" s="115" t="s">
        <v>2666</v>
      </c>
      <c r="D1832" s="115" t="s">
        <v>2667</v>
      </c>
      <c r="E1832" s="133" t="str">
        <f t="shared" si="56"/>
        <v>1200000082PCL-31300 NAU WALNUT MK VN</v>
      </c>
      <c r="F1832" s="133" t="s">
        <v>3706</v>
      </c>
      <c r="G1832" s="133" t="s">
        <v>3895</v>
      </c>
      <c r="H1832" s="133">
        <f>VLOOKUP(G1832,'packing mapping'!A:B,2,0)</f>
        <v>16</v>
      </c>
      <c r="I1832" s="137">
        <v>1541760</v>
      </c>
      <c r="J1832" s="132">
        <f t="shared" si="57"/>
        <v>96360</v>
      </c>
    </row>
    <row r="1833" spans="1:10">
      <c r="A1833" s="115" t="s">
        <v>253</v>
      </c>
      <c r="B1833" s="115" t="s">
        <v>254</v>
      </c>
      <c r="C1833" s="115" t="s">
        <v>2668</v>
      </c>
      <c r="D1833" s="115" t="s">
        <v>2669</v>
      </c>
      <c r="E1833" s="133" t="str">
        <f t="shared" si="56"/>
        <v>1200000082PUC-52241 XANH CHITRINH 10 MK VN</v>
      </c>
      <c r="F1833" s="133" t="s">
        <v>3707</v>
      </c>
      <c r="G1833" s="133" t="s">
        <v>3881</v>
      </c>
      <c r="H1833" s="133">
        <f>VLOOKUP(G1833,'packing mapping'!A:B,2,0)</f>
        <v>20</v>
      </c>
      <c r="I1833" s="137">
        <v>3514800</v>
      </c>
      <c r="J1833" s="132">
        <f t="shared" si="57"/>
        <v>175740</v>
      </c>
    </row>
    <row r="1834" spans="1:10">
      <c r="A1834" s="115" t="s">
        <v>253</v>
      </c>
      <c r="B1834" s="115" t="s">
        <v>254</v>
      </c>
      <c r="C1834" s="115" t="s">
        <v>2670</v>
      </c>
      <c r="D1834" s="115" t="s">
        <v>2671</v>
      </c>
      <c r="E1834" s="133" t="str">
        <f t="shared" si="56"/>
        <v>1200000082PCA-31100 TRANG 04VEN MK VN</v>
      </c>
      <c r="F1834" s="133" t="s">
        <v>3708</v>
      </c>
      <c r="G1834" s="133" t="s">
        <v>3895</v>
      </c>
      <c r="H1834" s="133">
        <f>VLOOKUP(G1834,'packing mapping'!A:B,2,0)</f>
        <v>16</v>
      </c>
      <c r="I1834" s="137">
        <v>1586240</v>
      </c>
      <c r="J1834" s="132">
        <f t="shared" si="57"/>
        <v>99140</v>
      </c>
    </row>
    <row r="1835" spans="1:10">
      <c r="A1835" s="115" t="s">
        <v>253</v>
      </c>
      <c r="B1835" s="115" t="s">
        <v>254</v>
      </c>
      <c r="C1835" s="115" t="s">
        <v>2672</v>
      </c>
      <c r="D1835" s="115" t="s">
        <v>2673</v>
      </c>
      <c r="E1835" s="133" t="str">
        <f t="shared" si="56"/>
        <v>1200000082PCA-31100 NAU 01VEN MK VN</v>
      </c>
      <c r="F1835" s="133" t="s">
        <v>3709</v>
      </c>
      <c r="G1835" s="133" t="s">
        <v>3895</v>
      </c>
      <c r="H1835" s="133">
        <f>VLOOKUP(G1835,'packing mapping'!A:B,2,0)</f>
        <v>16</v>
      </c>
      <c r="I1835" s="137">
        <v>1534080</v>
      </c>
      <c r="J1835" s="132">
        <f t="shared" si="57"/>
        <v>95880</v>
      </c>
    </row>
    <row r="1836" spans="1:10">
      <c r="A1836" s="115" t="s">
        <v>253</v>
      </c>
      <c r="B1836" s="115" t="s">
        <v>254</v>
      </c>
      <c r="C1836" s="115" t="s">
        <v>2674</v>
      </c>
      <c r="D1836" s="115" t="s">
        <v>2675</v>
      </c>
      <c r="E1836" s="133" t="str">
        <f t="shared" si="56"/>
        <v>1200000082WFPU-51000 NAU 01VEN MK VN</v>
      </c>
      <c r="F1836" s="133" t="s">
        <v>3710</v>
      </c>
      <c r="G1836" s="133" t="s">
        <v>3881</v>
      </c>
      <c r="H1836" s="133">
        <f>VLOOKUP(G1836,'packing mapping'!A:B,2,0)</f>
        <v>20</v>
      </c>
      <c r="I1836" s="137">
        <v>2209400</v>
      </c>
      <c r="J1836" s="132">
        <f t="shared" si="57"/>
        <v>110470</v>
      </c>
    </row>
    <row r="1837" spans="1:10">
      <c r="A1837" s="115" t="s">
        <v>253</v>
      </c>
      <c r="B1837" s="115" t="s">
        <v>254</v>
      </c>
      <c r="C1837" s="115" t="s">
        <v>2676</v>
      </c>
      <c r="D1837" s="115" t="s">
        <v>2677</v>
      </c>
      <c r="E1837" s="133" t="str">
        <f t="shared" si="56"/>
        <v>1200000082SST-11100 CAM 02VEN MK VN</v>
      </c>
      <c r="F1837" s="133" t="s">
        <v>3711</v>
      </c>
      <c r="G1837" s="133" t="s">
        <v>3895</v>
      </c>
      <c r="H1837" s="133">
        <f>VLOOKUP(G1837,'packing mapping'!A:B,2,0)</f>
        <v>16</v>
      </c>
      <c r="I1837" s="137">
        <v>1188960</v>
      </c>
      <c r="J1837" s="132">
        <f t="shared" si="57"/>
        <v>74310</v>
      </c>
    </row>
    <row r="1838" spans="1:10">
      <c r="A1838" s="115" t="s">
        <v>253</v>
      </c>
      <c r="B1838" s="115" t="s">
        <v>254</v>
      </c>
      <c r="C1838" s="115" t="s">
        <v>2678</v>
      </c>
      <c r="D1838" s="115" t="s">
        <v>2679</v>
      </c>
      <c r="E1838" s="133" t="str">
        <f t="shared" si="56"/>
        <v>1200000082PCA-31100 NAU 03VEN A MK VN</v>
      </c>
      <c r="F1838" s="133" t="s">
        <v>3712</v>
      </c>
      <c r="G1838" s="133" t="s">
        <v>3895</v>
      </c>
      <c r="H1838" s="133">
        <f>VLOOKUP(G1838,'packing mapping'!A:B,2,0)</f>
        <v>16</v>
      </c>
      <c r="I1838" s="137">
        <v>1400800</v>
      </c>
      <c r="J1838" s="132">
        <f t="shared" si="57"/>
        <v>87550</v>
      </c>
    </row>
    <row r="1839" spans="1:10">
      <c r="A1839" s="115" t="s">
        <v>253</v>
      </c>
      <c r="B1839" s="115" t="s">
        <v>254</v>
      </c>
      <c r="C1839" s="115" t="s">
        <v>2680</v>
      </c>
      <c r="D1839" s="115" t="s">
        <v>2681</v>
      </c>
      <c r="E1839" s="133" t="str">
        <f t="shared" si="56"/>
        <v>1200000082PCA-31100 CAM 03VEN B MK VN</v>
      </c>
      <c r="F1839" s="133" t="s">
        <v>3713</v>
      </c>
      <c r="G1839" s="133" t="s">
        <v>3895</v>
      </c>
      <c r="H1839" s="133">
        <f>VLOOKUP(G1839,'packing mapping'!A:B,2,0)</f>
        <v>16</v>
      </c>
      <c r="I1839" s="137">
        <v>1377600</v>
      </c>
      <c r="J1839" s="132">
        <f t="shared" si="57"/>
        <v>86100</v>
      </c>
    </row>
    <row r="1840" spans="1:10">
      <c r="A1840" s="115" t="s">
        <v>253</v>
      </c>
      <c r="B1840" s="115" t="s">
        <v>254</v>
      </c>
      <c r="C1840" s="115" t="s">
        <v>2682</v>
      </c>
      <c r="D1840" s="115" t="s">
        <v>2683</v>
      </c>
      <c r="E1840" s="133" t="str">
        <f t="shared" si="56"/>
        <v>1200000082GZPU-21500 DEN 03VEN MK VN</v>
      </c>
      <c r="F1840" s="133" t="s">
        <v>3714</v>
      </c>
      <c r="G1840" s="133" t="s">
        <v>3882</v>
      </c>
      <c r="H1840" s="133">
        <f>VLOOKUP(G1840,'packing mapping'!A:B,2,0)</f>
        <v>18</v>
      </c>
      <c r="I1840" s="137">
        <v>8176140</v>
      </c>
      <c r="J1840" s="132">
        <f t="shared" si="57"/>
        <v>454230</v>
      </c>
    </row>
    <row r="1841" spans="1:10">
      <c r="A1841" s="115" t="s">
        <v>253</v>
      </c>
      <c r="B1841" s="115" t="s">
        <v>254</v>
      </c>
      <c r="C1841" s="115" t="s">
        <v>2684</v>
      </c>
      <c r="D1841" s="115" t="s">
        <v>2685</v>
      </c>
      <c r="E1841" s="133" t="str">
        <f t="shared" si="56"/>
        <v>1200000082PUC-54205 AC GREY P06G 05 MK VN</v>
      </c>
      <c r="F1841" s="133" t="s">
        <v>3715</v>
      </c>
      <c r="G1841" s="133" t="s">
        <v>3881</v>
      </c>
      <c r="H1841" s="133">
        <f>VLOOKUP(G1841,'packing mapping'!A:B,2,0)</f>
        <v>20</v>
      </c>
      <c r="I1841" s="137">
        <v>4163000</v>
      </c>
      <c r="J1841" s="132">
        <f t="shared" si="57"/>
        <v>208150</v>
      </c>
    </row>
    <row r="1842" spans="1:10">
      <c r="A1842" s="115" t="s">
        <v>1081</v>
      </c>
      <c r="B1842" s="115" t="s">
        <v>1082</v>
      </c>
      <c r="C1842" s="115" t="s">
        <v>1188</v>
      </c>
      <c r="D1842" s="115" t="s">
        <v>1189</v>
      </c>
      <c r="E1842" s="133" t="str">
        <f t="shared" si="56"/>
        <v>1200001124PCA-31100 BLACK PASTE VN</v>
      </c>
      <c r="F1842" s="133" t="s">
        <v>3048</v>
      </c>
      <c r="G1842" s="133" t="s">
        <v>3883</v>
      </c>
      <c r="H1842" s="133">
        <f>VLOOKUP(G1842,'packing mapping'!A:B,2,0)</f>
        <v>4</v>
      </c>
      <c r="I1842" s="137">
        <v>1268400</v>
      </c>
      <c r="J1842" s="132">
        <f t="shared" si="57"/>
        <v>317100</v>
      </c>
    </row>
    <row r="1843" spans="1:10">
      <c r="A1843" s="115" t="s">
        <v>1081</v>
      </c>
      <c r="B1843" s="115" t="s">
        <v>1082</v>
      </c>
      <c r="C1843" s="115" t="s">
        <v>1370</v>
      </c>
      <c r="D1843" s="115" t="s">
        <v>1371</v>
      </c>
      <c r="E1843" s="133" t="str">
        <f t="shared" si="56"/>
        <v>1200001124PCA-31100 BLUE OG PASTE VN</v>
      </c>
      <c r="F1843" s="133" t="s">
        <v>3135</v>
      </c>
      <c r="G1843" s="133" t="s">
        <v>3883</v>
      </c>
      <c r="H1843" s="133">
        <f>VLOOKUP(G1843,'packing mapping'!A:B,2,0)</f>
        <v>4</v>
      </c>
      <c r="I1843" s="137">
        <v>1107560</v>
      </c>
      <c r="J1843" s="132">
        <f t="shared" si="57"/>
        <v>276890</v>
      </c>
    </row>
    <row r="1844" spans="1:10">
      <c r="A1844" s="115" t="s">
        <v>1081</v>
      </c>
      <c r="B1844" s="115" t="s">
        <v>1082</v>
      </c>
      <c r="C1844" s="115" t="s">
        <v>1374</v>
      </c>
      <c r="D1844" s="115" t="s">
        <v>1375</v>
      </c>
      <c r="E1844" s="133" t="str">
        <f t="shared" si="56"/>
        <v>1200001124PCA-31100 RED OB 35 PASTE VN</v>
      </c>
      <c r="F1844" s="133" t="s">
        <v>3137</v>
      </c>
      <c r="G1844" s="133" t="s">
        <v>3883</v>
      </c>
      <c r="H1844" s="133">
        <f>VLOOKUP(G1844,'packing mapping'!A:B,2,0)</f>
        <v>4</v>
      </c>
      <c r="I1844" s="137">
        <v>2035320</v>
      </c>
      <c r="J1844" s="132">
        <f t="shared" si="57"/>
        <v>508830</v>
      </c>
    </row>
    <row r="1845" spans="1:10">
      <c r="A1845" s="115" t="s">
        <v>1081</v>
      </c>
      <c r="B1845" s="115" t="s">
        <v>1082</v>
      </c>
      <c r="C1845" s="115" t="s">
        <v>1376</v>
      </c>
      <c r="D1845" s="115" t="s">
        <v>1377</v>
      </c>
      <c r="E1845" s="133" t="str">
        <f t="shared" si="56"/>
        <v>1200001124PCA-31100 YELLOW HR PASTE VN</v>
      </c>
      <c r="F1845" s="133" t="s">
        <v>3138</v>
      </c>
      <c r="G1845" s="133" t="s">
        <v>3883</v>
      </c>
      <c r="H1845" s="133">
        <f>VLOOKUP(G1845,'packing mapping'!A:B,2,0)</f>
        <v>4</v>
      </c>
      <c r="I1845" s="137">
        <v>1140720</v>
      </c>
      <c r="J1845" s="132">
        <f t="shared" si="57"/>
        <v>285180</v>
      </c>
    </row>
    <row r="1846" spans="1:10">
      <c r="A1846" s="115" t="s">
        <v>1081</v>
      </c>
      <c r="B1846" s="115" t="s">
        <v>1082</v>
      </c>
      <c r="C1846" s="115" t="s">
        <v>1860</v>
      </c>
      <c r="D1846" s="115" t="s">
        <v>1861</v>
      </c>
      <c r="E1846" s="133" t="str">
        <f t="shared" si="56"/>
        <v>1200001124PCWB-31600 BLACK AY PASTE</v>
      </c>
      <c r="F1846" s="133" t="s">
        <v>3353</v>
      </c>
      <c r="G1846" s="133" t="s">
        <v>3883</v>
      </c>
      <c r="H1846" s="133">
        <f>VLOOKUP(G1846,'packing mapping'!A:B,2,0)</f>
        <v>4</v>
      </c>
      <c r="I1846" s="137">
        <v>1213400</v>
      </c>
      <c r="J1846" s="132">
        <f t="shared" si="57"/>
        <v>303350</v>
      </c>
    </row>
    <row r="1847" spans="1:10">
      <c r="A1847" s="115" t="s">
        <v>1081</v>
      </c>
      <c r="B1847" s="115" t="s">
        <v>1082</v>
      </c>
      <c r="C1847" s="115" t="s">
        <v>2686</v>
      </c>
      <c r="D1847" s="115" t="s">
        <v>2687</v>
      </c>
      <c r="E1847" s="133" t="str">
        <f t="shared" si="56"/>
        <v>1200001124PCWB-31600 OXIDE RED PASTE</v>
      </c>
      <c r="F1847" s="133" t="s">
        <v>3716</v>
      </c>
      <c r="G1847" s="133" t="s">
        <v>3883</v>
      </c>
      <c r="H1847" s="133">
        <f>VLOOKUP(G1847,'packing mapping'!A:B,2,0)</f>
        <v>4</v>
      </c>
      <c r="I1847" s="137">
        <v>915200</v>
      </c>
      <c r="J1847" s="132">
        <f t="shared" si="57"/>
        <v>228800</v>
      </c>
    </row>
    <row r="1848" spans="1:10">
      <c r="A1848" s="115" t="s">
        <v>1081</v>
      </c>
      <c r="B1848" s="115" t="s">
        <v>1082</v>
      </c>
      <c r="C1848" s="115" t="s">
        <v>1862</v>
      </c>
      <c r="D1848" s="115" t="s">
        <v>1863</v>
      </c>
      <c r="E1848" s="133" t="str">
        <f t="shared" si="56"/>
        <v>1200001124PCWB-31600 RED AB PASTE</v>
      </c>
      <c r="F1848" s="133" t="s">
        <v>3354</v>
      </c>
      <c r="G1848" s="133" t="s">
        <v>3883</v>
      </c>
      <c r="H1848" s="133">
        <f>VLOOKUP(G1848,'packing mapping'!A:B,2,0)</f>
        <v>4</v>
      </c>
      <c r="I1848" s="137">
        <v>995400</v>
      </c>
      <c r="J1848" s="132">
        <f t="shared" si="57"/>
        <v>248850</v>
      </c>
    </row>
    <row r="1849" spans="1:10">
      <c r="A1849" s="115" t="s">
        <v>1081</v>
      </c>
      <c r="B1849" s="115" t="s">
        <v>1082</v>
      </c>
      <c r="C1849" s="115" t="s">
        <v>1866</v>
      </c>
      <c r="D1849" s="115" t="s">
        <v>1867</v>
      </c>
      <c r="E1849" s="133" t="str">
        <f t="shared" si="56"/>
        <v>1200001124PCWB-31600 WHITE PASTE</v>
      </c>
      <c r="F1849" s="133" t="s">
        <v>3356</v>
      </c>
      <c r="G1849" s="133" t="s">
        <v>3883</v>
      </c>
      <c r="H1849" s="133">
        <f>VLOOKUP(G1849,'packing mapping'!A:B,2,0)</f>
        <v>4</v>
      </c>
      <c r="I1849" s="137">
        <v>685880</v>
      </c>
      <c r="J1849" s="132">
        <f t="shared" si="57"/>
        <v>171470</v>
      </c>
    </row>
    <row r="1850" spans="1:10">
      <c r="A1850" s="115" t="s">
        <v>1081</v>
      </c>
      <c r="B1850" s="115" t="s">
        <v>1082</v>
      </c>
      <c r="C1850" s="115" t="s">
        <v>1872</v>
      </c>
      <c r="D1850" s="115" t="s">
        <v>1873</v>
      </c>
      <c r="E1850" s="133" t="str">
        <f t="shared" si="56"/>
        <v>1200001124PCWB-31601 YELLOW 100 OR PASTE</v>
      </c>
      <c r="F1850" s="133" t="s">
        <v>3359</v>
      </c>
      <c r="G1850" s="133" t="s">
        <v>3883</v>
      </c>
      <c r="H1850" s="133">
        <f>VLOOKUP(G1850,'packing mapping'!A:B,2,0)</f>
        <v>4</v>
      </c>
      <c r="I1850" s="137">
        <v>2640120</v>
      </c>
      <c r="J1850" s="132">
        <f t="shared" si="57"/>
        <v>660030</v>
      </c>
    </row>
    <row r="1851" spans="1:10">
      <c r="A1851" s="115" t="s">
        <v>1081</v>
      </c>
      <c r="B1851" s="115" t="s">
        <v>1082</v>
      </c>
      <c r="C1851" s="115" t="s">
        <v>1478</v>
      </c>
      <c r="D1851" s="115" t="s">
        <v>1479</v>
      </c>
      <c r="E1851" s="133" t="str">
        <f t="shared" si="56"/>
        <v>1200001124PUSS-51241 VN</v>
      </c>
      <c r="F1851" s="133" t="s">
        <v>3185</v>
      </c>
      <c r="G1851" s="133" t="s">
        <v>3881</v>
      </c>
      <c r="H1851" s="133">
        <f>VLOOKUP(G1851,'packing mapping'!A:B,2,0)</f>
        <v>20</v>
      </c>
      <c r="I1851" s="137">
        <v>1747200</v>
      </c>
      <c r="J1851" s="132">
        <f t="shared" si="57"/>
        <v>87360</v>
      </c>
    </row>
    <row r="1852" spans="1:10">
      <c r="A1852" s="115" t="s">
        <v>1081</v>
      </c>
      <c r="B1852" s="115" t="s">
        <v>1082</v>
      </c>
      <c r="C1852" s="115" t="s">
        <v>1220</v>
      </c>
      <c r="D1852" s="115" t="s">
        <v>1221</v>
      </c>
      <c r="E1852" s="133" t="str">
        <f t="shared" si="56"/>
        <v>1200001124SST-11100 C10 BLACK</v>
      </c>
      <c r="F1852" s="133" t="s">
        <v>3064</v>
      </c>
      <c r="G1852" s="133" t="s">
        <v>3883</v>
      </c>
      <c r="H1852" s="133">
        <f>VLOOKUP(G1852,'packing mapping'!A:B,2,0)</f>
        <v>4</v>
      </c>
      <c r="I1852" s="137">
        <v>771960</v>
      </c>
      <c r="J1852" s="132">
        <f t="shared" si="57"/>
        <v>192990</v>
      </c>
    </row>
    <row r="1853" spans="1:10">
      <c r="A1853" s="115" t="s">
        <v>1081</v>
      </c>
      <c r="B1853" s="115" t="s">
        <v>1082</v>
      </c>
      <c r="C1853" s="115" t="s">
        <v>1222</v>
      </c>
      <c r="D1853" s="115" t="s">
        <v>1223</v>
      </c>
      <c r="E1853" s="133" t="str">
        <f t="shared" si="56"/>
        <v>1200001124SST-11100 C10 BLUE</v>
      </c>
      <c r="F1853" s="133" t="s">
        <v>3065</v>
      </c>
      <c r="G1853" s="133" t="s">
        <v>3883</v>
      </c>
      <c r="H1853" s="133">
        <f>VLOOKUP(G1853,'packing mapping'!A:B,2,0)</f>
        <v>4</v>
      </c>
      <c r="I1853" s="137">
        <v>2336480</v>
      </c>
      <c r="J1853" s="132">
        <f t="shared" si="57"/>
        <v>584120</v>
      </c>
    </row>
    <row r="1854" spans="1:10">
      <c r="A1854" s="115" t="s">
        <v>1081</v>
      </c>
      <c r="B1854" s="115" t="s">
        <v>1082</v>
      </c>
      <c r="C1854" s="115" t="s">
        <v>1226</v>
      </c>
      <c r="D1854" s="115" t="s">
        <v>1227</v>
      </c>
      <c r="E1854" s="133" t="str">
        <f t="shared" si="56"/>
        <v>1200001124SST-11100 C10 RED</v>
      </c>
      <c r="F1854" s="133" t="s">
        <v>3067</v>
      </c>
      <c r="G1854" s="133" t="s">
        <v>3883</v>
      </c>
      <c r="H1854" s="133">
        <f>VLOOKUP(G1854,'packing mapping'!A:B,2,0)</f>
        <v>4</v>
      </c>
      <c r="I1854" s="137">
        <v>803480</v>
      </c>
      <c r="J1854" s="132">
        <f t="shared" si="57"/>
        <v>200870</v>
      </c>
    </row>
    <row r="1855" spans="1:10">
      <c r="A1855" s="115" t="s">
        <v>1081</v>
      </c>
      <c r="B1855" s="115" t="s">
        <v>1082</v>
      </c>
      <c r="C1855" s="115" t="s">
        <v>1228</v>
      </c>
      <c r="D1855" s="115" t="s">
        <v>1229</v>
      </c>
      <c r="E1855" s="133" t="str">
        <f t="shared" si="56"/>
        <v>1200001124SST-11100 C10 YELLOW</v>
      </c>
      <c r="F1855" s="133" t="s">
        <v>3068</v>
      </c>
      <c r="G1855" s="133" t="s">
        <v>3883</v>
      </c>
      <c r="H1855" s="133">
        <f>VLOOKUP(G1855,'packing mapping'!A:B,2,0)</f>
        <v>4</v>
      </c>
      <c r="I1855" s="137">
        <v>689640</v>
      </c>
      <c r="J1855" s="132">
        <f t="shared" si="57"/>
        <v>172410</v>
      </c>
    </row>
    <row r="1856" spans="1:10">
      <c r="A1856" s="115" t="s">
        <v>1081</v>
      </c>
      <c r="B1856" s="115" t="s">
        <v>1082</v>
      </c>
      <c r="C1856" s="115" t="s">
        <v>1730</v>
      </c>
      <c r="D1856" s="115" t="s">
        <v>1731</v>
      </c>
      <c r="E1856" s="133" t="str">
        <f t="shared" si="56"/>
        <v>1200001124THC-73100 202 VN</v>
      </c>
      <c r="F1856" s="133" t="s">
        <v>3300</v>
      </c>
      <c r="G1856" s="133" t="s">
        <v>3880</v>
      </c>
      <c r="H1856" s="133">
        <f>VLOOKUP(G1856,'packing mapping'!A:B,2,0)</f>
        <v>20</v>
      </c>
      <c r="I1856" s="137">
        <v>1062000</v>
      </c>
      <c r="J1856" s="132">
        <f t="shared" si="57"/>
        <v>53100</v>
      </c>
    </row>
    <row r="1857" spans="1:10">
      <c r="A1857" s="115" t="s">
        <v>1081</v>
      </c>
      <c r="B1857" s="115" t="s">
        <v>1082</v>
      </c>
      <c r="C1857" s="115" t="s">
        <v>2606</v>
      </c>
      <c r="D1857" s="115" t="s">
        <v>2607</v>
      </c>
      <c r="E1857" s="133" t="str">
        <f t="shared" si="56"/>
        <v>1200001124THC-73100-1103 KD VN</v>
      </c>
      <c r="F1857" s="133" t="s">
        <v>3506</v>
      </c>
      <c r="G1857" s="133" t="s">
        <v>3880</v>
      </c>
      <c r="H1857" s="133">
        <f>VLOOKUP(G1857,'packing mapping'!A:B,2,0)</f>
        <v>20</v>
      </c>
      <c r="I1857" s="137">
        <v>660000</v>
      </c>
      <c r="J1857" s="132">
        <f t="shared" si="57"/>
        <v>33000</v>
      </c>
    </row>
    <row r="1858" spans="1:10">
      <c r="A1858" s="115" t="s">
        <v>1081</v>
      </c>
      <c r="B1858" s="115" t="s">
        <v>1082</v>
      </c>
      <c r="C1858" s="115" t="s">
        <v>1232</v>
      </c>
      <c r="D1858" s="115" t="s">
        <v>1233</v>
      </c>
      <c r="E1858" s="133" t="str">
        <f t="shared" si="56"/>
        <v>1200001124THC-73100-201 VN</v>
      </c>
      <c r="F1858" s="133" t="s">
        <v>3070</v>
      </c>
      <c r="G1858" s="133" t="s">
        <v>3880</v>
      </c>
      <c r="H1858" s="133">
        <f>VLOOKUP(G1858,'packing mapping'!A:B,2,0)</f>
        <v>20</v>
      </c>
      <c r="I1858" s="137">
        <v>1024800</v>
      </c>
      <c r="J1858" s="132">
        <f t="shared" si="57"/>
        <v>51240</v>
      </c>
    </row>
    <row r="1859" spans="1:10">
      <c r="A1859" s="115" t="s">
        <v>1081</v>
      </c>
      <c r="B1859" s="115" t="s">
        <v>1082</v>
      </c>
      <c r="C1859" s="115" t="s">
        <v>1242</v>
      </c>
      <c r="D1859" s="115" t="s">
        <v>1243</v>
      </c>
      <c r="E1859" s="133" t="str">
        <f t="shared" ref="E1859:E1922" si="58">A1859&amp;F1859</f>
        <v>1200001124THPU-71306 ST VN</v>
      </c>
      <c r="F1859" s="133" t="s">
        <v>3039</v>
      </c>
      <c r="G1859" s="133" t="s">
        <v>3884</v>
      </c>
      <c r="H1859" s="133">
        <f>VLOOKUP(G1859,'packing mapping'!A:B,2,0)</f>
        <v>200</v>
      </c>
      <c r="I1859" s="137">
        <v>9000000</v>
      </c>
      <c r="J1859" s="132">
        <f t="shared" ref="J1859:J1922" si="59">I1859/H1859</f>
        <v>45000</v>
      </c>
    </row>
    <row r="1860" spans="1:10">
      <c r="A1860" s="115" t="s">
        <v>1081</v>
      </c>
      <c r="B1860" s="115" t="s">
        <v>1082</v>
      </c>
      <c r="C1860" s="115" t="s">
        <v>1170</v>
      </c>
      <c r="D1860" s="115" t="s">
        <v>1171</v>
      </c>
      <c r="E1860" s="133" t="str">
        <f t="shared" si="58"/>
        <v>1200001124THPU-71306 ST VN</v>
      </c>
      <c r="F1860" s="133" t="s">
        <v>3039</v>
      </c>
      <c r="G1860" s="133" t="s">
        <v>3880</v>
      </c>
      <c r="H1860" s="133">
        <f>VLOOKUP(G1860,'packing mapping'!A:B,2,0)</f>
        <v>20</v>
      </c>
      <c r="I1860" s="137">
        <v>1029600</v>
      </c>
      <c r="J1860" s="132">
        <f t="shared" si="59"/>
        <v>51480</v>
      </c>
    </row>
    <row r="1861" spans="1:10">
      <c r="A1861" s="115" t="s">
        <v>1081</v>
      </c>
      <c r="B1861" s="115" t="s">
        <v>1082</v>
      </c>
      <c r="C1861" s="115" t="s">
        <v>1884</v>
      </c>
      <c r="D1861" s="115" t="s">
        <v>1885</v>
      </c>
      <c r="E1861" s="133" t="str">
        <f t="shared" si="58"/>
        <v>1200001124PCWB-31601 BLUE OR PASTE</v>
      </c>
      <c r="F1861" s="133" t="s">
        <v>3364</v>
      </c>
      <c r="G1861" s="133" t="s">
        <v>3883</v>
      </c>
      <c r="H1861" s="133">
        <f>VLOOKUP(G1861,'packing mapping'!A:B,2,0)</f>
        <v>4</v>
      </c>
      <c r="I1861" s="137">
        <v>2177280</v>
      </c>
      <c r="J1861" s="132">
        <f t="shared" si="59"/>
        <v>544320</v>
      </c>
    </row>
    <row r="1862" spans="1:10">
      <c r="A1862" s="115" t="s">
        <v>1081</v>
      </c>
      <c r="B1862" s="115" t="s">
        <v>1082</v>
      </c>
      <c r="C1862" s="115" t="s">
        <v>2688</v>
      </c>
      <c r="D1862" s="115" t="s">
        <v>2689</v>
      </c>
      <c r="E1862" s="133" t="str">
        <f t="shared" si="58"/>
        <v>1200001124DC-12223 LC WHITE 01 20 VN</v>
      </c>
      <c r="F1862" s="133" t="s">
        <v>3717</v>
      </c>
      <c r="G1862" s="133" t="s">
        <v>3881</v>
      </c>
      <c r="H1862" s="133">
        <f>VLOOKUP(G1862,'packing mapping'!A:B,2,0)</f>
        <v>20</v>
      </c>
      <c r="I1862" s="137">
        <v>3477000</v>
      </c>
      <c r="J1862" s="132">
        <f t="shared" si="59"/>
        <v>173850</v>
      </c>
    </row>
    <row r="1863" spans="1:10">
      <c r="A1863" s="115" t="s">
        <v>1081</v>
      </c>
      <c r="B1863" s="115" t="s">
        <v>1082</v>
      </c>
      <c r="C1863" s="115" t="s">
        <v>1258</v>
      </c>
      <c r="D1863" s="115" t="s">
        <v>1259</v>
      </c>
      <c r="E1863" s="133" t="str">
        <f t="shared" si="58"/>
        <v>1200001124DP-12123 LC WHITE 01 VN</v>
      </c>
      <c r="F1863" s="133" t="s">
        <v>3082</v>
      </c>
      <c r="G1863" s="133" t="s">
        <v>3881</v>
      </c>
      <c r="H1863" s="133">
        <f>VLOOKUP(G1863,'packing mapping'!A:B,2,0)</f>
        <v>20</v>
      </c>
      <c r="I1863" s="137">
        <v>1993000</v>
      </c>
      <c r="J1863" s="132">
        <f t="shared" si="59"/>
        <v>99650</v>
      </c>
    </row>
    <row r="1864" spans="1:10">
      <c r="A1864" s="115" t="s">
        <v>1081</v>
      </c>
      <c r="B1864" s="115" t="s">
        <v>1082</v>
      </c>
      <c r="C1864" s="115" t="s">
        <v>1262</v>
      </c>
      <c r="D1864" s="115" t="s">
        <v>1263</v>
      </c>
      <c r="E1864" s="133" t="str">
        <f t="shared" si="58"/>
        <v>1200001124NCL-11329 LC CLEAR 10 VN</v>
      </c>
      <c r="F1864" s="133" t="s">
        <v>3084</v>
      </c>
      <c r="G1864" s="133" t="s">
        <v>3879</v>
      </c>
      <c r="H1864" s="133">
        <f>VLOOKUP(G1864,'packing mapping'!A:B,2,0)</f>
        <v>20</v>
      </c>
      <c r="I1864" s="137">
        <v>2046000</v>
      </c>
      <c r="J1864" s="132">
        <f t="shared" si="59"/>
        <v>102300</v>
      </c>
    </row>
    <row r="1865" spans="1:10">
      <c r="A1865" s="115" t="s">
        <v>1081</v>
      </c>
      <c r="B1865" s="115" t="s">
        <v>1082</v>
      </c>
      <c r="C1865" s="115" t="s">
        <v>1264</v>
      </c>
      <c r="D1865" s="115" t="s">
        <v>1265</v>
      </c>
      <c r="E1865" s="133" t="str">
        <f t="shared" si="58"/>
        <v>1200001124NCL-11329 LC CLEAR 20 VN</v>
      </c>
      <c r="F1865" s="133" t="s">
        <v>3085</v>
      </c>
      <c r="G1865" s="133" t="s">
        <v>3879</v>
      </c>
      <c r="H1865" s="133">
        <f>VLOOKUP(G1865,'packing mapping'!A:B,2,0)</f>
        <v>20</v>
      </c>
      <c r="I1865" s="137">
        <v>1778800</v>
      </c>
      <c r="J1865" s="132">
        <f t="shared" si="59"/>
        <v>88940</v>
      </c>
    </row>
    <row r="1866" spans="1:10">
      <c r="A1866" s="115" t="s">
        <v>1081</v>
      </c>
      <c r="B1866" s="115" t="s">
        <v>1082</v>
      </c>
      <c r="C1866" s="115" t="s">
        <v>1272</v>
      </c>
      <c r="D1866" s="115" t="s">
        <v>1273</v>
      </c>
      <c r="E1866" s="133" t="str">
        <f t="shared" si="58"/>
        <v>1200001124NCSS-11229 LC VN</v>
      </c>
      <c r="F1866" s="133" t="s">
        <v>3089</v>
      </c>
      <c r="G1866" s="133" t="s">
        <v>3879</v>
      </c>
      <c r="H1866" s="133">
        <f>VLOOKUP(G1866,'packing mapping'!A:B,2,0)</f>
        <v>20</v>
      </c>
      <c r="I1866" s="137">
        <v>1768200</v>
      </c>
      <c r="J1866" s="132">
        <f t="shared" si="59"/>
        <v>88410</v>
      </c>
    </row>
    <row r="1867" spans="1:10">
      <c r="A1867" s="115" t="s">
        <v>1081</v>
      </c>
      <c r="B1867" s="115" t="s">
        <v>1082</v>
      </c>
      <c r="C1867" s="115" t="s">
        <v>1298</v>
      </c>
      <c r="D1867" s="115" t="s">
        <v>1299</v>
      </c>
      <c r="E1867" s="133" t="str">
        <f t="shared" si="58"/>
        <v>1200001124PUP-52122 PUTTY VN</v>
      </c>
      <c r="F1867" s="133" t="s">
        <v>3100</v>
      </c>
      <c r="G1867" s="133" t="s">
        <v>3883</v>
      </c>
      <c r="H1867" s="133">
        <f>VLOOKUP(G1867,'packing mapping'!A:B,2,0)</f>
        <v>4</v>
      </c>
      <c r="I1867" s="137">
        <v>509040</v>
      </c>
      <c r="J1867" s="132">
        <f t="shared" si="59"/>
        <v>127260</v>
      </c>
    </row>
    <row r="1868" spans="1:10">
      <c r="A1868" s="115" t="s">
        <v>1081</v>
      </c>
      <c r="B1868" s="115" t="s">
        <v>1082</v>
      </c>
      <c r="C1868" s="115" t="s">
        <v>2690</v>
      </c>
      <c r="D1868" s="115" t="s">
        <v>2691</v>
      </c>
      <c r="E1868" s="133" t="str">
        <f t="shared" si="58"/>
        <v>1200001124UVP-60103 HF WHITE VN</v>
      </c>
      <c r="F1868" s="133" t="s">
        <v>3718</v>
      </c>
      <c r="G1868" s="133" t="s">
        <v>3881</v>
      </c>
      <c r="H1868" s="133">
        <f>VLOOKUP(G1868,'packing mapping'!A:B,2,0)</f>
        <v>20</v>
      </c>
      <c r="I1868" s="137">
        <v>3064000</v>
      </c>
      <c r="J1868" s="132">
        <f t="shared" si="59"/>
        <v>153200</v>
      </c>
    </row>
    <row r="1869" spans="1:10">
      <c r="A1869" s="115" t="s">
        <v>1081</v>
      </c>
      <c r="B1869" s="115" t="s">
        <v>1082</v>
      </c>
      <c r="C1869" s="115" t="s">
        <v>1418</v>
      </c>
      <c r="D1869" s="115" t="s">
        <v>1419</v>
      </c>
      <c r="E1869" s="133" t="str">
        <f t="shared" si="58"/>
        <v>1200001124WBL-61204 CLEAR 20 VN</v>
      </c>
      <c r="F1869" s="133" t="s">
        <v>3157</v>
      </c>
      <c r="G1869" s="133" t="s">
        <v>3881</v>
      </c>
      <c r="H1869" s="133">
        <f>VLOOKUP(G1869,'packing mapping'!A:B,2,0)</f>
        <v>20</v>
      </c>
      <c r="I1869" s="137">
        <v>2190400</v>
      </c>
      <c r="J1869" s="132">
        <f t="shared" si="59"/>
        <v>109520</v>
      </c>
    </row>
    <row r="1870" spans="1:10">
      <c r="A1870" s="115" t="s">
        <v>1081</v>
      </c>
      <c r="B1870" s="115" t="s">
        <v>1082</v>
      </c>
      <c r="C1870" s="115" t="s">
        <v>1420</v>
      </c>
      <c r="D1870" s="115" t="s">
        <v>1421</v>
      </c>
      <c r="E1870" s="133" t="str">
        <f t="shared" si="58"/>
        <v>1200001124WBSS-61104 VN</v>
      </c>
      <c r="F1870" s="133" t="s">
        <v>3158</v>
      </c>
      <c r="G1870" s="133" t="s">
        <v>3881</v>
      </c>
      <c r="H1870" s="133">
        <f>VLOOKUP(G1870,'packing mapping'!A:B,2,0)</f>
        <v>20</v>
      </c>
      <c r="I1870" s="137">
        <v>2108400</v>
      </c>
      <c r="J1870" s="132">
        <f t="shared" si="59"/>
        <v>105420</v>
      </c>
    </row>
    <row r="1871" spans="1:10">
      <c r="A1871" s="115" t="s">
        <v>1081</v>
      </c>
      <c r="B1871" s="115" t="s">
        <v>1082</v>
      </c>
      <c r="C1871" s="115" t="s">
        <v>1496</v>
      </c>
      <c r="D1871" s="115" t="s">
        <v>1497</v>
      </c>
      <c r="E1871" s="133" t="str">
        <f t="shared" si="58"/>
        <v>1200001124PUH-56141 VN</v>
      </c>
      <c r="F1871" s="133" t="s">
        <v>3189</v>
      </c>
      <c r="G1871" s="133" t="s">
        <v>3881</v>
      </c>
      <c r="H1871" s="133">
        <f>VLOOKUP(G1871,'packing mapping'!A:B,2,0)</f>
        <v>20</v>
      </c>
      <c r="I1871" s="137">
        <v>1871200</v>
      </c>
      <c r="J1871" s="132">
        <f t="shared" si="59"/>
        <v>93560</v>
      </c>
    </row>
    <row r="1872" spans="1:10">
      <c r="A1872" s="115" t="s">
        <v>1081</v>
      </c>
      <c r="B1872" s="115" t="s">
        <v>1082</v>
      </c>
      <c r="C1872" s="115" t="s">
        <v>2692</v>
      </c>
      <c r="D1872" s="115" t="s">
        <v>2693</v>
      </c>
      <c r="E1872" s="133" t="str">
        <f t="shared" si="58"/>
        <v>1200001124UVS-20602 BASE BLACK VN</v>
      </c>
      <c r="F1872" s="133" t="s">
        <v>3719</v>
      </c>
      <c r="G1872" s="133" t="s">
        <v>3886</v>
      </c>
      <c r="H1872" s="133">
        <f>VLOOKUP(G1872,'packing mapping'!A:B,2,0)</f>
        <v>5</v>
      </c>
      <c r="I1872" s="137">
        <v>2127300</v>
      </c>
      <c r="J1872" s="132">
        <f t="shared" si="59"/>
        <v>425460</v>
      </c>
    </row>
    <row r="1873" spans="1:10">
      <c r="A1873" s="115" t="s">
        <v>1081</v>
      </c>
      <c r="B1873" s="115" t="s">
        <v>1082</v>
      </c>
      <c r="C1873" s="115" t="s">
        <v>2694</v>
      </c>
      <c r="D1873" s="115" t="s">
        <v>2695</v>
      </c>
      <c r="E1873" s="133" t="str">
        <f t="shared" si="58"/>
        <v>1200001124UVS-20602 BASE YELLOW VN</v>
      </c>
      <c r="F1873" s="133" t="s">
        <v>3720</v>
      </c>
      <c r="G1873" s="133" t="s">
        <v>3886</v>
      </c>
      <c r="H1873" s="133">
        <f>VLOOKUP(G1873,'packing mapping'!A:B,2,0)</f>
        <v>5</v>
      </c>
      <c r="I1873" s="137">
        <v>2874900</v>
      </c>
      <c r="J1873" s="132">
        <f t="shared" si="59"/>
        <v>574980</v>
      </c>
    </row>
    <row r="1874" spans="1:10">
      <c r="A1874" s="115" t="s">
        <v>1081</v>
      </c>
      <c r="B1874" s="115" t="s">
        <v>1082</v>
      </c>
      <c r="C1874" s="115" t="s">
        <v>2696</v>
      </c>
      <c r="D1874" s="115" t="s">
        <v>2697</v>
      </c>
      <c r="E1874" s="133" t="str">
        <f t="shared" si="58"/>
        <v>1200001124UVS-20602 BASE BLUE VN</v>
      </c>
      <c r="F1874" s="133" t="s">
        <v>3721</v>
      </c>
      <c r="G1874" s="133" t="s">
        <v>3886</v>
      </c>
      <c r="H1874" s="133">
        <f>VLOOKUP(G1874,'packing mapping'!A:B,2,0)</f>
        <v>5</v>
      </c>
      <c r="I1874" s="137">
        <v>2276400</v>
      </c>
      <c r="J1874" s="132">
        <f t="shared" si="59"/>
        <v>455280</v>
      </c>
    </row>
    <row r="1875" spans="1:10">
      <c r="A1875" s="115" t="s">
        <v>1081</v>
      </c>
      <c r="B1875" s="115" t="s">
        <v>1082</v>
      </c>
      <c r="C1875" s="115" t="s">
        <v>2698</v>
      </c>
      <c r="D1875" s="115" t="s">
        <v>2699</v>
      </c>
      <c r="E1875" s="133" t="str">
        <f t="shared" si="58"/>
        <v>1200001124UVS-20602 BASE RED VN</v>
      </c>
      <c r="F1875" s="133" t="s">
        <v>3722</v>
      </c>
      <c r="G1875" s="133" t="s">
        <v>3886</v>
      </c>
      <c r="H1875" s="133">
        <f>VLOOKUP(G1875,'packing mapping'!A:B,2,0)</f>
        <v>5</v>
      </c>
      <c r="I1875" s="137">
        <v>3073350</v>
      </c>
      <c r="J1875" s="132">
        <f t="shared" si="59"/>
        <v>614670</v>
      </c>
    </row>
    <row r="1876" spans="1:10">
      <c r="A1876" s="115" t="s">
        <v>1081</v>
      </c>
      <c r="B1876" s="115" t="s">
        <v>1082</v>
      </c>
      <c r="C1876" s="115" t="s">
        <v>1806</v>
      </c>
      <c r="D1876" s="115" t="s">
        <v>1807</v>
      </c>
      <c r="E1876" s="133" t="str">
        <f t="shared" si="58"/>
        <v>1200001124UVSS-40104 VN</v>
      </c>
      <c r="F1876" s="133" t="s">
        <v>3327</v>
      </c>
      <c r="G1876" s="133" t="s">
        <v>3881</v>
      </c>
      <c r="H1876" s="133">
        <f>VLOOKUP(G1876,'packing mapping'!A:B,2,0)</f>
        <v>20</v>
      </c>
      <c r="I1876" s="137">
        <v>2179800</v>
      </c>
      <c r="J1876" s="132">
        <f t="shared" si="59"/>
        <v>108990</v>
      </c>
    </row>
    <row r="1877" spans="1:10">
      <c r="A1877" s="115" t="s">
        <v>1081</v>
      </c>
      <c r="B1877" s="115" t="s">
        <v>1082</v>
      </c>
      <c r="C1877" s="115" t="s">
        <v>2700</v>
      </c>
      <c r="D1877" s="115" t="s">
        <v>2701</v>
      </c>
      <c r="E1877" s="133" t="str">
        <f t="shared" si="58"/>
        <v>1200001124UVL-50508 LY CLEAR 08 VN</v>
      </c>
      <c r="F1877" s="133" t="s">
        <v>3723</v>
      </c>
      <c r="G1877" s="133" t="s">
        <v>3881</v>
      </c>
      <c r="H1877" s="133">
        <f>VLOOKUP(G1877,'packing mapping'!A:B,2,0)</f>
        <v>20</v>
      </c>
      <c r="I1877" s="137">
        <v>12198000</v>
      </c>
      <c r="J1877" s="132">
        <f t="shared" si="59"/>
        <v>609900</v>
      </c>
    </row>
    <row r="1878" spans="1:10">
      <c r="A1878" s="115" t="s">
        <v>1081</v>
      </c>
      <c r="B1878" s="115" t="s">
        <v>1082</v>
      </c>
      <c r="C1878" s="115" t="s">
        <v>2702</v>
      </c>
      <c r="D1878" s="115" t="s">
        <v>2703</v>
      </c>
      <c r="E1878" s="133" t="str">
        <f t="shared" si="58"/>
        <v>1200001124UVSS-40502 LY VN</v>
      </c>
      <c r="F1878" s="133" t="s">
        <v>3724</v>
      </c>
      <c r="G1878" s="133" t="s">
        <v>3881</v>
      </c>
      <c r="H1878" s="133">
        <f>VLOOKUP(G1878,'packing mapping'!A:B,2,0)</f>
        <v>20</v>
      </c>
      <c r="I1878" s="137">
        <v>6075400</v>
      </c>
      <c r="J1878" s="132">
        <f t="shared" si="59"/>
        <v>303770</v>
      </c>
    </row>
    <row r="1879" spans="1:10">
      <c r="A1879" s="115" t="s">
        <v>1081</v>
      </c>
      <c r="B1879" s="115" t="s">
        <v>1082</v>
      </c>
      <c r="C1879" s="115" t="s">
        <v>2704</v>
      </c>
      <c r="D1879" s="115" t="s">
        <v>2705</v>
      </c>
      <c r="E1879" s="133" t="str">
        <f t="shared" si="58"/>
        <v>1200001124UVP-60508 BASE VN</v>
      </c>
      <c r="F1879" s="133" t="s">
        <v>3725</v>
      </c>
      <c r="G1879" s="133" t="s">
        <v>3881</v>
      </c>
      <c r="H1879" s="133">
        <f>VLOOKUP(G1879,'packing mapping'!A:B,2,0)</f>
        <v>20</v>
      </c>
      <c r="I1879" s="137">
        <v>6669600</v>
      </c>
      <c r="J1879" s="132">
        <f t="shared" si="59"/>
        <v>333480</v>
      </c>
    </row>
    <row r="1880" spans="1:10">
      <c r="A1880" s="115" t="s">
        <v>1081</v>
      </c>
      <c r="B1880" s="115" t="s">
        <v>1082</v>
      </c>
      <c r="C1880" s="115" t="s">
        <v>2706</v>
      </c>
      <c r="D1880" s="115" t="s">
        <v>2707</v>
      </c>
      <c r="E1880" s="133" t="str">
        <f t="shared" si="58"/>
        <v>1200001124UVL-50101 CLEAR 60 VN</v>
      </c>
      <c r="F1880" s="133" t="s">
        <v>3726</v>
      </c>
      <c r="G1880" s="133" t="s">
        <v>3881</v>
      </c>
      <c r="H1880" s="133">
        <f>VLOOKUP(G1880,'packing mapping'!A:B,2,0)</f>
        <v>20</v>
      </c>
      <c r="I1880" s="137">
        <v>3806000</v>
      </c>
      <c r="J1880" s="132">
        <f t="shared" si="59"/>
        <v>190300</v>
      </c>
    </row>
    <row r="1881" spans="1:10">
      <c r="A1881" s="115" t="s">
        <v>1081</v>
      </c>
      <c r="B1881" s="115" t="s">
        <v>1082</v>
      </c>
      <c r="C1881" s="115" t="s">
        <v>2708</v>
      </c>
      <c r="D1881" s="115" t="s">
        <v>2709</v>
      </c>
      <c r="E1881" s="133" t="str">
        <f t="shared" si="58"/>
        <v>1200001124WBSS-61106 HS VN</v>
      </c>
      <c r="F1881" s="133" t="s">
        <v>3727</v>
      </c>
      <c r="G1881" s="133" t="s">
        <v>3881</v>
      </c>
      <c r="H1881" s="133">
        <f>VLOOKUP(G1881,'packing mapping'!A:B,2,0)</f>
        <v>20</v>
      </c>
      <c r="I1881" s="137">
        <v>1720000</v>
      </c>
      <c r="J1881" s="132">
        <f t="shared" si="59"/>
        <v>86000</v>
      </c>
    </row>
    <row r="1882" spans="1:10">
      <c r="A1882" s="115" t="s">
        <v>1081</v>
      </c>
      <c r="B1882" s="115" t="s">
        <v>1082</v>
      </c>
      <c r="C1882" s="115" t="s">
        <v>2710</v>
      </c>
      <c r="D1882" s="115" t="s">
        <v>2711</v>
      </c>
      <c r="E1882" s="133" t="str">
        <f t="shared" si="58"/>
        <v>1200001124THNC-52 VN</v>
      </c>
      <c r="F1882" s="133" t="s">
        <v>3728</v>
      </c>
      <c r="G1882" s="133" t="s">
        <v>3880</v>
      </c>
      <c r="H1882" s="133">
        <f>VLOOKUP(G1882,'packing mapping'!A:B,2,0)</f>
        <v>20</v>
      </c>
      <c r="I1882" s="137">
        <v>914400</v>
      </c>
      <c r="J1882" s="132">
        <f t="shared" si="59"/>
        <v>45720</v>
      </c>
    </row>
    <row r="1883" spans="1:10">
      <c r="A1883" s="115" t="s">
        <v>1081</v>
      </c>
      <c r="B1883" s="115" t="s">
        <v>1082</v>
      </c>
      <c r="C1883" s="115" t="s">
        <v>2712</v>
      </c>
      <c r="D1883" s="115" t="s">
        <v>2713</v>
      </c>
      <c r="E1883" s="133" t="str">
        <f t="shared" si="58"/>
        <v>1200001124THNC-52 VN</v>
      </c>
      <c r="F1883" s="133" t="s">
        <v>3728</v>
      </c>
      <c r="G1883" s="133" t="s">
        <v>3884</v>
      </c>
      <c r="H1883" s="133">
        <f>VLOOKUP(G1883,'packing mapping'!A:B,2,0)</f>
        <v>200</v>
      </c>
      <c r="I1883" s="137">
        <v>8736000</v>
      </c>
      <c r="J1883" s="132">
        <f t="shared" si="59"/>
        <v>43680</v>
      </c>
    </row>
    <row r="1884" spans="1:10">
      <c r="A1884" s="115" t="s">
        <v>1081</v>
      </c>
      <c r="B1884" s="115" t="s">
        <v>1082</v>
      </c>
      <c r="C1884" s="115" t="s">
        <v>2714</v>
      </c>
      <c r="D1884" s="115" t="s">
        <v>2715</v>
      </c>
      <c r="E1884" s="133" t="str">
        <f t="shared" si="58"/>
        <v>1200001124WBL-61204 CLEAR 30 VN</v>
      </c>
      <c r="F1884" s="133" t="s">
        <v>3729</v>
      </c>
      <c r="G1884" s="133" t="s">
        <v>3881</v>
      </c>
      <c r="H1884" s="133">
        <f>VLOOKUP(G1884,'packing mapping'!A:B,2,0)</f>
        <v>20</v>
      </c>
      <c r="I1884" s="137">
        <v>2536800</v>
      </c>
      <c r="J1884" s="132">
        <f t="shared" si="59"/>
        <v>126840</v>
      </c>
    </row>
    <row r="1885" spans="1:10">
      <c r="A1885" s="115" t="s">
        <v>1081</v>
      </c>
      <c r="B1885" s="115" t="s">
        <v>1082</v>
      </c>
      <c r="C1885" s="115" t="s">
        <v>2716</v>
      </c>
      <c r="D1885" s="115" t="s">
        <v>2717</v>
      </c>
      <c r="E1885" s="133" t="str">
        <f t="shared" si="58"/>
        <v>1200001124DP-12123 LC GREEN HMU VN</v>
      </c>
      <c r="F1885" s="133" t="s">
        <v>3730</v>
      </c>
      <c r="G1885" s="133" t="s">
        <v>3882</v>
      </c>
      <c r="H1885" s="133">
        <f>VLOOKUP(G1885,'packing mapping'!A:B,2,0)</f>
        <v>18</v>
      </c>
      <c r="I1885" s="137">
        <v>2046960</v>
      </c>
      <c r="J1885" s="132">
        <f t="shared" si="59"/>
        <v>113720</v>
      </c>
    </row>
    <row r="1886" spans="1:10">
      <c r="A1886" s="115" t="s">
        <v>1081</v>
      </c>
      <c r="B1886" s="115" t="s">
        <v>1082</v>
      </c>
      <c r="C1886" s="115" t="s">
        <v>1850</v>
      </c>
      <c r="D1886" s="115" t="s">
        <v>1851</v>
      </c>
      <c r="E1886" s="133" t="str">
        <f t="shared" si="58"/>
        <v>1200001124UVB-30400</v>
      </c>
      <c r="F1886" s="133" t="s">
        <v>3348</v>
      </c>
      <c r="G1886" s="133" t="s">
        <v>3881</v>
      </c>
      <c r="H1886" s="133">
        <f>VLOOKUP(G1886,'packing mapping'!A:B,2,0)</f>
        <v>20</v>
      </c>
      <c r="I1886" s="137">
        <v>7150600</v>
      </c>
      <c r="J1886" s="132">
        <f t="shared" si="59"/>
        <v>357530</v>
      </c>
    </row>
    <row r="1887" spans="1:10">
      <c r="A1887" s="115" t="s">
        <v>1120</v>
      </c>
      <c r="B1887" s="115" t="s">
        <v>1121</v>
      </c>
      <c r="C1887" s="115" t="s">
        <v>1188</v>
      </c>
      <c r="D1887" s="115" t="s">
        <v>1189</v>
      </c>
      <c r="E1887" s="133" t="str">
        <f t="shared" si="58"/>
        <v>1200001170PCA-31100 BLACK PASTE VN</v>
      </c>
      <c r="F1887" s="133" t="s">
        <v>3048</v>
      </c>
      <c r="G1887" s="133" t="s">
        <v>3883</v>
      </c>
      <c r="H1887" s="133">
        <f>VLOOKUP(G1887,'packing mapping'!A:B,2,0)</f>
        <v>4</v>
      </c>
      <c r="I1887" s="137">
        <v>1151200</v>
      </c>
      <c r="J1887" s="132">
        <f t="shared" si="59"/>
        <v>287800</v>
      </c>
    </row>
    <row r="1888" spans="1:10">
      <c r="A1888" s="115" t="s">
        <v>1120</v>
      </c>
      <c r="B1888" s="115" t="s">
        <v>1121</v>
      </c>
      <c r="C1888" s="115" t="s">
        <v>1726</v>
      </c>
      <c r="D1888" s="115" t="s">
        <v>1727</v>
      </c>
      <c r="E1888" s="133" t="str">
        <f t="shared" si="58"/>
        <v>1200001170PCA-31100 BROWN 645 PASTE VN</v>
      </c>
      <c r="F1888" s="133" t="s">
        <v>3298</v>
      </c>
      <c r="G1888" s="133" t="s">
        <v>3883</v>
      </c>
      <c r="H1888" s="133">
        <f>VLOOKUP(G1888,'packing mapping'!A:B,2,0)</f>
        <v>4</v>
      </c>
      <c r="I1888" s="137">
        <v>1069200</v>
      </c>
      <c r="J1888" s="132">
        <f t="shared" si="59"/>
        <v>267300</v>
      </c>
    </row>
    <row r="1889" spans="1:10">
      <c r="A1889" s="115" t="s">
        <v>1120</v>
      </c>
      <c r="B1889" s="115" t="s">
        <v>1121</v>
      </c>
      <c r="C1889" s="115" t="s">
        <v>1520</v>
      </c>
      <c r="D1889" s="115" t="s">
        <v>1521</v>
      </c>
      <c r="E1889" s="133" t="str">
        <f t="shared" si="58"/>
        <v>1200001170PCA-31100 GREEN OB PASTE VN</v>
      </c>
      <c r="F1889" s="133" t="s">
        <v>3200</v>
      </c>
      <c r="G1889" s="133" t="s">
        <v>3883</v>
      </c>
      <c r="H1889" s="133">
        <f>VLOOKUP(G1889,'packing mapping'!A:B,2,0)</f>
        <v>4</v>
      </c>
      <c r="I1889" s="137">
        <v>1129600</v>
      </c>
      <c r="J1889" s="132">
        <f t="shared" si="59"/>
        <v>282400</v>
      </c>
    </row>
    <row r="1890" spans="1:10">
      <c r="A1890" s="115" t="s">
        <v>1120</v>
      </c>
      <c r="B1890" s="115" t="s">
        <v>1121</v>
      </c>
      <c r="C1890" s="115" t="s">
        <v>1468</v>
      </c>
      <c r="D1890" s="115" t="s">
        <v>1469</v>
      </c>
      <c r="E1890" s="133" t="str">
        <f t="shared" si="58"/>
        <v>1200001170PCA-31100 YELLOW OG 16 PASTE VN</v>
      </c>
      <c r="F1890" s="133" t="s">
        <v>3180</v>
      </c>
      <c r="G1890" s="133" t="s">
        <v>3883</v>
      </c>
      <c r="H1890" s="133">
        <f>VLOOKUP(G1890,'packing mapping'!A:B,2,0)</f>
        <v>4</v>
      </c>
      <c r="I1890" s="137">
        <v>2758400</v>
      </c>
      <c r="J1890" s="132">
        <f t="shared" si="59"/>
        <v>689600</v>
      </c>
    </row>
    <row r="1891" spans="1:10">
      <c r="A1891" s="115" t="s">
        <v>1120</v>
      </c>
      <c r="B1891" s="115" t="s">
        <v>1121</v>
      </c>
      <c r="C1891" s="115" t="s">
        <v>1988</v>
      </c>
      <c r="D1891" s="115" t="s">
        <v>1989</v>
      </c>
      <c r="E1891" s="133" t="str">
        <f t="shared" si="58"/>
        <v>1200001170PCL-31300 GREEN OB PASTE</v>
      </c>
      <c r="F1891" s="133" t="s">
        <v>3415</v>
      </c>
      <c r="G1891" s="133" t="s">
        <v>3883</v>
      </c>
      <c r="H1891" s="133">
        <f>VLOOKUP(G1891,'packing mapping'!A:B,2,0)</f>
        <v>4</v>
      </c>
      <c r="I1891" s="137">
        <v>1840000</v>
      </c>
      <c r="J1891" s="132">
        <f t="shared" si="59"/>
        <v>460000</v>
      </c>
    </row>
    <row r="1892" spans="1:10">
      <c r="A1892" s="115" t="s">
        <v>1120</v>
      </c>
      <c r="B1892" s="115" t="s">
        <v>1121</v>
      </c>
      <c r="C1892" s="115" t="s">
        <v>1210</v>
      </c>
      <c r="D1892" s="115" t="s">
        <v>1211</v>
      </c>
      <c r="E1892" s="133" t="str">
        <f t="shared" si="58"/>
        <v>1200001170PUH-56306 LY VN</v>
      </c>
      <c r="F1892" s="133" t="s">
        <v>3059</v>
      </c>
      <c r="G1892" s="133" t="s">
        <v>3879</v>
      </c>
      <c r="H1892" s="133">
        <f>VLOOKUP(G1892,'packing mapping'!A:B,2,0)</f>
        <v>20</v>
      </c>
      <c r="I1892" s="137">
        <v>2762000</v>
      </c>
      <c r="J1892" s="132">
        <f t="shared" si="59"/>
        <v>138100</v>
      </c>
    </row>
    <row r="1893" spans="1:10">
      <c r="A1893" s="115" t="s">
        <v>1120</v>
      </c>
      <c r="B1893" s="115" t="s">
        <v>1121</v>
      </c>
      <c r="C1893" s="115" t="s">
        <v>1396</v>
      </c>
      <c r="D1893" s="115" t="s">
        <v>1397</v>
      </c>
      <c r="E1893" s="133" t="str">
        <f t="shared" si="58"/>
        <v>1200001170PUL-53306 AC EX CLEAR 10 VN</v>
      </c>
      <c r="F1893" s="133" t="s">
        <v>3148</v>
      </c>
      <c r="G1893" s="133" t="s">
        <v>3879</v>
      </c>
      <c r="H1893" s="133">
        <f>VLOOKUP(G1893,'packing mapping'!A:B,2,0)</f>
        <v>20</v>
      </c>
      <c r="I1893" s="137">
        <v>3572000</v>
      </c>
      <c r="J1893" s="132">
        <f t="shared" si="59"/>
        <v>178600</v>
      </c>
    </row>
    <row r="1894" spans="1:10">
      <c r="A1894" s="115" t="s">
        <v>1120</v>
      </c>
      <c r="B1894" s="115" t="s">
        <v>1121</v>
      </c>
      <c r="C1894" s="115" t="s">
        <v>1212</v>
      </c>
      <c r="D1894" s="115" t="s">
        <v>1213</v>
      </c>
      <c r="E1894" s="133" t="str">
        <f t="shared" si="58"/>
        <v>1200001170PUL-53306 AC EX CLEAR 20 VN</v>
      </c>
      <c r="F1894" s="133" t="s">
        <v>3060</v>
      </c>
      <c r="G1894" s="133" t="s">
        <v>3879</v>
      </c>
      <c r="H1894" s="133">
        <f>VLOOKUP(G1894,'packing mapping'!A:B,2,0)</f>
        <v>20</v>
      </c>
      <c r="I1894" s="137">
        <v>3432000</v>
      </c>
      <c r="J1894" s="132">
        <f t="shared" si="59"/>
        <v>171600</v>
      </c>
    </row>
    <row r="1895" spans="1:10">
      <c r="A1895" s="115" t="s">
        <v>1120</v>
      </c>
      <c r="B1895" s="115" t="s">
        <v>1121</v>
      </c>
      <c r="C1895" s="115" t="s">
        <v>1478</v>
      </c>
      <c r="D1895" s="115" t="s">
        <v>1479</v>
      </c>
      <c r="E1895" s="133" t="str">
        <f t="shared" si="58"/>
        <v>1200001170PUSS-51241 VN</v>
      </c>
      <c r="F1895" s="133" t="s">
        <v>3185</v>
      </c>
      <c r="G1895" s="133" t="s">
        <v>3881</v>
      </c>
      <c r="H1895" s="133">
        <f>VLOOKUP(G1895,'packing mapping'!A:B,2,0)</f>
        <v>20</v>
      </c>
      <c r="I1895" s="137">
        <v>1922000</v>
      </c>
      <c r="J1895" s="132">
        <f t="shared" si="59"/>
        <v>96100</v>
      </c>
    </row>
    <row r="1896" spans="1:10">
      <c r="A1896" s="115" t="s">
        <v>1120</v>
      </c>
      <c r="B1896" s="115" t="s">
        <v>1121</v>
      </c>
      <c r="C1896" s="115" t="s">
        <v>1220</v>
      </c>
      <c r="D1896" s="115" t="s">
        <v>1221</v>
      </c>
      <c r="E1896" s="133" t="str">
        <f t="shared" si="58"/>
        <v>1200001170SST-11100 C10 BLACK</v>
      </c>
      <c r="F1896" s="133" t="s">
        <v>3064</v>
      </c>
      <c r="G1896" s="133" t="s">
        <v>3883</v>
      </c>
      <c r="H1896" s="133">
        <f>VLOOKUP(G1896,'packing mapping'!A:B,2,0)</f>
        <v>4</v>
      </c>
      <c r="I1896" s="137">
        <v>817600</v>
      </c>
      <c r="J1896" s="132">
        <f t="shared" si="59"/>
        <v>204400</v>
      </c>
    </row>
    <row r="1897" spans="1:10">
      <c r="A1897" s="115" t="s">
        <v>1120</v>
      </c>
      <c r="B1897" s="115" t="s">
        <v>1121</v>
      </c>
      <c r="C1897" s="115" t="s">
        <v>1222</v>
      </c>
      <c r="D1897" s="115" t="s">
        <v>1223</v>
      </c>
      <c r="E1897" s="133" t="str">
        <f t="shared" si="58"/>
        <v>1200001170SST-11100 C10 BLUE</v>
      </c>
      <c r="F1897" s="133" t="s">
        <v>3065</v>
      </c>
      <c r="G1897" s="133" t="s">
        <v>3883</v>
      </c>
      <c r="H1897" s="133">
        <f>VLOOKUP(G1897,'packing mapping'!A:B,2,0)</f>
        <v>4</v>
      </c>
      <c r="I1897" s="137">
        <v>2420000</v>
      </c>
      <c r="J1897" s="132">
        <f t="shared" si="59"/>
        <v>605000</v>
      </c>
    </row>
    <row r="1898" spans="1:10">
      <c r="A1898" s="115" t="s">
        <v>1120</v>
      </c>
      <c r="B1898" s="115" t="s">
        <v>1121</v>
      </c>
      <c r="C1898" s="115" t="s">
        <v>1226</v>
      </c>
      <c r="D1898" s="115" t="s">
        <v>1227</v>
      </c>
      <c r="E1898" s="133" t="str">
        <f t="shared" si="58"/>
        <v>1200001170SST-11100 C10 RED</v>
      </c>
      <c r="F1898" s="133" t="s">
        <v>3067</v>
      </c>
      <c r="G1898" s="133" t="s">
        <v>3883</v>
      </c>
      <c r="H1898" s="133">
        <f>VLOOKUP(G1898,'packing mapping'!A:B,2,0)</f>
        <v>4</v>
      </c>
      <c r="I1898" s="137">
        <v>999600</v>
      </c>
      <c r="J1898" s="132">
        <f t="shared" si="59"/>
        <v>249900</v>
      </c>
    </row>
    <row r="1899" spans="1:10">
      <c r="A1899" s="115" t="s">
        <v>1120</v>
      </c>
      <c r="B1899" s="115" t="s">
        <v>1121</v>
      </c>
      <c r="C1899" s="115" t="s">
        <v>1228</v>
      </c>
      <c r="D1899" s="115" t="s">
        <v>1229</v>
      </c>
      <c r="E1899" s="133" t="str">
        <f t="shared" si="58"/>
        <v>1200001170SST-11100 C10 YELLOW</v>
      </c>
      <c r="F1899" s="133" t="s">
        <v>3068</v>
      </c>
      <c r="G1899" s="133" t="s">
        <v>3883</v>
      </c>
      <c r="H1899" s="133">
        <f>VLOOKUP(G1899,'packing mapping'!A:B,2,0)</f>
        <v>4</v>
      </c>
      <c r="I1899" s="137">
        <v>753200</v>
      </c>
      <c r="J1899" s="132">
        <f t="shared" si="59"/>
        <v>188300</v>
      </c>
    </row>
    <row r="1900" spans="1:10">
      <c r="A1900" s="115" t="s">
        <v>1120</v>
      </c>
      <c r="B1900" s="115" t="s">
        <v>1121</v>
      </c>
      <c r="C1900" s="115" t="s">
        <v>1242</v>
      </c>
      <c r="D1900" s="115" t="s">
        <v>1243</v>
      </c>
      <c r="E1900" s="133" t="str">
        <f t="shared" si="58"/>
        <v>1200001170THPU-71306 ST VN</v>
      </c>
      <c r="F1900" s="133" t="s">
        <v>3039</v>
      </c>
      <c r="G1900" s="133" t="s">
        <v>3884</v>
      </c>
      <c r="H1900" s="133">
        <f>VLOOKUP(G1900,'packing mapping'!A:B,2,0)</f>
        <v>200</v>
      </c>
      <c r="I1900" s="137">
        <v>10660000</v>
      </c>
      <c r="J1900" s="132">
        <f t="shared" si="59"/>
        <v>53300</v>
      </c>
    </row>
    <row r="1901" spans="1:10">
      <c r="A1901" s="115" t="s">
        <v>1120</v>
      </c>
      <c r="B1901" s="115" t="s">
        <v>1121</v>
      </c>
      <c r="C1901" s="115" t="s">
        <v>1170</v>
      </c>
      <c r="D1901" s="115" t="s">
        <v>1171</v>
      </c>
      <c r="E1901" s="133" t="str">
        <f t="shared" si="58"/>
        <v>1200001170THPU-71306 ST VN</v>
      </c>
      <c r="F1901" s="133" t="s">
        <v>3039</v>
      </c>
      <c r="G1901" s="133" t="s">
        <v>3880</v>
      </c>
      <c r="H1901" s="133">
        <f>VLOOKUP(G1901,'packing mapping'!A:B,2,0)</f>
        <v>20</v>
      </c>
      <c r="I1901" s="137">
        <v>1178000</v>
      </c>
      <c r="J1901" s="132">
        <f t="shared" si="59"/>
        <v>58900</v>
      </c>
    </row>
    <row r="1902" spans="1:10">
      <c r="A1902" s="115" t="s">
        <v>1120</v>
      </c>
      <c r="B1902" s="115" t="s">
        <v>1121</v>
      </c>
      <c r="C1902" s="115" t="s">
        <v>2718</v>
      </c>
      <c r="D1902" s="115" t="s">
        <v>2719</v>
      </c>
      <c r="E1902" s="133" t="str">
        <f t="shared" si="58"/>
        <v>1200001170PUSS-51241 VC VN</v>
      </c>
      <c r="F1902" s="133" t="s">
        <v>3731</v>
      </c>
      <c r="G1902" s="133" t="s">
        <v>3881</v>
      </c>
      <c r="H1902" s="133">
        <f>VLOOKUP(G1902,'packing mapping'!A:B,2,0)</f>
        <v>20</v>
      </c>
      <c r="I1902" s="137">
        <v>2056000</v>
      </c>
      <c r="J1902" s="132">
        <f t="shared" si="59"/>
        <v>102800</v>
      </c>
    </row>
    <row r="1903" spans="1:10">
      <c r="A1903" s="115" t="s">
        <v>1120</v>
      </c>
      <c r="B1903" s="115" t="s">
        <v>1121</v>
      </c>
      <c r="C1903" s="115" t="s">
        <v>1496</v>
      </c>
      <c r="D1903" s="115" t="s">
        <v>1497</v>
      </c>
      <c r="E1903" s="133" t="str">
        <f t="shared" si="58"/>
        <v>1200001170PUH-56141 VN</v>
      </c>
      <c r="F1903" s="133" t="s">
        <v>3189</v>
      </c>
      <c r="G1903" s="133" t="s">
        <v>3881</v>
      </c>
      <c r="H1903" s="133">
        <f>VLOOKUP(G1903,'packing mapping'!A:B,2,0)</f>
        <v>20</v>
      </c>
      <c r="I1903" s="137">
        <v>2336000</v>
      </c>
      <c r="J1903" s="132">
        <f t="shared" si="59"/>
        <v>116800</v>
      </c>
    </row>
    <row r="1904" spans="1:10">
      <c r="A1904" s="115" t="s">
        <v>1120</v>
      </c>
      <c r="B1904" s="115" t="s">
        <v>1121</v>
      </c>
      <c r="C1904" s="115" t="s">
        <v>1422</v>
      </c>
      <c r="D1904" s="115" t="s">
        <v>1423</v>
      </c>
      <c r="E1904" s="133" t="str">
        <f t="shared" si="58"/>
        <v>1200001170THPU-71306 WP LC VN</v>
      </c>
      <c r="F1904" s="133" t="s">
        <v>3159</v>
      </c>
      <c r="G1904" s="133" t="s">
        <v>3880</v>
      </c>
      <c r="H1904" s="133">
        <f>VLOOKUP(G1904,'packing mapping'!A:B,2,0)</f>
        <v>20</v>
      </c>
      <c r="I1904" s="137">
        <v>958000</v>
      </c>
      <c r="J1904" s="132">
        <f t="shared" si="59"/>
        <v>47900</v>
      </c>
    </row>
    <row r="1905" spans="1:10">
      <c r="A1905" s="115" t="s">
        <v>1120</v>
      </c>
      <c r="B1905" s="115" t="s">
        <v>1121</v>
      </c>
      <c r="C1905" s="115" t="s">
        <v>1332</v>
      </c>
      <c r="D1905" s="115" t="s">
        <v>1333</v>
      </c>
      <c r="E1905" s="133" t="str">
        <f t="shared" si="58"/>
        <v>1200001170WFPU-51000 VN</v>
      </c>
      <c r="F1905" s="133" t="s">
        <v>3117</v>
      </c>
      <c r="G1905" s="133" t="s">
        <v>3881</v>
      </c>
      <c r="H1905" s="133">
        <f>VLOOKUP(G1905,'packing mapping'!A:B,2,0)</f>
        <v>20</v>
      </c>
      <c r="I1905" s="137">
        <v>1646000</v>
      </c>
      <c r="J1905" s="132">
        <f t="shared" si="59"/>
        <v>82300</v>
      </c>
    </row>
    <row r="1906" spans="1:10">
      <c r="A1906" s="115" t="s">
        <v>1075</v>
      </c>
      <c r="B1906" s="115" t="s">
        <v>1076</v>
      </c>
      <c r="C1906" s="115" t="s">
        <v>1192</v>
      </c>
      <c r="D1906" s="115" t="s">
        <v>1193</v>
      </c>
      <c r="E1906" s="133" t="str">
        <f t="shared" si="58"/>
        <v>1200001116PCL-31300 BLACK PASTE</v>
      </c>
      <c r="F1906" s="133" t="s">
        <v>3050</v>
      </c>
      <c r="G1906" s="133" t="s">
        <v>3883</v>
      </c>
      <c r="H1906" s="133">
        <f>VLOOKUP(G1906,'packing mapping'!A:B,2,0)</f>
        <v>4</v>
      </c>
      <c r="I1906" s="137">
        <v>2493120</v>
      </c>
      <c r="J1906" s="132">
        <f t="shared" si="59"/>
        <v>623280</v>
      </c>
    </row>
    <row r="1907" spans="1:10">
      <c r="A1907" s="115" t="s">
        <v>1075</v>
      </c>
      <c r="B1907" s="115" t="s">
        <v>1076</v>
      </c>
      <c r="C1907" s="115" t="s">
        <v>1194</v>
      </c>
      <c r="D1907" s="115" t="s">
        <v>1195</v>
      </c>
      <c r="E1907" s="133" t="str">
        <f t="shared" si="58"/>
        <v>1200001116PCL-31300 BLUE OG PASTE</v>
      </c>
      <c r="F1907" s="133" t="s">
        <v>3051</v>
      </c>
      <c r="G1907" s="133" t="s">
        <v>3883</v>
      </c>
      <c r="H1907" s="133">
        <f>VLOOKUP(G1907,'packing mapping'!A:B,2,0)</f>
        <v>4</v>
      </c>
      <c r="I1907" s="137">
        <v>2389800</v>
      </c>
      <c r="J1907" s="132">
        <f t="shared" si="59"/>
        <v>597450</v>
      </c>
    </row>
    <row r="1908" spans="1:10">
      <c r="A1908" s="115" t="s">
        <v>1075</v>
      </c>
      <c r="B1908" s="115" t="s">
        <v>1076</v>
      </c>
      <c r="C1908" s="115" t="s">
        <v>1198</v>
      </c>
      <c r="D1908" s="115" t="s">
        <v>1199</v>
      </c>
      <c r="E1908" s="133" t="str">
        <f t="shared" si="58"/>
        <v>1200001116PCL-31300 BROWN PASTE VN</v>
      </c>
      <c r="F1908" s="133" t="s">
        <v>3053</v>
      </c>
      <c r="G1908" s="133" t="s">
        <v>3883</v>
      </c>
      <c r="H1908" s="133">
        <f>VLOOKUP(G1908,'packing mapping'!A:B,2,0)</f>
        <v>4</v>
      </c>
      <c r="I1908" s="137">
        <v>1431800</v>
      </c>
      <c r="J1908" s="132">
        <f t="shared" si="59"/>
        <v>357950</v>
      </c>
    </row>
    <row r="1909" spans="1:10">
      <c r="A1909" s="115" t="s">
        <v>1075</v>
      </c>
      <c r="B1909" s="115" t="s">
        <v>1076</v>
      </c>
      <c r="C1909" s="115" t="s">
        <v>1202</v>
      </c>
      <c r="D1909" s="115" t="s">
        <v>1203</v>
      </c>
      <c r="E1909" s="133" t="str">
        <f t="shared" si="58"/>
        <v>1200001116PCL-31300 WHITE PASTE</v>
      </c>
      <c r="F1909" s="133" t="s">
        <v>3055</v>
      </c>
      <c r="G1909" s="133" t="s">
        <v>3883</v>
      </c>
      <c r="H1909" s="133">
        <f>VLOOKUP(G1909,'packing mapping'!A:B,2,0)</f>
        <v>4</v>
      </c>
      <c r="I1909" s="137">
        <v>1091600</v>
      </c>
      <c r="J1909" s="132">
        <f t="shared" si="59"/>
        <v>272900</v>
      </c>
    </row>
    <row r="1910" spans="1:10">
      <c r="A1910" s="115" t="s">
        <v>1075</v>
      </c>
      <c r="B1910" s="115" t="s">
        <v>1076</v>
      </c>
      <c r="C1910" s="115" t="s">
        <v>1206</v>
      </c>
      <c r="D1910" s="115" t="s">
        <v>1207</v>
      </c>
      <c r="E1910" s="133" t="str">
        <f t="shared" si="58"/>
        <v>1200001116PCL-31300 YELLOW OKER PASTE</v>
      </c>
      <c r="F1910" s="133" t="s">
        <v>3057</v>
      </c>
      <c r="G1910" s="133" t="s">
        <v>3883</v>
      </c>
      <c r="H1910" s="133">
        <f>VLOOKUP(G1910,'packing mapping'!A:B,2,0)</f>
        <v>4</v>
      </c>
      <c r="I1910" s="137">
        <v>1666560</v>
      </c>
      <c r="J1910" s="132">
        <f t="shared" si="59"/>
        <v>416640</v>
      </c>
    </row>
    <row r="1911" spans="1:10">
      <c r="A1911" s="115" t="s">
        <v>1075</v>
      </c>
      <c r="B1911" s="115" t="s">
        <v>1076</v>
      </c>
      <c r="C1911" s="115" t="s">
        <v>1220</v>
      </c>
      <c r="D1911" s="115" t="s">
        <v>1221</v>
      </c>
      <c r="E1911" s="133" t="str">
        <f t="shared" si="58"/>
        <v>1200001116SST-11100 C10 BLACK</v>
      </c>
      <c r="F1911" s="133" t="s">
        <v>3064</v>
      </c>
      <c r="G1911" s="133" t="s">
        <v>3883</v>
      </c>
      <c r="H1911" s="133">
        <f>VLOOKUP(G1911,'packing mapping'!A:B,2,0)</f>
        <v>4</v>
      </c>
      <c r="I1911" s="137">
        <v>842120</v>
      </c>
      <c r="J1911" s="132">
        <f t="shared" si="59"/>
        <v>210530</v>
      </c>
    </row>
    <row r="1912" spans="1:10">
      <c r="A1912" s="115" t="s">
        <v>1075</v>
      </c>
      <c r="B1912" s="115" t="s">
        <v>1076</v>
      </c>
      <c r="C1912" s="115" t="s">
        <v>1222</v>
      </c>
      <c r="D1912" s="115" t="s">
        <v>1223</v>
      </c>
      <c r="E1912" s="133" t="str">
        <f t="shared" si="58"/>
        <v>1200001116SST-11100 C10 BLUE</v>
      </c>
      <c r="F1912" s="133" t="s">
        <v>3065</v>
      </c>
      <c r="G1912" s="133" t="s">
        <v>3883</v>
      </c>
      <c r="H1912" s="133">
        <f>VLOOKUP(G1912,'packing mapping'!A:B,2,0)</f>
        <v>4</v>
      </c>
      <c r="I1912" s="137">
        <v>2803520</v>
      </c>
      <c r="J1912" s="132">
        <f t="shared" si="59"/>
        <v>700880</v>
      </c>
    </row>
    <row r="1913" spans="1:10">
      <c r="A1913" s="115" t="s">
        <v>1075</v>
      </c>
      <c r="B1913" s="115" t="s">
        <v>1076</v>
      </c>
      <c r="C1913" s="115" t="s">
        <v>1224</v>
      </c>
      <c r="D1913" s="115" t="s">
        <v>1225</v>
      </c>
      <c r="E1913" s="133" t="str">
        <f t="shared" si="58"/>
        <v>1200001116SST-11100 C10 ORANGE</v>
      </c>
      <c r="F1913" s="133" t="s">
        <v>3066</v>
      </c>
      <c r="G1913" s="133" t="s">
        <v>3883</v>
      </c>
      <c r="H1913" s="133">
        <f>VLOOKUP(G1913,'packing mapping'!A:B,2,0)</f>
        <v>4</v>
      </c>
      <c r="I1913" s="137">
        <v>861840</v>
      </c>
      <c r="J1913" s="132">
        <f t="shared" si="59"/>
        <v>215460</v>
      </c>
    </row>
    <row r="1914" spans="1:10">
      <c r="A1914" s="115" t="s">
        <v>1075</v>
      </c>
      <c r="B1914" s="115" t="s">
        <v>1076</v>
      </c>
      <c r="C1914" s="115" t="s">
        <v>1226</v>
      </c>
      <c r="D1914" s="115" t="s">
        <v>1227</v>
      </c>
      <c r="E1914" s="133" t="str">
        <f t="shared" si="58"/>
        <v>1200001116SST-11100 C10 RED</v>
      </c>
      <c r="F1914" s="133" t="s">
        <v>3067</v>
      </c>
      <c r="G1914" s="133" t="s">
        <v>3883</v>
      </c>
      <c r="H1914" s="133">
        <f>VLOOKUP(G1914,'packing mapping'!A:B,2,0)</f>
        <v>4</v>
      </c>
      <c r="I1914" s="137">
        <v>876560</v>
      </c>
      <c r="J1914" s="132">
        <f t="shared" si="59"/>
        <v>219140</v>
      </c>
    </row>
    <row r="1915" spans="1:10">
      <c r="A1915" s="115" t="s">
        <v>1075</v>
      </c>
      <c r="B1915" s="115" t="s">
        <v>1076</v>
      </c>
      <c r="C1915" s="115" t="s">
        <v>1228</v>
      </c>
      <c r="D1915" s="115" t="s">
        <v>1229</v>
      </c>
      <c r="E1915" s="133" t="str">
        <f t="shared" si="58"/>
        <v>1200001116SST-11100 C10 YELLOW</v>
      </c>
      <c r="F1915" s="133" t="s">
        <v>3068</v>
      </c>
      <c r="G1915" s="133" t="s">
        <v>3883</v>
      </c>
      <c r="H1915" s="133">
        <f>VLOOKUP(G1915,'packing mapping'!A:B,2,0)</f>
        <v>4</v>
      </c>
      <c r="I1915" s="137">
        <v>752240</v>
      </c>
      <c r="J1915" s="132">
        <f t="shared" si="59"/>
        <v>188060</v>
      </c>
    </row>
    <row r="1916" spans="1:10">
      <c r="A1916" s="115" t="s">
        <v>1075</v>
      </c>
      <c r="B1916" s="115" t="s">
        <v>1076</v>
      </c>
      <c r="C1916" s="115" t="s">
        <v>1402</v>
      </c>
      <c r="D1916" s="115" t="s">
        <v>1403</v>
      </c>
      <c r="E1916" s="133" t="str">
        <f t="shared" si="58"/>
        <v>1200001116THC-73100-007 VN</v>
      </c>
      <c r="F1916" s="133" t="s">
        <v>3150</v>
      </c>
      <c r="G1916" s="133" t="s">
        <v>3880</v>
      </c>
      <c r="H1916" s="133">
        <f>VLOOKUP(G1916,'packing mapping'!A:B,2,0)</f>
        <v>20</v>
      </c>
      <c r="I1916" s="137">
        <v>1428000</v>
      </c>
      <c r="J1916" s="132">
        <f t="shared" si="59"/>
        <v>71400</v>
      </c>
    </row>
    <row r="1917" spans="1:10">
      <c r="A1917" s="115" t="s">
        <v>1075</v>
      </c>
      <c r="B1917" s="115" t="s">
        <v>1076</v>
      </c>
      <c r="C1917" s="115" t="s">
        <v>1242</v>
      </c>
      <c r="D1917" s="115" t="s">
        <v>1243</v>
      </c>
      <c r="E1917" s="133" t="str">
        <f t="shared" si="58"/>
        <v>1200001116THPU-71306 ST VN</v>
      </c>
      <c r="F1917" s="133" t="s">
        <v>3039</v>
      </c>
      <c r="G1917" s="133" t="s">
        <v>3884</v>
      </c>
      <c r="H1917" s="133">
        <f>VLOOKUP(G1917,'packing mapping'!A:B,2,0)</f>
        <v>200</v>
      </c>
      <c r="I1917" s="137">
        <v>9456000</v>
      </c>
      <c r="J1917" s="132">
        <f t="shared" si="59"/>
        <v>47280</v>
      </c>
    </row>
    <row r="1918" spans="1:10">
      <c r="A1918" s="115" t="s">
        <v>1075</v>
      </c>
      <c r="B1918" s="115" t="s">
        <v>1076</v>
      </c>
      <c r="C1918" s="115" t="s">
        <v>1170</v>
      </c>
      <c r="D1918" s="115" t="s">
        <v>1171</v>
      </c>
      <c r="E1918" s="133" t="str">
        <f t="shared" si="58"/>
        <v>1200001116THPU-71306 ST VN</v>
      </c>
      <c r="F1918" s="133" t="s">
        <v>3039</v>
      </c>
      <c r="G1918" s="133" t="s">
        <v>3880</v>
      </c>
      <c r="H1918" s="133">
        <f>VLOOKUP(G1918,'packing mapping'!A:B,2,0)</f>
        <v>20</v>
      </c>
      <c r="I1918" s="137">
        <v>1080000</v>
      </c>
      <c r="J1918" s="132">
        <f t="shared" si="59"/>
        <v>54000</v>
      </c>
    </row>
    <row r="1919" spans="1:10">
      <c r="A1919" s="115" t="s">
        <v>1075</v>
      </c>
      <c r="B1919" s="115" t="s">
        <v>1076</v>
      </c>
      <c r="C1919" s="115" t="s">
        <v>1262</v>
      </c>
      <c r="D1919" s="115" t="s">
        <v>1263</v>
      </c>
      <c r="E1919" s="133" t="str">
        <f t="shared" si="58"/>
        <v>1200001116NCL-11329 LC CLEAR 10 VN</v>
      </c>
      <c r="F1919" s="133" t="s">
        <v>3084</v>
      </c>
      <c r="G1919" s="133" t="s">
        <v>3879</v>
      </c>
      <c r="H1919" s="133">
        <f>VLOOKUP(G1919,'packing mapping'!A:B,2,0)</f>
        <v>20</v>
      </c>
      <c r="I1919" s="137">
        <v>1972000</v>
      </c>
      <c r="J1919" s="132">
        <f t="shared" si="59"/>
        <v>98600</v>
      </c>
    </row>
    <row r="1920" spans="1:10">
      <c r="A1920" s="115" t="s">
        <v>1075</v>
      </c>
      <c r="B1920" s="115" t="s">
        <v>1076</v>
      </c>
      <c r="C1920" s="115" t="s">
        <v>1274</v>
      </c>
      <c r="D1920" s="115" t="s">
        <v>1275</v>
      </c>
      <c r="E1920" s="133" t="str">
        <f t="shared" si="58"/>
        <v>1200001116PSV-76000 SB HC MY VN</v>
      </c>
      <c r="F1920" s="133" t="s">
        <v>3090</v>
      </c>
      <c r="G1920" s="133" t="s">
        <v>3880</v>
      </c>
      <c r="H1920" s="133">
        <f>VLOOKUP(G1920,'packing mapping'!A:B,2,0)</f>
        <v>20</v>
      </c>
      <c r="I1920" s="137">
        <v>11167800</v>
      </c>
      <c r="J1920" s="132">
        <f t="shared" si="59"/>
        <v>558390</v>
      </c>
    </row>
    <row r="1921" spans="1:10">
      <c r="A1921" s="115" t="s">
        <v>1075</v>
      </c>
      <c r="B1921" s="115" t="s">
        <v>1076</v>
      </c>
      <c r="C1921" s="115" t="s">
        <v>1172</v>
      </c>
      <c r="D1921" s="115" t="s">
        <v>1173</v>
      </c>
      <c r="E1921" s="133" t="str">
        <f t="shared" si="58"/>
        <v>1200001116PUH-56135 S VN</v>
      </c>
      <c r="F1921" s="133" t="s">
        <v>3040</v>
      </c>
      <c r="G1921" s="133" t="s">
        <v>3881</v>
      </c>
      <c r="H1921" s="133">
        <f>VLOOKUP(G1921,'packing mapping'!A:B,2,0)</f>
        <v>20</v>
      </c>
      <c r="I1921" s="137">
        <v>2041400</v>
      </c>
      <c r="J1921" s="132">
        <f t="shared" si="59"/>
        <v>102070</v>
      </c>
    </row>
    <row r="1922" spans="1:10">
      <c r="A1922" s="115" t="s">
        <v>1075</v>
      </c>
      <c r="B1922" s="115" t="s">
        <v>1076</v>
      </c>
      <c r="C1922" s="115" t="s">
        <v>1276</v>
      </c>
      <c r="D1922" s="115" t="s">
        <v>1277</v>
      </c>
      <c r="E1922" s="133" t="str">
        <f t="shared" si="58"/>
        <v>1200001116PUL-51335 CLEAR 10 VN</v>
      </c>
      <c r="F1922" s="133" t="s">
        <v>3091</v>
      </c>
      <c r="G1922" s="133" t="s">
        <v>3881</v>
      </c>
      <c r="H1922" s="133">
        <f>VLOOKUP(G1922,'packing mapping'!A:B,2,0)</f>
        <v>20</v>
      </c>
      <c r="I1922" s="137">
        <v>2093800</v>
      </c>
      <c r="J1922" s="132">
        <f t="shared" si="59"/>
        <v>104690</v>
      </c>
    </row>
    <row r="1923" spans="1:10">
      <c r="A1923" s="115" t="s">
        <v>1075</v>
      </c>
      <c r="B1923" s="115" t="s">
        <v>1076</v>
      </c>
      <c r="C1923" s="115" t="s">
        <v>1410</v>
      </c>
      <c r="D1923" s="115" t="s">
        <v>1411</v>
      </c>
      <c r="E1923" s="133" t="str">
        <f t="shared" ref="E1923:E1986" si="60">A1923&amp;F1923</f>
        <v>1200001116PUL-51335 CLEAR 90 VN</v>
      </c>
      <c r="F1923" s="133" t="s">
        <v>3154</v>
      </c>
      <c r="G1923" s="133" t="s">
        <v>3881</v>
      </c>
      <c r="H1923" s="133">
        <f>VLOOKUP(G1923,'packing mapping'!A:B,2,0)</f>
        <v>20</v>
      </c>
      <c r="I1923" s="137">
        <v>2020200</v>
      </c>
      <c r="J1923" s="132">
        <f t="shared" ref="J1923:J1986" si="61">I1923/H1923</f>
        <v>101010</v>
      </c>
    </row>
    <row r="1924" spans="1:10">
      <c r="A1924" s="115" t="s">
        <v>1075</v>
      </c>
      <c r="B1924" s="115" t="s">
        <v>1076</v>
      </c>
      <c r="C1924" s="115" t="s">
        <v>1176</v>
      </c>
      <c r="D1924" s="115" t="s">
        <v>1177</v>
      </c>
      <c r="E1924" s="133" t="str">
        <f t="shared" si="60"/>
        <v>1200001116PUSS-51235 VN</v>
      </c>
      <c r="F1924" s="133" t="s">
        <v>3042</v>
      </c>
      <c r="G1924" s="133" t="s">
        <v>3881</v>
      </c>
      <c r="H1924" s="133">
        <f>VLOOKUP(G1924,'packing mapping'!A:B,2,0)</f>
        <v>20</v>
      </c>
      <c r="I1924" s="137">
        <v>1846000</v>
      </c>
      <c r="J1924" s="132">
        <f t="shared" si="61"/>
        <v>92300</v>
      </c>
    </row>
    <row r="1925" spans="1:10">
      <c r="A1925" s="115" t="s">
        <v>1075</v>
      </c>
      <c r="B1925" s="115" t="s">
        <v>1076</v>
      </c>
      <c r="C1925" s="115" t="s">
        <v>1296</v>
      </c>
      <c r="D1925" s="115" t="s">
        <v>1297</v>
      </c>
      <c r="E1925" s="133" t="str">
        <f t="shared" si="60"/>
        <v>1200001116RD-74106 VN</v>
      </c>
      <c r="F1925" s="133" t="s">
        <v>3099</v>
      </c>
      <c r="G1925" s="133" t="s">
        <v>3880</v>
      </c>
      <c r="H1925" s="133">
        <f>VLOOKUP(G1925,'packing mapping'!A:B,2,0)</f>
        <v>20</v>
      </c>
      <c r="I1925" s="137">
        <v>1320000</v>
      </c>
      <c r="J1925" s="132">
        <f t="shared" si="61"/>
        <v>66000</v>
      </c>
    </row>
    <row r="1926" spans="1:10">
      <c r="A1926" s="115" t="s">
        <v>1075</v>
      </c>
      <c r="B1926" s="115" t="s">
        <v>1076</v>
      </c>
      <c r="C1926" s="115" t="s">
        <v>1300</v>
      </c>
      <c r="D1926" s="115" t="s">
        <v>1301</v>
      </c>
      <c r="E1926" s="133" t="str">
        <f t="shared" si="60"/>
        <v>1200001116GZPU-21500 BLACK VN</v>
      </c>
      <c r="F1926" s="133" t="s">
        <v>3101</v>
      </c>
      <c r="G1926" s="133" t="s">
        <v>3883</v>
      </c>
      <c r="H1926" s="133">
        <f>VLOOKUP(G1926,'packing mapping'!A:B,2,0)</f>
        <v>4</v>
      </c>
      <c r="I1926" s="137">
        <v>1656920</v>
      </c>
      <c r="J1926" s="132">
        <f t="shared" si="61"/>
        <v>414230</v>
      </c>
    </row>
    <row r="1927" spans="1:10">
      <c r="A1927" s="115" t="s">
        <v>1075</v>
      </c>
      <c r="B1927" s="115" t="s">
        <v>1076</v>
      </c>
      <c r="C1927" s="115" t="s">
        <v>1302</v>
      </c>
      <c r="D1927" s="115" t="s">
        <v>1303</v>
      </c>
      <c r="E1927" s="133" t="str">
        <f t="shared" si="60"/>
        <v>1200001116GZPU-21500 BROWN VN</v>
      </c>
      <c r="F1927" s="133" t="s">
        <v>3102</v>
      </c>
      <c r="G1927" s="133" t="s">
        <v>3883</v>
      </c>
      <c r="H1927" s="133">
        <f>VLOOKUP(G1927,'packing mapping'!A:B,2,0)</f>
        <v>4</v>
      </c>
      <c r="I1927" s="137">
        <v>1502360</v>
      </c>
      <c r="J1927" s="132">
        <f t="shared" si="61"/>
        <v>375590</v>
      </c>
    </row>
    <row r="1928" spans="1:10">
      <c r="A1928" s="115" t="s">
        <v>1075</v>
      </c>
      <c r="B1928" s="115" t="s">
        <v>1076</v>
      </c>
      <c r="C1928" s="115" t="s">
        <v>1314</v>
      </c>
      <c r="D1928" s="115" t="s">
        <v>1315</v>
      </c>
      <c r="E1928" s="133" t="str">
        <f t="shared" si="60"/>
        <v>1200001116PCL-31300 RED 31701 PASTE</v>
      </c>
      <c r="F1928" s="133" t="s">
        <v>3108</v>
      </c>
      <c r="G1928" s="133" t="s">
        <v>3883</v>
      </c>
      <c r="H1928" s="133">
        <f>VLOOKUP(G1928,'packing mapping'!A:B,2,0)</f>
        <v>4</v>
      </c>
      <c r="I1928" s="137">
        <v>3306680</v>
      </c>
      <c r="J1928" s="132">
        <f t="shared" si="61"/>
        <v>826670</v>
      </c>
    </row>
    <row r="1929" spans="1:10">
      <c r="A1929" s="115" t="s">
        <v>1075</v>
      </c>
      <c r="B1929" s="115" t="s">
        <v>1076</v>
      </c>
      <c r="C1929" s="115" t="s">
        <v>1330</v>
      </c>
      <c r="D1929" s="115" t="s">
        <v>1331</v>
      </c>
      <c r="E1929" s="133" t="str">
        <f t="shared" si="60"/>
        <v>1200001116SST-11100 BROWN AA VN</v>
      </c>
      <c r="F1929" s="133" t="s">
        <v>3116</v>
      </c>
      <c r="G1929" s="133" t="s">
        <v>3883</v>
      </c>
      <c r="H1929" s="133">
        <f>VLOOKUP(G1929,'packing mapping'!A:B,2,0)</f>
        <v>4</v>
      </c>
      <c r="I1929" s="137">
        <v>464960</v>
      </c>
      <c r="J1929" s="132">
        <f t="shared" si="61"/>
        <v>116240</v>
      </c>
    </row>
    <row r="1930" spans="1:10">
      <c r="A1930" s="115" t="s">
        <v>1075</v>
      </c>
      <c r="B1930" s="115" t="s">
        <v>1076</v>
      </c>
      <c r="C1930" s="115" t="s">
        <v>1332</v>
      </c>
      <c r="D1930" s="115" t="s">
        <v>1333</v>
      </c>
      <c r="E1930" s="133" t="str">
        <f t="shared" si="60"/>
        <v>1200001116WFPU-51000 VN</v>
      </c>
      <c r="F1930" s="133" t="s">
        <v>3117</v>
      </c>
      <c r="G1930" s="133" t="s">
        <v>3881</v>
      </c>
      <c r="H1930" s="133">
        <f>VLOOKUP(G1930,'packing mapping'!A:B,2,0)</f>
        <v>20</v>
      </c>
      <c r="I1930" s="137">
        <v>1801800</v>
      </c>
      <c r="J1930" s="132">
        <f t="shared" si="61"/>
        <v>90090</v>
      </c>
    </row>
    <row r="1931" spans="1:10">
      <c r="A1931" s="115" t="s">
        <v>762</v>
      </c>
      <c r="B1931" s="115" t="s">
        <v>763</v>
      </c>
      <c r="C1931" s="115" t="s">
        <v>1190</v>
      </c>
      <c r="D1931" s="115" t="s">
        <v>1191</v>
      </c>
      <c r="E1931" s="133" t="str">
        <f t="shared" si="60"/>
        <v>1200000743PCA-31100 WHITE PASTE VN</v>
      </c>
      <c r="F1931" s="133" t="s">
        <v>3049</v>
      </c>
      <c r="G1931" s="133" t="s">
        <v>3883</v>
      </c>
      <c r="H1931" s="133">
        <f>VLOOKUP(G1931,'packing mapping'!A:B,2,0)</f>
        <v>4</v>
      </c>
      <c r="I1931" s="137">
        <v>1029760</v>
      </c>
      <c r="J1931" s="132">
        <f t="shared" si="61"/>
        <v>257440</v>
      </c>
    </row>
    <row r="1932" spans="1:10">
      <c r="A1932" s="115" t="s">
        <v>762</v>
      </c>
      <c r="B1932" s="115" t="s">
        <v>763</v>
      </c>
      <c r="C1932" s="115" t="s">
        <v>1194</v>
      </c>
      <c r="D1932" s="115" t="s">
        <v>1195</v>
      </c>
      <c r="E1932" s="133" t="str">
        <f t="shared" si="60"/>
        <v>1200000743PCL-31300 BLUE OG PASTE</v>
      </c>
      <c r="F1932" s="133" t="s">
        <v>3051</v>
      </c>
      <c r="G1932" s="133" t="s">
        <v>3883</v>
      </c>
      <c r="H1932" s="133">
        <f>VLOOKUP(G1932,'packing mapping'!A:B,2,0)</f>
        <v>4</v>
      </c>
      <c r="I1932" s="137">
        <v>2714360</v>
      </c>
      <c r="J1932" s="132">
        <f t="shared" si="61"/>
        <v>678590</v>
      </c>
    </row>
    <row r="1933" spans="1:10">
      <c r="A1933" s="115" t="s">
        <v>762</v>
      </c>
      <c r="B1933" s="115" t="s">
        <v>763</v>
      </c>
      <c r="C1933" s="115" t="s">
        <v>1204</v>
      </c>
      <c r="D1933" s="115" t="s">
        <v>1205</v>
      </c>
      <c r="E1933" s="133" t="str">
        <f t="shared" si="60"/>
        <v>1200000743PCL-31300 YELLOW OG 16 PASTE</v>
      </c>
      <c r="F1933" s="133" t="s">
        <v>3056</v>
      </c>
      <c r="G1933" s="133" t="s">
        <v>3883</v>
      </c>
      <c r="H1933" s="133">
        <f>VLOOKUP(G1933,'packing mapping'!A:B,2,0)</f>
        <v>4</v>
      </c>
      <c r="I1933" s="137">
        <v>4324040</v>
      </c>
      <c r="J1933" s="132">
        <f t="shared" si="61"/>
        <v>1081010</v>
      </c>
    </row>
    <row r="1934" spans="1:10">
      <c r="A1934" s="115" t="s">
        <v>762</v>
      </c>
      <c r="B1934" s="115" t="s">
        <v>763</v>
      </c>
      <c r="C1934" s="115" t="s">
        <v>1220</v>
      </c>
      <c r="D1934" s="115" t="s">
        <v>1221</v>
      </c>
      <c r="E1934" s="133" t="str">
        <f t="shared" si="60"/>
        <v>1200000743SST-11100 C10 BLACK</v>
      </c>
      <c r="F1934" s="133" t="s">
        <v>3064</v>
      </c>
      <c r="G1934" s="133" t="s">
        <v>3883</v>
      </c>
      <c r="H1934" s="133">
        <f>VLOOKUP(G1934,'packing mapping'!A:B,2,0)</f>
        <v>4</v>
      </c>
      <c r="I1934" s="137">
        <v>966280</v>
      </c>
      <c r="J1934" s="132">
        <f t="shared" si="61"/>
        <v>241570</v>
      </c>
    </row>
    <row r="1935" spans="1:10">
      <c r="A1935" s="115" t="s">
        <v>762</v>
      </c>
      <c r="B1935" s="115" t="s">
        <v>763</v>
      </c>
      <c r="C1935" s="115" t="s">
        <v>1226</v>
      </c>
      <c r="D1935" s="115" t="s">
        <v>1227</v>
      </c>
      <c r="E1935" s="133" t="str">
        <f t="shared" si="60"/>
        <v>1200000743SST-11100 C10 RED</v>
      </c>
      <c r="F1935" s="133" t="s">
        <v>3067</v>
      </c>
      <c r="G1935" s="133" t="s">
        <v>3883</v>
      </c>
      <c r="H1935" s="133">
        <f>VLOOKUP(G1935,'packing mapping'!A:B,2,0)</f>
        <v>4</v>
      </c>
      <c r="I1935" s="137">
        <v>1050240</v>
      </c>
      <c r="J1935" s="132">
        <f t="shared" si="61"/>
        <v>262560</v>
      </c>
    </row>
    <row r="1936" spans="1:10">
      <c r="A1936" s="115" t="s">
        <v>762</v>
      </c>
      <c r="B1936" s="115" t="s">
        <v>763</v>
      </c>
      <c r="C1936" s="115" t="s">
        <v>1228</v>
      </c>
      <c r="D1936" s="115" t="s">
        <v>1229</v>
      </c>
      <c r="E1936" s="133" t="str">
        <f t="shared" si="60"/>
        <v>1200000743SST-11100 C10 YELLOW</v>
      </c>
      <c r="F1936" s="133" t="s">
        <v>3068</v>
      </c>
      <c r="G1936" s="133" t="s">
        <v>3883</v>
      </c>
      <c r="H1936" s="133">
        <f>VLOOKUP(G1936,'packing mapping'!A:B,2,0)</f>
        <v>4</v>
      </c>
      <c r="I1936" s="137">
        <v>829960</v>
      </c>
      <c r="J1936" s="132">
        <f t="shared" si="61"/>
        <v>207490</v>
      </c>
    </row>
    <row r="1937" spans="1:10">
      <c r="A1937" s="115" t="s">
        <v>762</v>
      </c>
      <c r="B1937" s="115" t="s">
        <v>763</v>
      </c>
      <c r="C1937" s="115" t="s">
        <v>1482</v>
      </c>
      <c r="D1937" s="115" t="s">
        <v>1483</v>
      </c>
      <c r="E1937" s="133" t="str">
        <f t="shared" si="60"/>
        <v>1200000743THNC-71100 SD VN</v>
      </c>
      <c r="F1937" s="133" t="s">
        <v>3074</v>
      </c>
      <c r="G1937" s="133" t="s">
        <v>3880</v>
      </c>
      <c r="H1937" s="133">
        <f>VLOOKUP(G1937,'packing mapping'!A:B,2,0)</f>
        <v>20</v>
      </c>
      <c r="I1937" s="137">
        <v>1397800</v>
      </c>
      <c r="J1937" s="132">
        <f t="shared" si="61"/>
        <v>69890</v>
      </c>
    </row>
    <row r="1938" spans="1:10">
      <c r="A1938" s="115" t="s">
        <v>762</v>
      </c>
      <c r="B1938" s="115" t="s">
        <v>763</v>
      </c>
      <c r="C1938" s="115" t="s">
        <v>1244</v>
      </c>
      <c r="D1938" s="115" t="s">
        <v>1245</v>
      </c>
      <c r="E1938" s="133" t="str">
        <f t="shared" si="60"/>
        <v>1200000743TOL-76114 W VN</v>
      </c>
      <c r="F1938" s="133" t="s">
        <v>3075</v>
      </c>
      <c r="G1938" s="133" t="s">
        <v>3880</v>
      </c>
      <c r="H1938" s="133">
        <f>VLOOKUP(G1938,'packing mapping'!A:B,2,0)</f>
        <v>20</v>
      </c>
      <c r="I1938" s="137">
        <v>1862000</v>
      </c>
      <c r="J1938" s="132">
        <f t="shared" si="61"/>
        <v>93100</v>
      </c>
    </row>
    <row r="1939" spans="1:10">
      <c r="A1939" s="115" t="s">
        <v>762</v>
      </c>
      <c r="B1939" s="115" t="s">
        <v>763</v>
      </c>
      <c r="C1939" s="115" t="s">
        <v>1260</v>
      </c>
      <c r="D1939" s="115" t="s">
        <v>1261</v>
      </c>
      <c r="E1939" s="133" t="str">
        <f t="shared" si="60"/>
        <v>1200000743NCL-11329 LC CLEAR 05 VN</v>
      </c>
      <c r="F1939" s="133" t="s">
        <v>3083</v>
      </c>
      <c r="G1939" s="133" t="s">
        <v>3879</v>
      </c>
      <c r="H1939" s="133">
        <f>VLOOKUP(G1939,'packing mapping'!A:B,2,0)</f>
        <v>20</v>
      </c>
      <c r="I1939" s="137">
        <v>2822800</v>
      </c>
      <c r="J1939" s="132">
        <f t="shared" si="61"/>
        <v>141140</v>
      </c>
    </row>
    <row r="1940" spans="1:10">
      <c r="A1940" s="115" t="s">
        <v>762</v>
      </c>
      <c r="B1940" s="115" t="s">
        <v>763</v>
      </c>
      <c r="C1940" s="115" t="s">
        <v>2720</v>
      </c>
      <c r="D1940" s="115" t="s">
        <v>2721</v>
      </c>
      <c r="E1940" s="133" t="str">
        <f t="shared" si="60"/>
        <v>1200000743DP-12123 F127 M2 VN</v>
      </c>
      <c r="F1940" s="133" t="s">
        <v>3732</v>
      </c>
      <c r="G1940" s="133" t="s">
        <v>3881</v>
      </c>
      <c r="H1940" s="133">
        <f>VLOOKUP(G1940,'packing mapping'!A:B,2,0)</f>
        <v>20</v>
      </c>
      <c r="I1940" s="137">
        <v>3133600</v>
      </c>
      <c r="J1940" s="132">
        <f t="shared" si="61"/>
        <v>156680</v>
      </c>
    </row>
    <row r="1941" spans="1:10">
      <c r="A1941" s="115" t="s">
        <v>762</v>
      </c>
      <c r="B1941" s="115" t="s">
        <v>763</v>
      </c>
      <c r="C1941" s="115" t="s">
        <v>2722</v>
      </c>
      <c r="D1941" s="115" t="s">
        <v>2723</v>
      </c>
      <c r="E1941" s="133" t="str">
        <f t="shared" si="60"/>
        <v>1200000743DC-12229 LC F127 05 M2 VN</v>
      </c>
      <c r="F1941" s="133" t="s">
        <v>3733</v>
      </c>
      <c r="G1941" s="133" t="s">
        <v>3881</v>
      </c>
      <c r="H1941" s="133">
        <f>VLOOKUP(G1941,'packing mapping'!A:B,2,0)</f>
        <v>20</v>
      </c>
      <c r="I1941" s="137">
        <v>3340200</v>
      </c>
      <c r="J1941" s="132">
        <f t="shared" si="61"/>
        <v>167010</v>
      </c>
    </row>
    <row r="1942" spans="1:10">
      <c r="A1942" s="115" t="s">
        <v>762</v>
      </c>
      <c r="B1942" s="115" t="s">
        <v>763</v>
      </c>
      <c r="C1942" s="115" t="s">
        <v>1454</v>
      </c>
      <c r="D1942" s="115" t="s">
        <v>1455</v>
      </c>
      <c r="E1942" s="133" t="str">
        <f t="shared" si="60"/>
        <v>1200000743WBL-61202 CLEAR 20 VN</v>
      </c>
      <c r="F1942" s="133" t="s">
        <v>3175</v>
      </c>
      <c r="G1942" s="133" t="s">
        <v>3881</v>
      </c>
      <c r="H1942" s="133">
        <f>VLOOKUP(G1942,'packing mapping'!A:B,2,0)</f>
        <v>20</v>
      </c>
      <c r="I1942" s="137">
        <v>3263000</v>
      </c>
      <c r="J1942" s="132">
        <f t="shared" si="61"/>
        <v>163150</v>
      </c>
    </row>
    <row r="1943" spans="1:10">
      <c r="A1943" s="115" t="s">
        <v>762</v>
      </c>
      <c r="B1943" s="115" t="s">
        <v>763</v>
      </c>
      <c r="C1943" s="115" t="s">
        <v>2724</v>
      </c>
      <c r="D1943" s="115" t="s">
        <v>2725</v>
      </c>
      <c r="E1943" s="133" t="str">
        <f t="shared" si="60"/>
        <v>1200000743TOL-76301 N BROWN ARC MH VN</v>
      </c>
      <c r="F1943" s="133" t="s">
        <v>3734</v>
      </c>
      <c r="G1943" s="133" t="s">
        <v>3895</v>
      </c>
      <c r="H1943" s="133">
        <f>VLOOKUP(G1943,'packing mapping'!A:B,2,0)</f>
        <v>16</v>
      </c>
      <c r="I1943" s="137">
        <v>2105920</v>
      </c>
      <c r="J1943" s="132">
        <f t="shared" si="61"/>
        <v>131620</v>
      </c>
    </row>
    <row r="1944" spans="1:10">
      <c r="A1944" s="115" t="s">
        <v>1095</v>
      </c>
      <c r="B1944" s="115" t="s">
        <v>1096</v>
      </c>
      <c r="C1944" s="115" t="s">
        <v>1192</v>
      </c>
      <c r="D1944" s="115" t="s">
        <v>1193</v>
      </c>
      <c r="E1944" s="133" t="str">
        <f t="shared" si="60"/>
        <v>1200001136PCL-31300 BLACK PASTE</v>
      </c>
      <c r="F1944" s="133" t="s">
        <v>3050</v>
      </c>
      <c r="G1944" s="133" t="s">
        <v>3883</v>
      </c>
      <c r="H1944" s="133">
        <f>VLOOKUP(G1944,'packing mapping'!A:B,2,0)</f>
        <v>4</v>
      </c>
      <c r="I1944" s="137">
        <v>2596880</v>
      </c>
      <c r="J1944" s="132">
        <f t="shared" si="61"/>
        <v>649220</v>
      </c>
    </row>
    <row r="1945" spans="1:10">
      <c r="A1945" s="115" t="s">
        <v>1095</v>
      </c>
      <c r="B1945" s="115" t="s">
        <v>1096</v>
      </c>
      <c r="C1945" s="115" t="s">
        <v>1194</v>
      </c>
      <c r="D1945" s="115" t="s">
        <v>1195</v>
      </c>
      <c r="E1945" s="133" t="str">
        <f t="shared" si="60"/>
        <v>1200001136PCL-31300 BLUE OG PASTE</v>
      </c>
      <c r="F1945" s="133" t="s">
        <v>3051</v>
      </c>
      <c r="G1945" s="133" t="s">
        <v>3883</v>
      </c>
      <c r="H1945" s="133">
        <f>VLOOKUP(G1945,'packing mapping'!A:B,2,0)</f>
        <v>4</v>
      </c>
      <c r="I1945" s="137">
        <v>2485160</v>
      </c>
      <c r="J1945" s="132">
        <f t="shared" si="61"/>
        <v>621290</v>
      </c>
    </row>
    <row r="1946" spans="1:10">
      <c r="A1946" s="115" t="s">
        <v>1095</v>
      </c>
      <c r="B1946" s="115" t="s">
        <v>1096</v>
      </c>
      <c r="C1946" s="115" t="s">
        <v>1202</v>
      </c>
      <c r="D1946" s="115" t="s">
        <v>1203</v>
      </c>
      <c r="E1946" s="133" t="str">
        <f t="shared" si="60"/>
        <v>1200001136PCL-31300 WHITE PASTE</v>
      </c>
      <c r="F1946" s="133" t="s">
        <v>3055</v>
      </c>
      <c r="G1946" s="133" t="s">
        <v>3883</v>
      </c>
      <c r="H1946" s="133">
        <f>VLOOKUP(G1946,'packing mapping'!A:B,2,0)</f>
        <v>4</v>
      </c>
      <c r="I1946" s="137">
        <v>1178960</v>
      </c>
      <c r="J1946" s="132">
        <f t="shared" si="61"/>
        <v>294740</v>
      </c>
    </row>
    <row r="1947" spans="1:10">
      <c r="A1947" s="115" t="s">
        <v>1095</v>
      </c>
      <c r="B1947" s="115" t="s">
        <v>1096</v>
      </c>
      <c r="C1947" s="115" t="s">
        <v>1210</v>
      </c>
      <c r="D1947" s="115" t="s">
        <v>1211</v>
      </c>
      <c r="E1947" s="133" t="str">
        <f t="shared" si="60"/>
        <v>1200001136PUH-56306 LY VN</v>
      </c>
      <c r="F1947" s="133" t="s">
        <v>3059</v>
      </c>
      <c r="G1947" s="133" t="s">
        <v>3879</v>
      </c>
      <c r="H1947" s="133">
        <f>VLOOKUP(G1947,'packing mapping'!A:B,2,0)</f>
        <v>20</v>
      </c>
      <c r="I1947" s="137">
        <v>3268400</v>
      </c>
      <c r="J1947" s="132">
        <f t="shared" si="61"/>
        <v>163420</v>
      </c>
    </row>
    <row r="1948" spans="1:10">
      <c r="A1948" s="115" t="s">
        <v>1095</v>
      </c>
      <c r="B1948" s="115" t="s">
        <v>1096</v>
      </c>
      <c r="C1948" s="115" t="s">
        <v>1212</v>
      </c>
      <c r="D1948" s="115" t="s">
        <v>1213</v>
      </c>
      <c r="E1948" s="133" t="str">
        <f t="shared" si="60"/>
        <v>1200001136PUL-53306 AC EX CLEAR 20 VN</v>
      </c>
      <c r="F1948" s="133" t="s">
        <v>3060</v>
      </c>
      <c r="G1948" s="133" t="s">
        <v>3879</v>
      </c>
      <c r="H1948" s="133">
        <f>VLOOKUP(G1948,'packing mapping'!A:B,2,0)</f>
        <v>20</v>
      </c>
      <c r="I1948" s="137">
        <v>3330600</v>
      </c>
      <c r="J1948" s="132">
        <f t="shared" si="61"/>
        <v>166530</v>
      </c>
    </row>
    <row r="1949" spans="1:10">
      <c r="A1949" s="115" t="s">
        <v>1095</v>
      </c>
      <c r="B1949" s="115" t="s">
        <v>1096</v>
      </c>
      <c r="C1949" s="115" t="s">
        <v>1878</v>
      </c>
      <c r="D1949" s="115" t="s">
        <v>1879</v>
      </c>
      <c r="E1949" s="133" t="str">
        <f t="shared" si="60"/>
        <v>1200001136PUL-53306 AC EX CLEAR 40 VN</v>
      </c>
      <c r="F1949" s="133" t="s">
        <v>3362</v>
      </c>
      <c r="G1949" s="133" t="s">
        <v>3879</v>
      </c>
      <c r="H1949" s="133">
        <f>VLOOKUP(G1949,'packing mapping'!A:B,2,0)</f>
        <v>20</v>
      </c>
      <c r="I1949" s="137">
        <v>3219400</v>
      </c>
      <c r="J1949" s="132">
        <f t="shared" si="61"/>
        <v>160970</v>
      </c>
    </row>
    <row r="1950" spans="1:10">
      <c r="A1950" s="115" t="s">
        <v>1095</v>
      </c>
      <c r="B1950" s="115" t="s">
        <v>1096</v>
      </c>
      <c r="C1950" s="115" t="s">
        <v>1476</v>
      </c>
      <c r="D1950" s="115" t="s">
        <v>1477</v>
      </c>
      <c r="E1950" s="133" t="str">
        <f t="shared" si="60"/>
        <v>1200001136PUP-52141 WHITE 01 VN</v>
      </c>
      <c r="F1950" s="133" t="s">
        <v>3184</v>
      </c>
      <c r="G1950" s="133" t="s">
        <v>3881</v>
      </c>
      <c r="H1950" s="133">
        <f>VLOOKUP(G1950,'packing mapping'!A:B,2,0)</f>
        <v>20</v>
      </c>
      <c r="I1950" s="137">
        <v>2274400</v>
      </c>
      <c r="J1950" s="132">
        <f t="shared" si="61"/>
        <v>113720</v>
      </c>
    </row>
    <row r="1951" spans="1:10">
      <c r="A1951" s="115" t="s">
        <v>1095</v>
      </c>
      <c r="B1951" s="115" t="s">
        <v>1096</v>
      </c>
      <c r="C1951" s="115" t="s">
        <v>1478</v>
      </c>
      <c r="D1951" s="115" t="s">
        <v>1479</v>
      </c>
      <c r="E1951" s="133" t="str">
        <f t="shared" si="60"/>
        <v>1200001136PUSS-51241 VN</v>
      </c>
      <c r="F1951" s="133" t="s">
        <v>3185</v>
      </c>
      <c r="G1951" s="133" t="s">
        <v>3881</v>
      </c>
      <c r="H1951" s="133">
        <f>VLOOKUP(G1951,'packing mapping'!A:B,2,0)</f>
        <v>20</v>
      </c>
      <c r="I1951" s="137">
        <v>1957200</v>
      </c>
      <c r="J1951" s="132">
        <f t="shared" si="61"/>
        <v>97860</v>
      </c>
    </row>
    <row r="1952" spans="1:10">
      <c r="A1952" s="115" t="s">
        <v>1095</v>
      </c>
      <c r="B1952" s="115" t="s">
        <v>1096</v>
      </c>
      <c r="C1952" s="115" t="s">
        <v>1242</v>
      </c>
      <c r="D1952" s="115" t="s">
        <v>1243</v>
      </c>
      <c r="E1952" s="133" t="str">
        <f t="shared" si="60"/>
        <v>1200001136THPU-71306 ST VN</v>
      </c>
      <c r="F1952" s="133" t="s">
        <v>3039</v>
      </c>
      <c r="G1952" s="133" t="s">
        <v>3884</v>
      </c>
      <c r="H1952" s="133">
        <f>VLOOKUP(G1952,'packing mapping'!A:B,2,0)</f>
        <v>200</v>
      </c>
      <c r="I1952" s="137">
        <v>10480000</v>
      </c>
      <c r="J1952" s="132">
        <f t="shared" si="61"/>
        <v>52400</v>
      </c>
    </row>
    <row r="1953" spans="1:10">
      <c r="A1953" s="115" t="s">
        <v>1095</v>
      </c>
      <c r="B1953" s="115" t="s">
        <v>1096</v>
      </c>
      <c r="C1953" s="115" t="s">
        <v>1170</v>
      </c>
      <c r="D1953" s="115" t="s">
        <v>1171</v>
      </c>
      <c r="E1953" s="133" t="str">
        <f t="shared" si="60"/>
        <v>1200001136THPU-71306 ST VN</v>
      </c>
      <c r="F1953" s="133" t="s">
        <v>3039</v>
      </c>
      <c r="G1953" s="133" t="s">
        <v>3880</v>
      </c>
      <c r="H1953" s="133">
        <f>VLOOKUP(G1953,'packing mapping'!A:B,2,0)</f>
        <v>20</v>
      </c>
      <c r="I1953" s="137">
        <v>1080000</v>
      </c>
      <c r="J1953" s="132">
        <f t="shared" si="61"/>
        <v>54000</v>
      </c>
    </row>
    <row r="1954" spans="1:10">
      <c r="A1954" s="115" t="s">
        <v>1095</v>
      </c>
      <c r="B1954" s="115" t="s">
        <v>1096</v>
      </c>
      <c r="C1954" s="115" t="s">
        <v>1314</v>
      </c>
      <c r="D1954" s="115" t="s">
        <v>1315</v>
      </c>
      <c r="E1954" s="133" t="str">
        <f t="shared" si="60"/>
        <v>1200001136PCL-31300 RED 31701 PASTE</v>
      </c>
      <c r="F1954" s="133" t="s">
        <v>3108</v>
      </c>
      <c r="G1954" s="133" t="s">
        <v>3883</v>
      </c>
      <c r="H1954" s="133">
        <f>VLOOKUP(G1954,'packing mapping'!A:B,2,0)</f>
        <v>4</v>
      </c>
      <c r="I1954" s="137">
        <v>3444440</v>
      </c>
      <c r="J1954" s="132">
        <f t="shared" si="61"/>
        <v>861110</v>
      </c>
    </row>
    <row r="1955" spans="1:10">
      <c r="A1955" s="115" t="s">
        <v>1095</v>
      </c>
      <c r="B1955" s="115" t="s">
        <v>1096</v>
      </c>
      <c r="C1955" s="115" t="s">
        <v>1316</v>
      </c>
      <c r="D1955" s="115" t="s">
        <v>1317</v>
      </c>
      <c r="E1955" s="133" t="str">
        <f t="shared" si="60"/>
        <v>1200001136PCL-31300 YELLOW 170 HR PASTE</v>
      </c>
      <c r="F1955" s="133" t="s">
        <v>3109</v>
      </c>
      <c r="G1955" s="133" t="s">
        <v>3883</v>
      </c>
      <c r="H1955" s="133">
        <f>VLOOKUP(G1955,'packing mapping'!A:B,2,0)</f>
        <v>4</v>
      </c>
      <c r="I1955" s="137">
        <v>1851360</v>
      </c>
      <c r="J1955" s="132">
        <f t="shared" si="61"/>
        <v>462840</v>
      </c>
    </row>
    <row r="1956" spans="1:10">
      <c r="A1956" s="115" t="s">
        <v>1095</v>
      </c>
      <c r="B1956" s="115" t="s">
        <v>1096</v>
      </c>
      <c r="C1956" s="115" t="s">
        <v>1496</v>
      </c>
      <c r="D1956" s="115" t="s">
        <v>1497</v>
      </c>
      <c r="E1956" s="133" t="str">
        <f t="shared" si="60"/>
        <v>1200001136PUH-56141 VN</v>
      </c>
      <c r="F1956" s="133" t="s">
        <v>3189</v>
      </c>
      <c r="G1956" s="133" t="s">
        <v>3881</v>
      </c>
      <c r="H1956" s="133">
        <f>VLOOKUP(G1956,'packing mapping'!A:B,2,0)</f>
        <v>20</v>
      </c>
      <c r="I1956" s="137">
        <v>1705200</v>
      </c>
      <c r="J1956" s="132">
        <f t="shared" si="61"/>
        <v>85260</v>
      </c>
    </row>
    <row r="1957" spans="1:10">
      <c r="A1957" s="115" t="s">
        <v>1095</v>
      </c>
      <c r="B1957" s="115" t="s">
        <v>1096</v>
      </c>
      <c r="C1957" s="115" t="s">
        <v>2726</v>
      </c>
      <c r="D1957" s="115" t="s">
        <v>2727</v>
      </c>
      <c r="E1957" s="133" t="str">
        <f t="shared" si="60"/>
        <v>1200001136PUC-54205 AC WHITE 20 TCS VN</v>
      </c>
      <c r="F1957" s="133" t="s">
        <v>3735</v>
      </c>
      <c r="G1957" s="133" t="s">
        <v>3881</v>
      </c>
      <c r="H1957" s="133">
        <f>VLOOKUP(G1957,'packing mapping'!A:B,2,0)</f>
        <v>20</v>
      </c>
      <c r="I1957" s="137">
        <v>3689800</v>
      </c>
      <c r="J1957" s="132">
        <f t="shared" si="61"/>
        <v>184490</v>
      </c>
    </row>
    <row r="1958" spans="1:10">
      <c r="A1958" s="115" t="s">
        <v>1095</v>
      </c>
      <c r="B1958" s="115" t="s">
        <v>1096</v>
      </c>
      <c r="C1958" s="115" t="s">
        <v>2728</v>
      </c>
      <c r="D1958" s="115" t="s">
        <v>2729</v>
      </c>
      <c r="E1958" s="133" t="str">
        <f t="shared" si="60"/>
        <v>1200001136PUC-54205 AC GREY 20 TCS VN</v>
      </c>
      <c r="F1958" s="133" t="s">
        <v>3736</v>
      </c>
      <c r="G1958" s="133" t="s">
        <v>3881</v>
      </c>
      <c r="H1958" s="133">
        <f>VLOOKUP(G1958,'packing mapping'!A:B,2,0)</f>
        <v>20</v>
      </c>
      <c r="I1958" s="137">
        <v>3889200</v>
      </c>
      <c r="J1958" s="132">
        <f t="shared" si="61"/>
        <v>194460</v>
      </c>
    </row>
    <row r="1959" spans="1:10">
      <c r="A1959" s="115" t="s">
        <v>1095</v>
      </c>
      <c r="B1959" s="115" t="s">
        <v>1096</v>
      </c>
      <c r="C1959" s="115" t="s">
        <v>2730</v>
      </c>
      <c r="D1959" s="115" t="s">
        <v>2731</v>
      </c>
      <c r="E1959" s="133" t="str">
        <f t="shared" si="60"/>
        <v>1200001136PUP-52141 BLUE TCS VN</v>
      </c>
      <c r="F1959" s="133" t="s">
        <v>3737</v>
      </c>
      <c r="G1959" s="133" t="s">
        <v>3881</v>
      </c>
      <c r="H1959" s="133">
        <f>VLOOKUP(G1959,'packing mapping'!A:B,2,0)</f>
        <v>20</v>
      </c>
      <c r="I1959" s="137">
        <v>2497000</v>
      </c>
      <c r="J1959" s="132">
        <f t="shared" si="61"/>
        <v>124850</v>
      </c>
    </row>
    <row r="1960" spans="1:10">
      <c r="A1960" s="115" t="s">
        <v>1095</v>
      </c>
      <c r="B1960" s="115" t="s">
        <v>1096</v>
      </c>
      <c r="C1960" s="115" t="s">
        <v>2732</v>
      </c>
      <c r="D1960" s="115" t="s">
        <v>2733</v>
      </c>
      <c r="E1960" s="133" t="str">
        <f t="shared" si="60"/>
        <v>1200001136PUC-54206 AC EX BLUE 20 TCS VN</v>
      </c>
      <c r="F1960" s="133" t="s">
        <v>3738</v>
      </c>
      <c r="G1960" s="133" t="s">
        <v>3882</v>
      </c>
      <c r="H1960" s="133">
        <f>VLOOKUP(G1960,'packing mapping'!A:B,2,0)</f>
        <v>18</v>
      </c>
      <c r="I1960" s="137">
        <v>4073040</v>
      </c>
      <c r="J1960" s="132">
        <f t="shared" si="61"/>
        <v>226280</v>
      </c>
    </row>
    <row r="1961" spans="1:10">
      <c r="A1961" s="115" t="s">
        <v>1095</v>
      </c>
      <c r="B1961" s="115" t="s">
        <v>1096</v>
      </c>
      <c r="C1961" s="115" t="s">
        <v>2734</v>
      </c>
      <c r="D1961" s="115" t="s">
        <v>2735</v>
      </c>
      <c r="E1961" s="133" t="str">
        <f t="shared" si="60"/>
        <v>1200001136PUC-54205 AC XAM2258K 10 TCS VN</v>
      </c>
      <c r="F1961" s="133" t="s">
        <v>3739</v>
      </c>
      <c r="G1961" s="133" t="s">
        <v>3881</v>
      </c>
      <c r="H1961" s="133">
        <f>VLOOKUP(G1961,'packing mapping'!A:B,2,0)</f>
        <v>20</v>
      </c>
      <c r="I1961" s="137">
        <v>3710800</v>
      </c>
      <c r="J1961" s="132">
        <f t="shared" si="61"/>
        <v>185540</v>
      </c>
    </row>
    <row r="1962" spans="1:10">
      <c r="A1962" s="115" t="s">
        <v>1095</v>
      </c>
      <c r="B1962" s="115" t="s">
        <v>1096</v>
      </c>
      <c r="C1962" s="115" t="s">
        <v>2736</v>
      </c>
      <c r="D1962" s="115" t="s">
        <v>2737</v>
      </c>
      <c r="E1962" s="133" t="str">
        <f t="shared" si="60"/>
        <v>1200001136PUC-54205 AC XAM2262K 10 TCS VN</v>
      </c>
      <c r="F1962" s="133" t="s">
        <v>3740</v>
      </c>
      <c r="G1962" s="133" t="s">
        <v>3881</v>
      </c>
      <c r="H1962" s="133">
        <f>VLOOKUP(G1962,'packing mapping'!A:B,2,0)</f>
        <v>20</v>
      </c>
      <c r="I1962" s="137">
        <v>3817800</v>
      </c>
      <c r="J1962" s="132">
        <f t="shared" si="61"/>
        <v>190890</v>
      </c>
    </row>
    <row r="1963" spans="1:10">
      <c r="A1963" s="115" t="s">
        <v>1095</v>
      </c>
      <c r="B1963" s="115" t="s">
        <v>1096</v>
      </c>
      <c r="C1963" s="115" t="s">
        <v>2738</v>
      </c>
      <c r="D1963" s="115" t="s">
        <v>2739</v>
      </c>
      <c r="E1963" s="133" t="str">
        <f t="shared" si="60"/>
        <v>1200001136PUC-54205 AC XAM2254K 10 TCS VN</v>
      </c>
      <c r="F1963" s="133" t="s">
        <v>3741</v>
      </c>
      <c r="G1963" s="133" t="s">
        <v>3881</v>
      </c>
      <c r="H1963" s="133">
        <f>VLOOKUP(G1963,'packing mapping'!A:B,2,0)</f>
        <v>20</v>
      </c>
      <c r="I1963" s="137">
        <v>3729600</v>
      </c>
      <c r="J1963" s="132">
        <f t="shared" si="61"/>
        <v>186480</v>
      </c>
    </row>
    <row r="1964" spans="1:10">
      <c r="A1964" s="115" t="s">
        <v>1095</v>
      </c>
      <c r="B1964" s="115" t="s">
        <v>1096</v>
      </c>
      <c r="C1964" s="115" t="s">
        <v>2740</v>
      </c>
      <c r="D1964" s="115" t="s">
        <v>2741</v>
      </c>
      <c r="E1964" s="133" t="str">
        <f t="shared" si="60"/>
        <v>1200001136PUC-54205 AC WHT2252K 10 TCS VN</v>
      </c>
      <c r="F1964" s="133" t="s">
        <v>3742</v>
      </c>
      <c r="G1964" s="133" t="s">
        <v>3881</v>
      </c>
      <c r="H1964" s="133">
        <f>VLOOKUP(G1964,'packing mapping'!A:B,2,0)</f>
        <v>20</v>
      </c>
      <c r="I1964" s="137">
        <v>3696000</v>
      </c>
      <c r="J1964" s="132">
        <f t="shared" si="61"/>
        <v>184800</v>
      </c>
    </row>
    <row r="1965" spans="1:10">
      <c r="A1965" s="115" t="s">
        <v>1095</v>
      </c>
      <c r="B1965" s="115" t="s">
        <v>1096</v>
      </c>
      <c r="C1965" s="115" t="s">
        <v>2742</v>
      </c>
      <c r="D1965" s="115" t="s">
        <v>2743</v>
      </c>
      <c r="E1965" s="133" t="str">
        <f t="shared" si="60"/>
        <v>1200001136PUC-54205 AC XAM2263K 10 TCS VN</v>
      </c>
      <c r="F1965" s="133" t="s">
        <v>3743</v>
      </c>
      <c r="G1965" s="133" t="s">
        <v>3881</v>
      </c>
      <c r="H1965" s="133">
        <f>VLOOKUP(G1965,'packing mapping'!A:B,2,0)</f>
        <v>20</v>
      </c>
      <c r="I1965" s="137">
        <v>4269400</v>
      </c>
      <c r="J1965" s="132">
        <f t="shared" si="61"/>
        <v>213470</v>
      </c>
    </row>
    <row r="1966" spans="1:10">
      <c r="A1966" s="115" t="s">
        <v>1095</v>
      </c>
      <c r="B1966" s="115" t="s">
        <v>1096</v>
      </c>
      <c r="C1966" s="115" t="s">
        <v>2744</v>
      </c>
      <c r="D1966" s="115" t="s">
        <v>2745</v>
      </c>
      <c r="E1966" s="133" t="str">
        <f t="shared" si="60"/>
        <v>1200001136PUC-54206 AC EX BLUE2264 10 TCSVN</v>
      </c>
      <c r="F1966" s="133" t="s">
        <v>3744</v>
      </c>
      <c r="G1966" s="133" t="s">
        <v>3882</v>
      </c>
      <c r="H1966" s="133">
        <f>VLOOKUP(G1966,'packing mapping'!A:B,2,0)</f>
        <v>18</v>
      </c>
      <c r="I1966" s="137">
        <v>4144860</v>
      </c>
      <c r="J1966" s="132">
        <f t="shared" si="61"/>
        <v>230270</v>
      </c>
    </row>
    <row r="1967" spans="1:10">
      <c r="A1967" s="115" t="s">
        <v>1095</v>
      </c>
      <c r="B1967" s="115" t="s">
        <v>1096</v>
      </c>
      <c r="C1967" s="115" t="s">
        <v>2746</v>
      </c>
      <c r="D1967" s="115" t="s">
        <v>2747</v>
      </c>
      <c r="E1967" s="133" t="str">
        <f t="shared" si="60"/>
        <v>1200001136PUC-54205 AC GREY2260 10 TCS VN</v>
      </c>
      <c r="F1967" s="133" t="s">
        <v>3745</v>
      </c>
      <c r="G1967" s="133" t="s">
        <v>3881</v>
      </c>
      <c r="H1967" s="133">
        <f>VLOOKUP(G1967,'packing mapping'!A:B,2,0)</f>
        <v>20</v>
      </c>
      <c r="I1967" s="137">
        <v>3826200</v>
      </c>
      <c r="J1967" s="132">
        <f t="shared" si="61"/>
        <v>191310</v>
      </c>
    </row>
    <row r="1968" spans="1:10">
      <c r="A1968" s="115" t="s">
        <v>1095</v>
      </c>
      <c r="B1968" s="115" t="s">
        <v>1096</v>
      </c>
      <c r="C1968" s="115" t="s">
        <v>2748</v>
      </c>
      <c r="D1968" s="115" t="s">
        <v>2749</v>
      </c>
      <c r="E1968" s="133" t="str">
        <f t="shared" si="60"/>
        <v>1200001136PUC-54205 AC BLUE2261 10 TCS VN</v>
      </c>
      <c r="F1968" s="133" t="s">
        <v>3746</v>
      </c>
      <c r="G1968" s="133" t="s">
        <v>3881</v>
      </c>
      <c r="H1968" s="133">
        <f>VLOOKUP(G1968,'packing mapping'!A:B,2,0)</f>
        <v>20</v>
      </c>
      <c r="I1968" s="137">
        <v>3790600</v>
      </c>
      <c r="J1968" s="132">
        <f t="shared" si="61"/>
        <v>189530</v>
      </c>
    </row>
    <row r="1969" spans="1:10">
      <c r="A1969" s="115" t="s">
        <v>1095</v>
      </c>
      <c r="B1969" s="115" t="s">
        <v>1096</v>
      </c>
      <c r="C1969" s="115" t="s">
        <v>2750</v>
      </c>
      <c r="D1969" s="115" t="s">
        <v>2751</v>
      </c>
      <c r="E1969" s="133" t="str">
        <f t="shared" si="60"/>
        <v>1200001136PUC-54205 AC BLUE2267 10 TCS VN</v>
      </c>
      <c r="F1969" s="133" t="s">
        <v>3747</v>
      </c>
      <c r="G1969" s="133" t="s">
        <v>3881</v>
      </c>
      <c r="H1969" s="133">
        <f>VLOOKUP(G1969,'packing mapping'!A:B,2,0)</f>
        <v>20</v>
      </c>
      <c r="I1969" s="137">
        <v>4195800</v>
      </c>
      <c r="J1969" s="132">
        <f t="shared" si="61"/>
        <v>209790</v>
      </c>
    </row>
    <row r="1970" spans="1:10">
      <c r="A1970" s="115" t="s">
        <v>1095</v>
      </c>
      <c r="B1970" s="115" t="s">
        <v>1096</v>
      </c>
      <c r="C1970" s="115" t="s">
        <v>2752</v>
      </c>
      <c r="D1970" s="115" t="s">
        <v>2753</v>
      </c>
      <c r="E1970" s="133" t="str">
        <f t="shared" si="60"/>
        <v>1200001136PUC-54205 AC GREY2273 10 TCS VN</v>
      </c>
      <c r="F1970" s="133" t="s">
        <v>3748</v>
      </c>
      <c r="G1970" s="133" t="s">
        <v>3881</v>
      </c>
      <c r="H1970" s="133">
        <f>VLOOKUP(G1970,'packing mapping'!A:B,2,0)</f>
        <v>20</v>
      </c>
      <c r="I1970" s="137">
        <v>4198000</v>
      </c>
      <c r="J1970" s="132">
        <f t="shared" si="61"/>
        <v>209900</v>
      </c>
    </row>
    <row r="1971" spans="1:10">
      <c r="A1971" s="115" t="s">
        <v>1079</v>
      </c>
      <c r="B1971" s="115" t="s">
        <v>1080</v>
      </c>
      <c r="C1971" s="115" t="s">
        <v>2180</v>
      </c>
      <c r="D1971" s="115" t="s">
        <v>2181</v>
      </c>
      <c r="E1971" s="133" t="str">
        <f t="shared" si="60"/>
        <v>1200001121MEP-12003 WHITE VN</v>
      </c>
      <c r="F1971" s="133" t="s">
        <v>3504</v>
      </c>
      <c r="G1971" s="133" t="s">
        <v>3882</v>
      </c>
      <c r="H1971" s="133">
        <f>VLOOKUP(G1971,'packing mapping'!A:B,2,0)</f>
        <v>18</v>
      </c>
      <c r="I1971" s="137">
        <v>1449720</v>
      </c>
      <c r="J1971" s="132">
        <f t="shared" si="61"/>
        <v>80540</v>
      </c>
    </row>
    <row r="1972" spans="1:10">
      <c r="A1972" s="115" t="s">
        <v>1079</v>
      </c>
      <c r="B1972" s="115" t="s">
        <v>1080</v>
      </c>
      <c r="C1972" s="115" t="s">
        <v>1188</v>
      </c>
      <c r="D1972" s="115" t="s">
        <v>1189</v>
      </c>
      <c r="E1972" s="133" t="str">
        <f t="shared" si="60"/>
        <v>1200001121PCA-31100 BLACK PASTE VN</v>
      </c>
      <c r="F1972" s="133" t="s">
        <v>3048</v>
      </c>
      <c r="G1972" s="133" t="s">
        <v>3883</v>
      </c>
      <c r="H1972" s="133">
        <f>VLOOKUP(G1972,'packing mapping'!A:B,2,0)</f>
        <v>4</v>
      </c>
      <c r="I1972" s="137">
        <v>1569960</v>
      </c>
      <c r="J1972" s="132">
        <f t="shared" si="61"/>
        <v>392490</v>
      </c>
    </row>
    <row r="1973" spans="1:10">
      <c r="A1973" s="115" t="s">
        <v>1079</v>
      </c>
      <c r="B1973" s="115" t="s">
        <v>1080</v>
      </c>
      <c r="C1973" s="115" t="s">
        <v>1372</v>
      </c>
      <c r="D1973" s="115" t="s">
        <v>1373</v>
      </c>
      <c r="E1973" s="133" t="str">
        <f t="shared" si="60"/>
        <v>1200001121PCA-31100 OXIDE RED PASTE VN</v>
      </c>
      <c r="F1973" s="133" t="s">
        <v>3136</v>
      </c>
      <c r="G1973" s="133" t="s">
        <v>3883</v>
      </c>
      <c r="H1973" s="133">
        <f>VLOOKUP(G1973,'packing mapping'!A:B,2,0)</f>
        <v>4</v>
      </c>
      <c r="I1973" s="137">
        <v>1199520</v>
      </c>
      <c r="J1973" s="132">
        <f t="shared" si="61"/>
        <v>299880</v>
      </c>
    </row>
    <row r="1974" spans="1:10">
      <c r="A1974" s="115" t="s">
        <v>1079</v>
      </c>
      <c r="B1974" s="115" t="s">
        <v>1080</v>
      </c>
      <c r="C1974" s="115" t="s">
        <v>1374</v>
      </c>
      <c r="D1974" s="115" t="s">
        <v>1375</v>
      </c>
      <c r="E1974" s="133" t="str">
        <f t="shared" si="60"/>
        <v>1200001121PCA-31100 RED OB 35 PASTE VN</v>
      </c>
      <c r="F1974" s="133" t="s">
        <v>3137</v>
      </c>
      <c r="G1974" s="133" t="s">
        <v>3883</v>
      </c>
      <c r="H1974" s="133">
        <f>VLOOKUP(G1974,'packing mapping'!A:B,2,0)</f>
        <v>4</v>
      </c>
      <c r="I1974" s="137">
        <v>2520000</v>
      </c>
      <c r="J1974" s="132">
        <f t="shared" si="61"/>
        <v>630000</v>
      </c>
    </row>
    <row r="1975" spans="1:10">
      <c r="A1975" s="115" t="s">
        <v>1079</v>
      </c>
      <c r="B1975" s="115" t="s">
        <v>1080</v>
      </c>
      <c r="C1975" s="115" t="s">
        <v>1190</v>
      </c>
      <c r="D1975" s="115" t="s">
        <v>1191</v>
      </c>
      <c r="E1975" s="133" t="str">
        <f t="shared" si="60"/>
        <v>1200001121PCA-31100 WHITE PASTE VN</v>
      </c>
      <c r="F1975" s="133" t="s">
        <v>3049</v>
      </c>
      <c r="G1975" s="133" t="s">
        <v>3883</v>
      </c>
      <c r="H1975" s="133">
        <f>VLOOKUP(G1975,'packing mapping'!A:B,2,0)</f>
        <v>4</v>
      </c>
      <c r="I1975" s="137">
        <v>1063040</v>
      </c>
      <c r="J1975" s="132">
        <f t="shared" si="61"/>
        <v>265760</v>
      </c>
    </row>
    <row r="1976" spans="1:10">
      <c r="A1976" s="115" t="s">
        <v>1079</v>
      </c>
      <c r="B1976" s="115" t="s">
        <v>1080</v>
      </c>
      <c r="C1976" s="115" t="s">
        <v>1378</v>
      </c>
      <c r="D1976" s="115" t="s">
        <v>1379</v>
      </c>
      <c r="E1976" s="133" t="str">
        <f t="shared" si="60"/>
        <v>1200001121PCA-31100 YELLOW OKER PASTE VN</v>
      </c>
      <c r="F1976" s="133" t="s">
        <v>3139</v>
      </c>
      <c r="G1976" s="133" t="s">
        <v>3883</v>
      </c>
      <c r="H1976" s="133">
        <f>VLOOKUP(G1976,'packing mapping'!A:B,2,0)</f>
        <v>4</v>
      </c>
      <c r="I1976" s="137">
        <v>937880</v>
      </c>
      <c r="J1976" s="132">
        <f t="shared" si="61"/>
        <v>234470</v>
      </c>
    </row>
    <row r="1977" spans="1:10">
      <c r="A1977" s="115" t="s">
        <v>1079</v>
      </c>
      <c r="B1977" s="115" t="s">
        <v>1080</v>
      </c>
      <c r="C1977" s="115" t="s">
        <v>1720</v>
      </c>
      <c r="D1977" s="115" t="s">
        <v>1721</v>
      </c>
      <c r="E1977" s="133" t="str">
        <f t="shared" si="60"/>
        <v>1200001121PUP-52141 BLACK 01 VN</v>
      </c>
      <c r="F1977" s="133" t="s">
        <v>3295</v>
      </c>
      <c r="G1977" s="133" t="s">
        <v>3881</v>
      </c>
      <c r="H1977" s="133">
        <f>VLOOKUP(G1977,'packing mapping'!A:B,2,0)</f>
        <v>20</v>
      </c>
      <c r="I1977" s="137">
        <v>2421400</v>
      </c>
      <c r="J1977" s="132">
        <f t="shared" si="61"/>
        <v>121070</v>
      </c>
    </row>
    <row r="1978" spans="1:10">
      <c r="A1978" s="115" t="s">
        <v>1079</v>
      </c>
      <c r="B1978" s="115" t="s">
        <v>1080</v>
      </c>
      <c r="C1978" s="115" t="s">
        <v>1476</v>
      </c>
      <c r="D1978" s="115" t="s">
        <v>1477</v>
      </c>
      <c r="E1978" s="133" t="str">
        <f t="shared" si="60"/>
        <v>1200001121PUP-52141 WHITE 01 VN</v>
      </c>
      <c r="F1978" s="133" t="s">
        <v>3184</v>
      </c>
      <c r="G1978" s="133" t="s">
        <v>3881</v>
      </c>
      <c r="H1978" s="133">
        <f>VLOOKUP(G1978,'packing mapping'!A:B,2,0)</f>
        <v>20</v>
      </c>
      <c r="I1978" s="137">
        <v>2274400</v>
      </c>
      <c r="J1978" s="132">
        <f t="shared" si="61"/>
        <v>113720</v>
      </c>
    </row>
    <row r="1979" spans="1:10">
      <c r="A1979" s="115" t="s">
        <v>1079</v>
      </c>
      <c r="B1979" s="115" t="s">
        <v>1080</v>
      </c>
      <c r="C1979" s="115" t="s">
        <v>1478</v>
      </c>
      <c r="D1979" s="115" t="s">
        <v>1479</v>
      </c>
      <c r="E1979" s="133" t="str">
        <f t="shared" si="60"/>
        <v>1200001121PUSS-51241 VN</v>
      </c>
      <c r="F1979" s="133" t="s">
        <v>3185</v>
      </c>
      <c r="G1979" s="133" t="s">
        <v>3881</v>
      </c>
      <c r="H1979" s="133">
        <f>VLOOKUP(G1979,'packing mapping'!A:B,2,0)</f>
        <v>20</v>
      </c>
      <c r="I1979" s="137">
        <v>1921600</v>
      </c>
      <c r="J1979" s="132">
        <f t="shared" si="61"/>
        <v>96080</v>
      </c>
    </row>
    <row r="1980" spans="1:10">
      <c r="A1980" s="115" t="s">
        <v>1079</v>
      </c>
      <c r="B1980" s="115" t="s">
        <v>1080</v>
      </c>
      <c r="C1980" s="115" t="s">
        <v>1220</v>
      </c>
      <c r="D1980" s="115" t="s">
        <v>1221</v>
      </c>
      <c r="E1980" s="133" t="str">
        <f t="shared" si="60"/>
        <v>1200001121SST-11100 C10 BLACK</v>
      </c>
      <c r="F1980" s="133" t="s">
        <v>3064</v>
      </c>
      <c r="G1980" s="133" t="s">
        <v>3883</v>
      </c>
      <c r="H1980" s="133">
        <f>VLOOKUP(G1980,'packing mapping'!A:B,2,0)</f>
        <v>4</v>
      </c>
      <c r="I1980" s="137">
        <v>912680</v>
      </c>
      <c r="J1980" s="132">
        <f t="shared" si="61"/>
        <v>228170</v>
      </c>
    </row>
    <row r="1981" spans="1:10">
      <c r="A1981" s="115" t="s">
        <v>1079</v>
      </c>
      <c r="B1981" s="115" t="s">
        <v>1080</v>
      </c>
      <c r="C1981" s="115" t="s">
        <v>1226</v>
      </c>
      <c r="D1981" s="115" t="s">
        <v>1227</v>
      </c>
      <c r="E1981" s="133" t="str">
        <f t="shared" si="60"/>
        <v>1200001121SST-11100 C10 RED</v>
      </c>
      <c r="F1981" s="133" t="s">
        <v>3067</v>
      </c>
      <c r="G1981" s="133" t="s">
        <v>3883</v>
      </c>
      <c r="H1981" s="133">
        <f>VLOOKUP(G1981,'packing mapping'!A:B,2,0)</f>
        <v>4</v>
      </c>
      <c r="I1981" s="137">
        <v>949200</v>
      </c>
      <c r="J1981" s="132">
        <f t="shared" si="61"/>
        <v>237300</v>
      </c>
    </row>
    <row r="1982" spans="1:10">
      <c r="A1982" s="115" t="s">
        <v>1079</v>
      </c>
      <c r="B1982" s="115" t="s">
        <v>1080</v>
      </c>
      <c r="C1982" s="115" t="s">
        <v>1228</v>
      </c>
      <c r="D1982" s="115" t="s">
        <v>1229</v>
      </c>
      <c r="E1982" s="133" t="str">
        <f t="shared" si="60"/>
        <v>1200001121SST-11100 C10 YELLOW</v>
      </c>
      <c r="F1982" s="133" t="s">
        <v>3068</v>
      </c>
      <c r="G1982" s="133" t="s">
        <v>3883</v>
      </c>
      <c r="H1982" s="133">
        <f>VLOOKUP(G1982,'packing mapping'!A:B,2,0)</f>
        <v>4</v>
      </c>
      <c r="I1982" s="137">
        <v>814800</v>
      </c>
      <c r="J1982" s="132">
        <f t="shared" si="61"/>
        <v>203700</v>
      </c>
    </row>
    <row r="1983" spans="1:10">
      <c r="A1983" s="115" t="s">
        <v>1079</v>
      </c>
      <c r="B1983" s="115" t="s">
        <v>1080</v>
      </c>
      <c r="C1983" s="115" t="s">
        <v>1242</v>
      </c>
      <c r="D1983" s="115" t="s">
        <v>1243</v>
      </c>
      <c r="E1983" s="133" t="str">
        <f t="shared" si="60"/>
        <v>1200001121THPU-71306 ST VN</v>
      </c>
      <c r="F1983" s="133" t="s">
        <v>3039</v>
      </c>
      <c r="G1983" s="133" t="s">
        <v>3884</v>
      </c>
      <c r="H1983" s="133">
        <f>VLOOKUP(G1983,'packing mapping'!A:B,2,0)</f>
        <v>200</v>
      </c>
      <c r="I1983" s="137">
        <v>9456000</v>
      </c>
      <c r="J1983" s="132">
        <f t="shared" si="61"/>
        <v>47280</v>
      </c>
    </row>
    <row r="1984" spans="1:10">
      <c r="A1984" s="115" t="s">
        <v>1079</v>
      </c>
      <c r="B1984" s="115" t="s">
        <v>1080</v>
      </c>
      <c r="C1984" s="115" t="s">
        <v>1170</v>
      </c>
      <c r="D1984" s="115" t="s">
        <v>1171</v>
      </c>
      <c r="E1984" s="133" t="str">
        <f t="shared" si="60"/>
        <v>1200001121THPU-71306 ST VN</v>
      </c>
      <c r="F1984" s="133" t="s">
        <v>3039</v>
      </c>
      <c r="G1984" s="133" t="s">
        <v>3880</v>
      </c>
      <c r="H1984" s="133">
        <f>VLOOKUP(G1984,'packing mapping'!A:B,2,0)</f>
        <v>20</v>
      </c>
      <c r="I1984" s="137">
        <v>1080000</v>
      </c>
      <c r="J1984" s="132">
        <f t="shared" si="61"/>
        <v>54000</v>
      </c>
    </row>
    <row r="1985" spans="1:10">
      <c r="A1985" s="115" t="s">
        <v>1079</v>
      </c>
      <c r="B1985" s="115" t="s">
        <v>1080</v>
      </c>
      <c r="C1985" s="115" t="s">
        <v>1248</v>
      </c>
      <c r="D1985" s="115" t="s">
        <v>1249</v>
      </c>
      <c r="E1985" s="133" t="str">
        <f t="shared" si="60"/>
        <v>1200001121MEPH-12003 PS VN</v>
      </c>
      <c r="F1985" s="133" t="s">
        <v>3077</v>
      </c>
      <c r="G1985" s="133" t="s">
        <v>3887</v>
      </c>
      <c r="H1985" s="133">
        <f>VLOOKUP(G1985,'packing mapping'!A:B,2,0)</f>
        <v>2</v>
      </c>
      <c r="I1985" s="137">
        <v>389760</v>
      </c>
      <c r="J1985" s="132">
        <f t="shared" si="61"/>
        <v>194880</v>
      </c>
    </row>
    <row r="1986" spans="1:10">
      <c r="A1986" s="115" t="s">
        <v>1079</v>
      </c>
      <c r="B1986" s="115" t="s">
        <v>1080</v>
      </c>
      <c r="C1986" s="115" t="s">
        <v>1254</v>
      </c>
      <c r="D1986" s="115" t="s">
        <v>1255</v>
      </c>
      <c r="E1986" s="133" t="str">
        <f t="shared" si="60"/>
        <v>1200001121MEP-12003 BLACK VN</v>
      </c>
      <c r="F1986" s="133" t="s">
        <v>3080</v>
      </c>
      <c r="G1986" s="133" t="s">
        <v>3882</v>
      </c>
      <c r="H1986" s="133">
        <f>VLOOKUP(G1986,'packing mapping'!A:B,2,0)</f>
        <v>18</v>
      </c>
      <c r="I1986" s="137">
        <v>1850400</v>
      </c>
      <c r="J1986" s="132">
        <f t="shared" si="61"/>
        <v>102800</v>
      </c>
    </row>
    <row r="1987" spans="1:10">
      <c r="A1987" s="115" t="s">
        <v>1079</v>
      </c>
      <c r="B1987" s="115" t="s">
        <v>1080</v>
      </c>
      <c r="C1987" s="115" t="s">
        <v>2636</v>
      </c>
      <c r="D1987" s="115" t="s">
        <v>2637</v>
      </c>
      <c r="E1987" s="133" t="str">
        <f t="shared" ref="E1987:E2050" si="62">A1987&amp;F1987</f>
        <v>1200001121PUC-52239 BLACK 05 VN</v>
      </c>
      <c r="F1987" s="133" t="s">
        <v>3691</v>
      </c>
      <c r="G1987" s="133" t="s">
        <v>3881</v>
      </c>
      <c r="H1987" s="133">
        <f>VLOOKUP(G1987,'packing mapping'!A:B,2,0)</f>
        <v>20</v>
      </c>
      <c r="I1987" s="137">
        <v>3013600</v>
      </c>
      <c r="J1987" s="132">
        <f t="shared" ref="J1987:J2049" si="63">I1987/H1987</f>
        <v>150680</v>
      </c>
    </row>
    <row r="1988" spans="1:10">
      <c r="A1988" s="115" t="s">
        <v>1079</v>
      </c>
      <c r="B1988" s="115" t="s">
        <v>1080</v>
      </c>
      <c r="C1988" s="115" t="s">
        <v>1896</v>
      </c>
      <c r="D1988" s="115" t="s">
        <v>1897</v>
      </c>
      <c r="E1988" s="133" t="str">
        <f t="shared" si="62"/>
        <v>1200001121PUC-52239 WHITE 50 VN</v>
      </c>
      <c r="F1988" s="133" t="s">
        <v>3370</v>
      </c>
      <c r="G1988" s="133" t="s">
        <v>3881</v>
      </c>
      <c r="H1988" s="133">
        <f>VLOOKUP(G1988,'packing mapping'!A:B,2,0)</f>
        <v>20</v>
      </c>
      <c r="I1988" s="137">
        <v>2688000</v>
      </c>
      <c r="J1988" s="132">
        <f t="shared" si="63"/>
        <v>134400</v>
      </c>
    </row>
    <row r="1989" spans="1:10">
      <c r="A1989" s="115" t="s">
        <v>1079</v>
      </c>
      <c r="B1989" s="115" t="s">
        <v>1080</v>
      </c>
      <c r="C1989" s="115" t="s">
        <v>1174</v>
      </c>
      <c r="D1989" s="115" t="s">
        <v>1175</v>
      </c>
      <c r="E1989" s="133" t="str">
        <f t="shared" si="62"/>
        <v>1200001121PUH-56139 VN</v>
      </c>
      <c r="F1989" s="133" t="s">
        <v>3041</v>
      </c>
      <c r="G1989" s="133" t="s">
        <v>3881</v>
      </c>
      <c r="H1989" s="133">
        <f>VLOOKUP(G1989,'packing mapping'!A:B,2,0)</f>
        <v>20</v>
      </c>
      <c r="I1989" s="137">
        <v>2098000</v>
      </c>
      <c r="J1989" s="132">
        <f t="shared" si="63"/>
        <v>104900</v>
      </c>
    </row>
    <row r="1990" spans="1:10">
      <c r="A1990" s="115" t="s">
        <v>1079</v>
      </c>
      <c r="B1990" s="115" t="s">
        <v>1080</v>
      </c>
      <c r="C1990" s="115" t="s">
        <v>1496</v>
      </c>
      <c r="D1990" s="115" t="s">
        <v>1497</v>
      </c>
      <c r="E1990" s="133" t="str">
        <f t="shared" si="62"/>
        <v>1200001121PUH-56141 VN</v>
      </c>
      <c r="F1990" s="133" t="s">
        <v>3189</v>
      </c>
      <c r="G1990" s="133" t="s">
        <v>3881</v>
      </c>
      <c r="H1990" s="133">
        <f>VLOOKUP(G1990,'packing mapping'!A:B,2,0)</f>
        <v>20</v>
      </c>
      <c r="I1990" s="137">
        <v>1705200</v>
      </c>
      <c r="J1990" s="132">
        <f t="shared" si="63"/>
        <v>85260</v>
      </c>
    </row>
    <row r="1991" spans="1:10">
      <c r="A1991" s="115" t="s">
        <v>82</v>
      </c>
      <c r="B1991" s="115" t="s">
        <v>996</v>
      </c>
      <c r="C1991" s="115" t="s">
        <v>1180</v>
      </c>
      <c r="D1991" s="115" t="s">
        <v>1181</v>
      </c>
      <c r="E1991" s="133" t="str">
        <f t="shared" si="62"/>
        <v>1200001038GZPU-21500 RU BASE VN</v>
      </c>
      <c r="F1991" s="133" t="s">
        <v>3044</v>
      </c>
      <c r="G1991" s="133" t="s">
        <v>3882</v>
      </c>
      <c r="H1991" s="133">
        <f>VLOOKUP(G1991,'packing mapping'!A:B,2,0)</f>
        <v>18</v>
      </c>
      <c r="I1991" s="137">
        <v>3147480</v>
      </c>
      <c r="J1991" s="132">
        <f t="shared" si="63"/>
        <v>174860</v>
      </c>
    </row>
    <row r="1992" spans="1:10">
      <c r="A1992" s="115" t="s">
        <v>82</v>
      </c>
      <c r="B1992" s="115" t="s">
        <v>996</v>
      </c>
      <c r="C1992" s="115" t="s">
        <v>1184</v>
      </c>
      <c r="D1992" s="115" t="s">
        <v>1185</v>
      </c>
      <c r="E1992" s="133" t="str">
        <f t="shared" si="62"/>
        <v>1200001038MEP-12003 CLEAR BASE VN</v>
      </c>
      <c r="F1992" s="133" t="s">
        <v>3046</v>
      </c>
      <c r="G1992" s="133" t="s">
        <v>3882</v>
      </c>
      <c r="H1992" s="133">
        <f>VLOOKUP(G1992,'packing mapping'!A:B,2,0)</f>
        <v>18</v>
      </c>
      <c r="I1992" s="137">
        <v>1379340</v>
      </c>
      <c r="J1992" s="132">
        <f t="shared" si="63"/>
        <v>76630</v>
      </c>
    </row>
    <row r="1993" spans="1:10">
      <c r="A1993" s="115" t="s">
        <v>82</v>
      </c>
      <c r="B1993" s="115" t="s">
        <v>996</v>
      </c>
      <c r="C1993" s="115" t="s">
        <v>1188</v>
      </c>
      <c r="D1993" s="115" t="s">
        <v>1189</v>
      </c>
      <c r="E1993" s="133" t="str">
        <f t="shared" si="62"/>
        <v>1200001038PCA-31100 BLACK PASTE VN</v>
      </c>
      <c r="F1993" s="133" t="s">
        <v>3048</v>
      </c>
      <c r="G1993" s="133" t="s">
        <v>3883</v>
      </c>
      <c r="H1993" s="133">
        <f>VLOOKUP(G1993,'packing mapping'!A:B,2,0)</f>
        <v>4</v>
      </c>
      <c r="I1993" s="137">
        <v>1462360</v>
      </c>
      <c r="J1993" s="132">
        <f t="shared" si="63"/>
        <v>365590</v>
      </c>
    </row>
    <row r="1994" spans="1:10">
      <c r="A1994" s="115" t="s">
        <v>82</v>
      </c>
      <c r="B1994" s="115" t="s">
        <v>996</v>
      </c>
      <c r="C1994" s="115" t="s">
        <v>1726</v>
      </c>
      <c r="D1994" s="115" t="s">
        <v>1727</v>
      </c>
      <c r="E1994" s="133" t="str">
        <f t="shared" si="62"/>
        <v>1200001038PCA-31100 BROWN 645 PASTE VN</v>
      </c>
      <c r="F1994" s="133" t="s">
        <v>3298</v>
      </c>
      <c r="G1994" s="133" t="s">
        <v>3883</v>
      </c>
      <c r="H1994" s="133">
        <f>VLOOKUP(G1994,'packing mapping'!A:B,2,0)</f>
        <v>4</v>
      </c>
      <c r="I1994" s="137">
        <v>1365320</v>
      </c>
      <c r="J1994" s="132">
        <f t="shared" si="63"/>
        <v>341330</v>
      </c>
    </row>
    <row r="1995" spans="1:10">
      <c r="A1995" s="115" t="s">
        <v>82</v>
      </c>
      <c r="B1995" s="115" t="s">
        <v>996</v>
      </c>
      <c r="C1995" s="115" t="s">
        <v>2754</v>
      </c>
      <c r="D1995" s="115" t="s">
        <v>2755</v>
      </c>
      <c r="E1995" s="133" t="str">
        <f t="shared" si="62"/>
        <v>1200001038PCA-31100 BROWN PASTE VN</v>
      </c>
      <c r="F1995" s="133" t="s">
        <v>3749</v>
      </c>
      <c r="G1995" s="133" t="s">
        <v>3883</v>
      </c>
      <c r="H1995" s="133">
        <f>VLOOKUP(G1995,'packing mapping'!A:B,2,0)</f>
        <v>4</v>
      </c>
      <c r="I1995" s="137">
        <v>1390480</v>
      </c>
      <c r="J1995" s="132">
        <f t="shared" si="63"/>
        <v>347620</v>
      </c>
    </row>
    <row r="1996" spans="1:10">
      <c r="A1996" s="115" t="s">
        <v>82</v>
      </c>
      <c r="B1996" s="115" t="s">
        <v>996</v>
      </c>
      <c r="C1996" s="115" t="s">
        <v>1372</v>
      </c>
      <c r="D1996" s="115" t="s">
        <v>1373</v>
      </c>
      <c r="E1996" s="133" t="str">
        <f t="shared" si="62"/>
        <v>1200001038PCA-31100 OXIDE RED PASTE VN</v>
      </c>
      <c r="F1996" s="133" t="s">
        <v>3136</v>
      </c>
      <c r="G1996" s="133" t="s">
        <v>3883</v>
      </c>
      <c r="H1996" s="133">
        <f>VLOOKUP(G1996,'packing mapping'!A:B,2,0)</f>
        <v>4</v>
      </c>
      <c r="I1996" s="137">
        <v>1259480</v>
      </c>
      <c r="J1996" s="132">
        <f t="shared" si="63"/>
        <v>314870</v>
      </c>
    </row>
    <row r="1997" spans="1:10">
      <c r="A1997" s="115" t="s">
        <v>82</v>
      </c>
      <c r="B1997" s="115" t="s">
        <v>996</v>
      </c>
      <c r="C1997" s="115" t="s">
        <v>1374</v>
      </c>
      <c r="D1997" s="115" t="s">
        <v>1375</v>
      </c>
      <c r="E1997" s="133" t="str">
        <f t="shared" si="62"/>
        <v>1200001038PCA-31100 RED OB 35 PASTE VN</v>
      </c>
      <c r="F1997" s="133" t="s">
        <v>3137</v>
      </c>
      <c r="G1997" s="133" t="s">
        <v>3883</v>
      </c>
      <c r="H1997" s="133">
        <f>VLOOKUP(G1997,'packing mapping'!A:B,2,0)</f>
        <v>4</v>
      </c>
      <c r="I1997" s="137">
        <v>1997320</v>
      </c>
      <c r="J1997" s="132">
        <f t="shared" si="63"/>
        <v>499330</v>
      </c>
    </row>
    <row r="1998" spans="1:10">
      <c r="A1998" s="115" t="s">
        <v>82</v>
      </c>
      <c r="B1998" s="115" t="s">
        <v>996</v>
      </c>
      <c r="C1998" s="115" t="s">
        <v>1190</v>
      </c>
      <c r="D1998" s="115" t="s">
        <v>1191</v>
      </c>
      <c r="E1998" s="133" t="str">
        <f t="shared" si="62"/>
        <v>1200001038PCA-31100 WHITE PASTE VN</v>
      </c>
      <c r="F1998" s="133" t="s">
        <v>3049</v>
      </c>
      <c r="G1998" s="133" t="s">
        <v>3883</v>
      </c>
      <c r="H1998" s="133">
        <f>VLOOKUP(G1998,'packing mapping'!A:B,2,0)</f>
        <v>4</v>
      </c>
      <c r="I1998" s="137">
        <v>1116200</v>
      </c>
      <c r="J1998" s="132">
        <f t="shared" si="63"/>
        <v>279050</v>
      </c>
    </row>
    <row r="1999" spans="1:10">
      <c r="A1999" s="115" t="s">
        <v>82</v>
      </c>
      <c r="B1999" s="115" t="s">
        <v>996</v>
      </c>
      <c r="C1999" s="115" t="s">
        <v>1376</v>
      </c>
      <c r="D1999" s="115" t="s">
        <v>1377</v>
      </c>
      <c r="E1999" s="133" t="str">
        <f t="shared" si="62"/>
        <v>1200001038PCA-31100 YELLOW HR PASTE VN</v>
      </c>
      <c r="F1999" s="133" t="s">
        <v>3138</v>
      </c>
      <c r="G1999" s="133" t="s">
        <v>3883</v>
      </c>
      <c r="H1999" s="133">
        <f>VLOOKUP(G1999,'packing mapping'!A:B,2,0)</f>
        <v>4</v>
      </c>
      <c r="I1999" s="137">
        <v>1318600</v>
      </c>
      <c r="J1999" s="132">
        <f t="shared" si="63"/>
        <v>329650</v>
      </c>
    </row>
    <row r="2000" spans="1:10">
      <c r="A2000" s="115" t="s">
        <v>82</v>
      </c>
      <c r="B2000" s="115" t="s">
        <v>996</v>
      </c>
      <c r="C2000" s="115" t="s">
        <v>1468</v>
      </c>
      <c r="D2000" s="115" t="s">
        <v>1469</v>
      </c>
      <c r="E2000" s="133" t="str">
        <f t="shared" si="62"/>
        <v>1200001038PCA-31100 YELLOW OG 16 PASTE VN</v>
      </c>
      <c r="F2000" s="133" t="s">
        <v>3180</v>
      </c>
      <c r="G2000" s="133" t="s">
        <v>3883</v>
      </c>
      <c r="H2000" s="133">
        <f>VLOOKUP(G2000,'packing mapping'!A:B,2,0)</f>
        <v>4</v>
      </c>
      <c r="I2000" s="137">
        <v>3774560</v>
      </c>
      <c r="J2000" s="132">
        <f t="shared" si="63"/>
        <v>943640</v>
      </c>
    </row>
    <row r="2001" spans="1:10">
      <c r="A2001" s="115" t="s">
        <v>82</v>
      </c>
      <c r="B2001" s="115" t="s">
        <v>996</v>
      </c>
      <c r="C2001" s="115" t="s">
        <v>1378</v>
      </c>
      <c r="D2001" s="115" t="s">
        <v>1379</v>
      </c>
      <c r="E2001" s="133" t="str">
        <f t="shared" si="62"/>
        <v>1200001038PCA-31100 YELLOW OKER PASTE VN</v>
      </c>
      <c r="F2001" s="133" t="s">
        <v>3139</v>
      </c>
      <c r="G2001" s="133" t="s">
        <v>3883</v>
      </c>
      <c r="H2001" s="133">
        <f>VLOOKUP(G2001,'packing mapping'!A:B,2,0)</f>
        <v>4</v>
      </c>
      <c r="I2001" s="137">
        <v>1098080</v>
      </c>
      <c r="J2001" s="132">
        <f t="shared" si="63"/>
        <v>274520</v>
      </c>
    </row>
    <row r="2002" spans="1:10">
      <c r="A2002" s="115" t="s">
        <v>82</v>
      </c>
      <c r="B2002" s="115" t="s">
        <v>996</v>
      </c>
      <c r="C2002" s="115" t="s">
        <v>1192</v>
      </c>
      <c r="D2002" s="115" t="s">
        <v>1193</v>
      </c>
      <c r="E2002" s="133" t="str">
        <f t="shared" si="62"/>
        <v>1200001038PCL-31300 BLACK PASTE</v>
      </c>
      <c r="F2002" s="133" t="s">
        <v>3050</v>
      </c>
      <c r="G2002" s="133" t="s">
        <v>3883</v>
      </c>
      <c r="H2002" s="133">
        <f>VLOOKUP(G2002,'packing mapping'!A:B,2,0)</f>
        <v>4</v>
      </c>
      <c r="I2002" s="137">
        <v>3196840</v>
      </c>
      <c r="J2002" s="132">
        <f t="shared" si="63"/>
        <v>799210</v>
      </c>
    </row>
    <row r="2003" spans="1:10">
      <c r="A2003" s="115" t="s">
        <v>82</v>
      </c>
      <c r="B2003" s="115" t="s">
        <v>996</v>
      </c>
      <c r="C2003" s="115" t="s">
        <v>1194</v>
      </c>
      <c r="D2003" s="115" t="s">
        <v>1195</v>
      </c>
      <c r="E2003" s="133" t="str">
        <f t="shared" si="62"/>
        <v>1200001038PCL-31300 BLUE OG PASTE</v>
      </c>
      <c r="F2003" s="133" t="s">
        <v>3051</v>
      </c>
      <c r="G2003" s="133" t="s">
        <v>3883</v>
      </c>
      <c r="H2003" s="133">
        <f>VLOOKUP(G2003,'packing mapping'!A:B,2,0)</f>
        <v>4</v>
      </c>
      <c r="I2003" s="137">
        <v>2234560</v>
      </c>
      <c r="J2003" s="132">
        <f t="shared" si="63"/>
        <v>558640</v>
      </c>
    </row>
    <row r="2004" spans="1:10">
      <c r="A2004" s="115" t="s">
        <v>82</v>
      </c>
      <c r="B2004" s="115" t="s">
        <v>996</v>
      </c>
      <c r="C2004" s="115" t="s">
        <v>1198</v>
      </c>
      <c r="D2004" s="115" t="s">
        <v>1199</v>
      </c>
      <c r="E2004" s="133" t="str">
        <f t="shared" si="62"/>
        <v>1200001038PCL-31300 BROWN PASTE VN</v>
      </c>
      <c r="F2004" s="133" t="s">
        <v>3053</v>
      </c>
      <c r="G2004" s="133" t="s">
        <v>3883</v>
      </c>
      <c r="H2004" s="133">
        <f>VLOOKUP(G2004,'packing mapping'!A:B,2,0)</f>
        <v>4</v>
      </c>
      <c r="I2004" s="137">
        <v>1677160</v>
      </c>
      <c r="J2004" s="132">
        <f t="shared" si="63"/>
        <v>419290</v>
      </c>
    </row>
    <row r="2005" spans="1:10">
      <c r="A2005" s="115" t="s">
        <v>82</v>
      </c>
      <c r="B2005" s="115" t="s">
        <v>996</v>
      </c>
      <c r="C2005" s="115" t="s">
        <v>1380</v>
      </c>
      <c r="D2005" s="115" t="s">
        <v>1381</v>
      </c>
      <c r="E2005" s="133" t="str">
        <f t="shared" si="62"/>
        <v>1200001038PCL-31300 OXIDE RED PASTE</v>
      </c>
      <c r="F2005" s="133" t="s">
        <v>3140</v>
      </c>
      <c r="G2005" s="133" t="s">
        <v>3883</v>
      </c>
      <c r="H2005" s="133">
        <f>VLOOKUP(G2005,'packing mapping'!A:B,2,0)</f>
        <v>4</v>
      </c>
      <c r="I2005" s="137">
        <v>1866320</v>
      </c>
      <c r="J2005" s="132">
        <f t="shared" si="63"/>
        <v>466580</v>
      </c>
    </row>
    <row r="2006" spans="1:10">
      <c r="A2006" s="115" t="s">
        <v>82</v>
      </c>
      <c r="B2006" s="115" t="s">
        <v>996</v>
      </c>
      <c r="C2006" s="115" t="s">
        <v>1200</v>
      </c>
      <c r="D2006" s="115" t="s">
        <v>1201</v>
      </c>
      <c r="E2006" s="133" t="str">
        <f t="shared" si="62"/>
        <v>1200001038PCL-31300 RED OB 35 PASTE</v>
      </c>
      <c r="F2006" s="133" t="s">
        <v>3054</v>
      </c>
      <c r="G2006" s="133" t="s">
        <v>3883</v>
      </c>
      <c r="H2006" s="133">
        <f>VLOOKUP(G2006,'packing mapping'!A:B,2,0)</f>
        <v>4</v>
      </c>
      <c r="I2006" s="137">
        <v>1766240</v>
      </c>
      <c r="J2006" s="132">
        <f t="shared" si="63"/>
        <v>441560</v>
      </c>
    </row>
    <row r="2007" spans="1:10">
      <c r="A2007" s="115" t="s">
        <v>82</v>
      </c>
      <c r="B2007" s="115" t="s">
        <v>996</v>
      </c>
      <c r="C2007" s="115" t="s">
        <v>1202</v>
      </c>
      <c r="D2007" s="115" t="s">
        <v>1203</v>
      </c>
      <c r="E2007" s="133" t="str">
        <f t="shared" si="62"/>
        <v>1200001038PCL-31300 WHITE PASTE</v>
      </c>
      <c r="F2007" s="133" t="s">
        <v>3055</v>
      </c>
      <c r="G2007" s="133" t="s">
        <v>3883</v>
      </c>
      <c r="H2007" s="133">
        <f>VLOOKUP(G2007,'packing mapping'!A:B,2,0)</f>
        <v>4</v>
      </c>
      <c r="I2007" s="137">
        <v>1225560</v>
      </c>
      <c r="J2007" s="132">
        <f t="shared" si="63"/>
        <v>306390</v>
      </c>
    </row>
    <row r="2008" spans="1:10">
      <c r="A2008" s="115" t="s">
        <v>82</v>
      </c>
      <c r="B2008" s="115" t="s">
        <v>996</v>
      </c>
      <c r="C2008" s="115" t="s">
        <v>1204</v>
      </c>
      <c r="D2008" s="115" t="s">
        <v>1205</v>
      </c>
      <c r="E2008" s="133" t="str">
        <f t="shared" si="62"/>
        <v>1200001038PCL-31300 YELLOW OG 16 PASTE</v>
      </c>
      <c r="F2008" s="133" t="s">
        <v>3056</v>
      </c>
      <c r="G2008" s="133" t="s">
        <v>3883</v>
      </c>
      <c r="H2008" s="133">
        <f>VLOOKUP(G2008,'packing mapping'!A:B,2,0)</f>
        <v>4</v>
      </c>
      <c r="I2008" s="137">
        <v>4391480</v>
      </c>
      <c r="J2008" s="132">
        <f t="shared" si="63"/>
        <v>1097870</v>
      </c>
    </row>
    <row r="2009" spans="1:10">
      <c r="A2009" s="115" t="s">
        <v>82</v>
      </c>
      <c r="B2009" s="115" t="s">
        <v>996</v>
      </c>
      <c r="C2009" s="115" t="s">
        <v>1206</v>
      </c>
      <c r="D2009" s="115" t="s">
        <v>1207</v>
      </c>
      <c r="E2009" s="133" t="str">
        <f t="shared" si="62"/>
        <v>1200001038PCL-31300 YELLOW OKER PASTE</v>
      </c>
      <c r="F2009" s="133" t="s">
        <v>3057</v>
      </c>
      <c r="G2009" s="133" t="s">
        <v>3883</v>
      </c>
      <c r="H2009" s="133">
        <f>VLOOKUP(G2009,'packing mapping'!A:B,2,0)</f>
        <v>4</v>
      </c>
      <c r="I2009" s="137">
        <v>1772840</v>
      </c>
      <c r="J2009" s="132">
        <f t="shared" si="63"/>
        <v>443210</v>
      </c>
    </row>
    <row r="2010" spans="1:10">
      <c r="A2010" s="115" t="s">
        <v>82</v>
      </c>
      <c r="B2010" s="115" t="s">
        <v>996</v>
      </c>
      <c r="C2010" s="115" t="s">
        <v>1208</v>
      </c>
      <c r="D2010" s="115" t="s">
        <v>1209</v>
      </c>
      <c r="E2010" s="133" t="str">
        <f t="shared" si="62"/>
        <v>1200001038PG-13900 WHITE 01 VN</v>
      </c>
      <c r="F2010" s="133" t="s">
        <v>3058</v>
      </c>
      <c r="G2010" s="133" t="s">
        <v>3881</v>
      </c>
      <c r="H2010" s="133">
        <f>VLOOKUP(G2010,'packing mapping'!A:B,2,0)</f>
        <v>20</v>
      </c>
      <c r="I2010" s="137">
        <v>1797200</v>
      </c>
      <c r="J2010" s="132">
        <f t="shared" si="63"/>
        <v>89860</v>
      </c>
    </row>
    <row r="2011" spans="1:10">
      <c r="A2011" s="115" t="s">
        <v>82</v>
      </c>
      <c r="B2011" s="115" t="s">
        <v>996</v>
      </c>
      <c r="C2011" s="115" t="s">
        <v>1210</v>
      </c>
      <c r="D2011" s="115" t="s">
        <v>1211</v>
      </c>
      <c r="E2011" s="133" t="str">
        <f t="shared" si="62"/>
        <v>1200001038PUH-56306 LY VN</v>
      </c>
      <c r="F2011" s="133" t="s">
        <v>3059</v>
      </c>
      <c r="G2011" s="133" t="s">
        <v>3879</v>
      </c>
      <c r="H2011" s="133">
        <f>VLOOKUP(G2011,'packing mapping'!A:B,2,0)</f>
        <v>20</v>
      </c>
      <c r="I2011" s="137">
        <v>3621200</v>
      </c>
      <c r="J2011" s="132">
        <f t="shared" si="63"/>
        <v>181060</v>
      </c>
    </row>
    <row r="2012" spans="1:10">
      <c r="A2012" s="115" t="s">
        <v>82</v>
      </c>
      <c r="B2012" s="115" t="s">
        <v>996</v>
      </c>
      <c r="C2012" s="115" t="s">
        <v>1718</v>
      </c>
      <c r="D2012" s="115" t="s">
        <v>1719</v>
      </c>
      <c r="E2012" s="133" t="str">
        <f t="shared" si="62"/>
        <v>1200001038PUL-51341 CLEAR 10 VN</v>
      </c>
      <c r="F2012" s="133" t="s">
        <v>3294</v>
      </c>
      <c r="G2012" s="133" t="s">
        <v>3882</v>
      </c>
      <c r="H2012" s="133">
        <f>VLOOKUP(G2012,'packing mapping'!A:B,2,0)</f>
        <v>18</v>
      </c>
      <c r="I2012" s="137">
        <v>2087640</v>
      </c>
      <c r="J2012" s="132">
        <f t="shared" si="63"/>
        <v>115980</v>
      </c>
    </row>
    <row r="2013" spans="1:10">
      <c r="A2013" s="115" t="s">
        <v>82</v>
      </c>
      <c r="B2013" s="115" t="s">
        <v>996</v>
      </c>
      <c r="C2013" s="115" t="s">
        <v>1874</v>
      </c>
      <c r="D2013" s="115" t="s">
        <v>1875</v>
      </c>
      <c r="E2013" s="133" t="str">
        <f t="shared" si="62"/>
        <v>1200001038PUL-51341 CLEAR 20 VN</v>
      </c>
      <c r="F2013" s="133" t="s">
        <v>3360</v>
      </c>
      <c r="G2013" s="133" t="s">
        <v>3882</v>
      </c>
      <c r="H2013" s="133">
        <f>VLOOKUP(G2013,'packing mapping'!A:B,2,0)</f>
        <v>18</v>
      </c>
      <c r="I2013" s="137">
        <v>2250000</v>
      </c>
      <c r="J2013" s="132">
        <f t="shared" si="63"/>
        <v>125000</v>
      </c>
    </row>
    <row r="2014" spans="1:10">
      <c r="A2014" s="115" t="s">
        <v>82</v>
      </c>
      <c r="B2014" s="115" t="s">
        <v>996</v>
      </c>
      <c r="C2014" s="115" t="s">
        <v>1542</v>
      </c>
      <c r="D2014" s="115" t="s">
        <v>1543</v>
      </c>
      <c r="E2014" s="133" t="str">
        <f t="shared" si="62"/>
        <v>1200001038PUL-53306 AC EX CLEAR 05 VN</v>
      </c>
      <c r="F2014" s="133" t="s">
        <v>3211</v>
      </c>
      <c r="G2014" s="133" t="s">
        <v>3879</v>
      </c>
      <c r="H2014" s="133">
        <f>VLOOKUP(G2014,'packing mapping'!A:B,2,0)</f>
        <v>20</v>
      </c>
      <c r="I2014" s="137">
        <v>3744000</v>
      </c>
      <c r="J2014" s="132">
        <f t="shared" si="63"/>
        <v>187200</v>
      </c>
    </row>
    <row r="2015" spans="1:10">
      <c r="A2015" s="115" t="s">
        <v>82</v>
      </c>
      <c r="B2015" s="115" t="s">
        <v>996</v>
      </c>
      <c r="C2015" s="115" t="s">
        <v>1396</v>
      </c>
      <c r="D2015" s="115" t="s">
        <v>1397</v>
      </c>
      <c r="E2015" s="133" t="str">
        <f t="shared" si="62"/>
        <v>1200001038PUL-53306 AC EX CLEAR 10 VN</v>
      </c>
      <c r="F2015" s="133" t="s">
        <v>3148</v>
      </c>
      <c r="G2015" s="133" t="s">
        <v>3879</v>
      </c>
      <c r="H2015" s="133">
        <f>VLOOKUP(G2015,'packing mapping'!A:B,2,0)</f>
        <v>20</v>
      </c>
      <c r="I2015" s="137">
        <v>3790600</v>
      </c>
      <c r="J2015" s="132">
        <f t="shared" si="63"/>
        <v>189530</v>
      </c>
    </row>
    <row r="2016" spans="1:10">
      <c r="A2016" s="115" t="s">
        <v>82</v>
      </c>
      <c r="B2016" s="115" t="s">
        <v>996</v>
      </c>
      <c r="C2016" s="115" t="s">
        <v>1212</v>
      </c>
      <c r="D2016" s="115" t="s">
        <v>1213</v>
      </c>
      <c r="E2016" s="133" t="str">
        <f t="shared" si="62"/>
        <v>1200001038PUL-53306 AC EX CLEAR 20 VN</v>
      </c>
      <c r="F2016" s="133" t="s">
        <v>3060</v>
      </c>
      <c r="G2016" s="133" t="s">
        <v>3879</v>
      </c>
      <c r="H2016" s="133">
        <f>VLOOKUP(G2016,'packing mapping'!A:B,2,0)</f>
        <v>20</v>
      </c>
      <c r="I2016" s="137">
        <v>3561200</v>
      </c>
      <c r="J2016" s="132">
        <f t="shared" si="63"/>
        <v>178060</v>
      </c>
    </row>
    <row r="2017" spans="1:10">
      <c r="A2017" s="115" t="s">
        <v>82</v>
      </c>
      <c r="B2017" s="115" t="s">
        <v>996</v>
      </c>
      <c r="C2017" s="115" t="s">
        <v>1474</v>
      </c>
      <c r="D2017" s="115" t="s">
        <v>1475</v>
      </c>
      <c r="E2017" s="133" t="str">
        <f t="shared" si="62"/>
        <v>1200001038PUL-53306 AC EX CLEAR 30 VN</v>
      </c>
      <c r="F2017" s="133" t="s">
        <v>3183</v>
      </c>
      <c r="G2017" s="133" t="s">
        <v>3879</v>
      </c>
      <c r="H2017" s="133">
        <f>VLOOKUP(G2017,'packing mapping'!A:B,2,0)</f>
        <v>20</v>
      </c>
      <c r="I2017" s="137">
        <v>3605200</v>
      </c>
      <c r="J2017" s="132">
        <f t="shared" si="63"/>
        <v>180260</v>
      </c>
    </row>
    <row r="2018" spans="1:10">
      <c r="A2018" s="115" t="s">
        <v>82</v>
      </c>
      <c r="B2018" s="115" t="s">
        <v>996</v>
      </c>
      <c r="C2018" s="115" t="s">
        <v>1476</v>
      </c>
      <c r="D2018" s="115" t="s">
        <v>1477</v>
      </c>
      <c r="E2018" s="133" t="str">
        <f t="shared" si="62"/>
        <v>1200001038PUP-52141 WHITE 01 VN</v>
      </c>
      <c r="F2018" s="133" t="s">
        <v>3184</v>
      </c>
      <c r="G2018" s="133" t="s">
        <v>3881</v>
      </c>
      <c r="H2018" s="133">
        <f>VLOOKUP(G2018,'packing mapping'!A:B,2,0)</f>
        <v>20</v>
      </c>
      <c r="I2018" s="137">
        <v>2317600</v>
      </c>
      <c r="J2018" s="132">
        <f t="shared" si="63"/>
        <v>115880</v>
      </c>
    </row>
    <row r="2019" spans="1:10">
      <c r="A2019" s="115" t="s">
        <v>82</v>
      </c>
      <c r="B2019" s="115" t="s">
        <v>996</v>
      </c>
      <c r="C2019" s="115" t="s">
        <v>1478</v>
      </c>
      <c r="D2019" s="115" t="s">
        <v>1479</v>
      </c>
      <c r="E2019" s="133" t="str">
        <f t="shared" si="62"/>
        <v>1200001038PUSS-51241 VN</v>
      </c>
      <c r="F2019" s="133" t="s">
        <v>3185</v>
      </c>
      <c r="G2019" s="133" t="s">
        <v>3881</v>
      </c>
      <c r="H2019" s="133">
        <f>VLOOKUP(G2019,'packing mapping'!A:B,2,0)</f>
        <v>20</v>
      </c>
      <c r="I2019" s="137">
        <v>1841200</v>
      </c>
      <c r="J2019" s="132">
        <f t="shared" si="63"/>
        <v>92060</v>
      </c>
    </row>
    <row r="2020" spans="1:10">
      <c r="A2020" s="115" t="s">
        <v>82</v>
      </c>
      <c r="B2020" s="115" t="s">
        <v>996</v>
      </c>
      <c r="C2020" s="115" t="s">
        <v>1218</v>
      </c>
      <c r="D2020" s="115" t="s">
        <v>1219</v>
      </c>
      <c r="E2020" s="133" t="str">
        <f t="shared" si="62"/>
        <v>1200001038PUSS-53206 AC EX VN</v>
      </c>
      <c r="F2020" s="133" t="s">
        <v>3063</v>
      </c>
      <c r="G2020" s="133" t="s">
        <v>3881</v>
      </c>
      <c r="H2020" s="133">
        <f>VLOOKUP(G2020,'packing mapping'!A:B,2,0)</f>
        <v>20</v>
      </c>
      <c r="I2020" s="137">
        <v>2597400</v>
      </c>
      <c r="J2020" s="132">
        <f t="shared" si="63"/>
        <v>129870</v>
      </c>
    </row>
    <row r="2021" spans="1:10">
      <c r="A2021" s="115" t="s">
        <v>82</v>
      </c>
      <c r="B2021" s="115" t="s">
        <v>996</v>
      </c>
      <c r="C2021" s="115" t="s">
        <v>1220</v>
      </c>
      <c r="D2021" s="115" t="s">
        <v>1221</v>
      </c>
      <c r="E2021" s="133" t="str">
        <f t="shared" si="62"/>
        <v>1200001038SST-11100 C10 BLACK</v>
      </c>
      <c r="F2021" s="133" t="s">
        <v>3064</v>
      </c>
      <c r="G2021" s="133" t="s">
        <v>3883</v>
      </c>
      <c r="H2021" s="133">
        <f>VLOOKUP(G2021,'packing mapping'!A:B,2,0)</f>
        <v>4</v>
      </c>
      <c r="I2021" s="137">
        <v>1009600</v>
      </c>
      <c r="J2021" s="132">
        <f t="shared" si="63"/>
        <v>252400</v>
      </c>
    </row>
    <row r="2022" spans="1:10">
      <c r="A2022" s="115" t="s">
        <v>82</v>
      </c>
      <c r="B2022" s="115" t="s">
        <v>996</v>
      </c>
      <c r="C2022" s="115" t="s">
        <v>1226</v>
      </c>
      <c r="D2022" s="115" t="s">
        <v>1227</v>
      </c>
      <c r="E2022" s="133" t="str">
        <f t="shared" si="62"/>
        <v>1200001038SST-11100 C10 RED</v>
      </c>
      <c r="F2022" s="133" t="s">
        <v>3067</v>
      </c>
      <c r="G2022" s="133" t="s">
        <v>3883</v>
      </c>
      <c r="H2022" s="133">
        <f>VLOOKUP(G2022,'packing mapping'!A:B,2,0)</f>
        <v>4</v>
      </c>
      <c r="I2022" s="137">
        <v>1091600</v>
      </c>
      <c r="J2022" s="132">
        <f t="shared" si="63"/>
        <v>272900</v>
      </c>
    </row>
    <row r="2023" spans="1:10">
      <c r="A2023" s="115" t="s">
        <v>82</v>
      </c>
      <c r="B2023" s="115" t="s">
        <v>996</v>
      </c>
      <c r="C2023" s="115" t="s">
        <v>1228</v>
      </c>
      <c r="D2023" s="115" t="s">
        <v>1229</v>
      </c>
      <c r="E2023" s="133" t="str">
        <f t="shared" si="62"/>
        <v>1200001038SST-11100 C10 YELLOW</v>
      </c>
      <c r="F2023" s="133" t="s">
        <v>3068</v>
      </c>
      <c r="G2023" s="133" t="s">
        <v>3883</v>
      </c>
      <c r="H2023" s="133">
        <f>VLOOKUP(G2023,'packing mapping'!A:B,2,0)</f>
        <v>4</v>
      </c>
      <c r="I2023" s="137">
        <v>914000</v>
      </c>
      <c r="J2023" s="132">
        <f t="shared" si="63"/>
        <v>228500</v>
      </c>
    </row>
    <row r="2024" spans="1:10">
      <c r="A2024" s="115" t="s">
        <v>82</v>
      </c>
      <c r="B2024" s="115" t="s">
        <v>996</v>
      </c>
      <c r="C2024" s="115" t="s">
        <v>1230</v>
      </c>
      <c r="D2024" s="115" t="s">
        <v>1231</v>
      </c>
      <c r="E2024" s="133" t="str">
        <f t="shared" si="62"/>
        <v>1200001038THC-73100 201 VN</v>
      </c>
      <c r="F2024" s="133" t="s">
        <v>3069</v>
      </c>
      <c r="G2024" s="133" t="s">
        <v>3884</v>
      </c>
      <c r="H2024" s="133">
        <f>VLOOKUP(G2024,'packing mapping'!A:B,2,0)</f>
        <v>200</v>
      </c>
      <c r="I2024" s="137">
        <v>10736000</v>
      </c>
      <c r="J2024" s="132">
        <f t="shared" si="63"/>
        <v>53680</v>
      </c>
    </row>
    <row r="2025" spans="1:10">
      <c r="A2025" s="115" t="s">
        <v>82</v>
      </c>
      <c r="B2025" s="115" t="s">
        <v>996</v>
      </c>
      <c r="C2025" s="115" t="s">
        <v>1402</v>
      </c>
      <c r="D2025" s="115" t="s">
        <v>1403</v>
      </c>
      <c r="E2025" s="133" t="str">
        <f t="shared" si="62"/>
        <v>1200001038THC-73100-007 VN</v>
      </c>
      <c r="F2025" s="133" t="s">
        <v>3150</v>
      </c>
      <c r="G2025" s="133" t="s">
        <v>3880</v>
      </c>
      <c r="H2025" s="133">
        <f>VLOOKUP(G2025,'packing mapping'!A:B,2,0)</f>
        <v>20</v>
      </c>
      <c r="I2025" s="137">
        <v>1366200</v>
      </c>
      <c r="J2025" s="132">
        <f t="shared" si="63"/>
        <v>68310</v>
      </c>
    </row>
    <row r="2026" spans="1:10">
      <c r="A2026" s="115" t="s">
        <v>82</v>
      </c>
      <c r="B2026" s="115" t="s">
        <v>996</v>
      </c>
      <c r="C2026" s="115" t="s">
        <v>1232</v>
      </c>
      <c r="D2026" s="115" t="s">
        <v>1233</v>
      </c>
      <c r="E2026" s="133" t="str">
        <f t="shared" si="62"/>
        <v>1200001038THC-73100-201 VN</v>
      </c>
      <c r="F2026" s="133" t="s">
        <v>3070</v>
      </c>
      <c r="G2026" s="133" t="s">
        <v>3880</v>
      </c>
      <c r="H2026" s="133">
        <f>VLOOKUP(G2026,'packing mapping'!A:B,2,0)</f>
        <v>20</v>
      </c>
      <c r="I2026" s="137">
        <v>1208800</v>
      </c>
      <c r="J2026" s="132">
        <f t="shared" si="63"/>
        <v>60440</v>
      </c>
    </row>
    <row r="2027" spans="1:10">
      <c r="A2027" s="115" t="s">
        <v>82</v>
      </c>
      <c r="B2027" s="115" t="s">
        <v>996</v>
      </c>
      <c r="C2027" s="115" t="s">
        <v>1242</v>
      </c>
      <c r="D2027" s="115" t="s">
        <v>1243</v>
      </c>
      <c r="E2027" s="133" t="str">
        <f t="shared" si="62"/>
        <v>1200001038THPU-71306 ST VN</v>
      </c>
      <c r="F2027" s="133" t="s">
        <v>3039</v>
      </c>
      <c r="G2027" s="133" t="s">
        <v>3884</v>
      </c>
      <c r="H2027" s="133">
        <f>VLOOKUP(G2027,'packing mapping'!A:B,2,0)</f>
        <v>200</v>
      </c>
      <c r="I2027" s="137">
        <v>11674000</v>
      </c>
      <c r="J2027" s="132">
        <f t="shared" si="63"/>
        <v>58370</v>
      </c>
    </row>
    <row r="2028" spans="1:10">
      <c r="A2028" s="115" t="s">
        <v>82</v>
      </c>
      <c r="B2028" s="115" t="s">
        <v>996</v>
      </c>
      <c r="C2028" s="115" t="s">
        <v>1170</v>
      </c>
      <c r="D2028" s="115" t="s">
        <v>1171</v>
      </c>
      <c r="E2028" s="133" t="str">
        <f t="shared" si="62"/>
        <v>1200001038THPU-71306 ST VN</v>
      </c>
      <c r="F2028" s="133" t="s">
        <v>3039</v>
      </c>
      <c r="G2028" s="133" t="s">
        <v>3880</v>
      </c>
      <c r="H2028" s="133">
        <f>VLOOKUP(G2028,'packing mapping'!A:B,2,0)</f>
        <v>20</v>
      </c>
      <c r="I2028" s="137">
        <v>1316600</v>
      </c>
      <c r="J2028" s="132">
        <f t="shared" si="63"/>
        <v>65830</v>
      </c>
    </row>
    <row r="2029" spans="1:10">
      <c r="A2029" s="115" t="s">
        <v>82</v>
      </c>
      <c r="B2029" s="115" t="s">
        <v>996</v>
      </c>
      <c r="C2029" s="115" t="s">
        <v>1486</v>
      </c>
      <c r="D2029" s="115" t="s">
        <v>1487</v>
      </c>
      <c r="E2029" s="133" t="str">
        <f t="shared" si="62"/>
        <v>1200001038AP-98200 SILVER 2107 VN</v>
      </c>
      <c r="F2029" s="133" t="s">
        <v>3187</v>
      </c>
      <c r="G2029" s="133" t="s">
        <v>3894</v>
      </c>
      <c r="H2029" s="133">
        <f>VLOOKUP(G2029,'packing mapping'!A:B,2,0)</f>
        <v>1</v>
      </c>
      <c r="I2029" s="137">
        <v>3424900</v>
      </c>
      <c r="J2029" s="132">
        <f t="shared" si="63"/>
        <v>3424900</v>
      </c>
    </row>
    <row r="2030" spans="1:10">
      <c r="A2030" s="115" t="s">
        <v>82</v>
      </c>
      <c r="B2030" s="115" t="s">
        <v>996</v>
      </c>
      <c r="C2030" s="115" t="s">
        <v>1248</v>
      </c>
      <c r="D2030" s="115" t="s">
        <v>1249</v>
      </c>
      <c r="E2030" s="133" t="str">
        <f t="shared" si="62"/>
        <v>1200001038MEPH-12003 PS VN</v>
      </c>
      <c r="F2030" s="133" t="s">
        <v>3077</v>
      </c>
      <c r="G2030" s="133" t="s">
        <v>3887</v>
      </c>
      <c r="H2030" s="133">
        <f>VLOOKUP(G2030,'packing mapping'!A:B,2,0)</f>
        <v>2</v>
      </c>
      <c r="I2030" s="137">
        <v>440560</v>
      </c>
      <c r="J2030" s="132">
        <f t="shared" si="63"/>
        <v>220280</v>
      </c>
    </row>
    <row r="2031" spans="1:10">
      <c r="A2031" s="115" t="s">
        <v>82</v>
      </c>
      <c r="B2031" s="115" t="s">
        <v>996</v>
      </c>
      <c r="C2031" s="115" t="s">
        <v>1558</v>
      </c>
      <c r="D2031" s="115" t="s">
        <v>1559</v>
      </c>
      <c r="E2031" s="133" t="str">
        <f t="shared" si="62"/>
        <v>1200001038PUP-54111 AC WHITE VN</v>
      </c>
      <c r="F2031" s="133" t="s">
        <v>3218</v>
      </c>
      <c r="G2031" s="133" t="s">
        <v>3881</v>
      </c>
      <c r="H2031" s="133">
        <f>VLOOKUP(G2031,'packing mapping'!A:B,2,0)</f>
        <v>20</v>
      </c>
      <c r="I2031" s="137">
        <v>2800400</v>
      </c>
      <c r="J2031" s="132">
        <f t="shared" si="63"/>
        <v>140020</v>
      </c>
    </row>
    <row r="2032" spans="1:10">
      <c r="A2032" s="115" t="s">
        <v>82</v>
      </c>
      <c r="B2032" s="115" t="s">
        <v>996</v>
      </c>
      <c r="C2032" s="115" t="s">
        <v>1298</v>
      </c>
      <c r="D2032" s="115" t="s">
        <v>1299</v>
      </c>
      <c r="E2032" s="133" t="str">
        <f t="shared" si="62"/>
        <v>1200001038PUP-52122 PUTTY VN</v>
      </c>
      <c r="F2032" s="133" t="s">
        <v>3100</v>
      </c>
      <c r="G2032" s="133" t="s">
        <v>3883</v>
      </c>
      <c r="H2032" s="133">
        <f>VLOOKUP(G2032,'packing mapping'!A:B,2,0)</f>
        <v>4</v>
      </c>
      <c r="I2032" s="137">
        <v>587880</v>
      </c>
      <c r="J2032" s="132">
        <f t="shared" si="63"/>
        <v>146970</v>
      </c>
    </row>
    <row r="2033" spans="1:10">
      <c r="A2033" s="115" t="s">
        <v>82</v>
      </c>
      <c r="B2033" s="115" t="s">
        <v>996</v>
      </c>
      <c r="C2033" s="115" t="s">
        <v>1300</v>
      </c>
      <c r="D2033" s="115" t="s">
        <v>1301</v>
      </c>
      <c r="E2033" s="133" t="str">
        <f t="shared" si="62"/>
        <v>1200001038GZPU-21500 BLACK VN</v>
      </c>
      <c r="F2033" s="133" t="s">
        <v>3101</v>
      </c>
      <c r="G2033" s="133" t="s">
        <v>3883</v>
      </c>
      <c r="H2033" s="133">
        <f>VLOOKUP(G2033,'packing mapping'!A:B,2,0)</f>
        <v>4</v>
      </c>
      <c r="I2033" s="137">
        <v>1473840</v>
      </c>
      <c r="J2033" s="132">
        <f t="shared" si="63"/>
        <v>368460</v>
      </c>
    </row>
    <row r="2034" spans="1:10">
      <c r="A2034" s="115" t="s">
        <v>82</v>
      </c>
      <c r="B2034" s="115" t="s">
        <v>996</v>
      </c>
      <c r="C2034" s="115" t="s">
        <v>1302</v>
      </c>
      <c r="D2034" s="115" t="s">
        <v>1303</v>
      </c>
      <c r="E2034" s="133" t="str">
        <f t="shared" si="62"/>
        <v>1200001038GZPU-21500 BROWN VN</v>
      </c>
      <c r="F2034" s="133" t="s">
        <v>3102</v>
      </c>
      <c r="G2034" s="133" t="s">
        <v>3883</v>
      </c>
      <c r="H2034" s="133">
        <f>VLOOKUP(G2034,'packing mapping'!A:B,2,0)</f>
        <v>4</v>
      </c>
      <c r="I2034" s="137">
        <v>1313280</v>
      </c>
      <c r="J2034" s="132">
        <f t="shared" si="63"/>
        <v>328320</v>
      </c>
    </row>
    <row r="2035" spans="1:10">
      <c r="A2035" s="115" t="s">
        <v>82</v>
      </c>
      <c r="B2035" s="115" t="s">
        <v>996</v>
      </c>
      <c r="C2035" s="115" t="s">
        <v>1312</v>
      </c>
      <c r="D2035" s="115" t="s">
        <v>1313</v>
      </c>
      <c r="E2035" s="133" t="str">
        <f t="shared" si="62"/>
        <v>1200001038GZPU-21500 YELLOW VN</v>
      </c>
      <c r="F2035" s="133" t="s">
        <v>3107</v>
      </c>
      <c r="G2035" s="133" t="s">
        <v>3883</v>
      </c>
      <c r="H2035" s="133">
        <f>VLOOKUP(G2035,'packing mapping'!A:B,2,0)</f>
        <v>4</v>
      </c>
      <c r="I2035" s="137">
        <v>1626880</v>
      </c>
      <c r="J2035" s="132">
        <f t="shared" si="63"/>
        <v>406720</v>
      </c>
    </row>
    <row r="2036" spans="1:10">
      <c r="A2036" s="115" t="s">
        <v>82</v>
      </c>
      <c r="B2036" s="115" t="s">
        <v>996</v>
      </c>
      <c r="C2036" s="115" t="s">
        <v>1316</v>
      </c>
      <c r="D2036" s="115" t="s">
        <v>1317</v>
      </c>
      <c r="E2036" s="133" t="str">
        <f t="shared" si="62"/>
        <v>1200001038PCL-31300 YELLOW 170 HR PASTE</v>
      </c>
      <c r="F2036" s="133" t="s">
        <v>3109</v>
      </c>
      <c r="G2036" s="133" t="s">
        <v>3883</v>
      </c>
      <c r="H2036" s="133">
        <f>VLOOKUP(G2036,'packing mapping'!A:B,2,0)</f>
        <v>4</v>
      </c>
      <c r="I2036" s="137">
        <v>2377880</v>
      </c>
      <c r="J2036" s="132">
        <f t="shared" si="63"/>
        <v>594470</v>
      </c>
    </row>
    <row r="2037" spans="1:10">
      <c r="A2037" s="115" t="s">
        <v>82</v>
      </c>
      <c r="B2037" s="115" t="s">
        <v>996</v>
      </c>
      <c r="C2037" s="115" t="s">
        <v>1320</v>
      </c>
      <c r="D2037" s="115" t="s">
        <v>1321</v>
      </c>
      <c r="E2037" s="133" t="str">
        <f t="shared" si="62"/>
        <v>1200001038THC-73100 102 VN</v>
      </c>
      <c r="F2037" s="133" t="s">
        <v>3111</v>
      </c>
      <c r="G2037" s="133" t="s">
        <v>3880</v>
      </c>
      <c r="H2037" s="133">
        <f>VLOOKUP(G2037,'packing mapping'!A:B,2,0)</f>
        <v>20</v>
      </c>
      <c r="I2037" s="137">
        <v>967400</v>
      </c>
      <c r="J2037" s="132">
        <f t="shared" si="63"/>
        <v>48370</v>
      </c>
    </row>
    <row r="2038" spans="1:10">
      <c r="A2038" s="115" t="s">
        <v>82</v>
      </c>
      <c r="B2038" s="115" t="s">
        <v>996</v>
      </c>
      <c r="C2038" s="115" t="s">
        <v>1496</v>
      </c>
      <c r="D2038" s="115" t="s">
        <v>1497</v>
      </c>
      <c r="E2038" s="133" t="str">
        <f t="shared" si="62"/>
        <v>1200001038PUH-56141 VN</v>
      </c>
      <c r="F2038" s="133" t="s">
        <v>3189</v>
      </c>
      <c r="G2038" s="133" t="s">
        <v>3881</v>
      </c>
      <c r="H2038" s="133">
        <f>VLOOKUP(G2038,'packing mapping'!A:B,2,0)</f>
        <v>20</v>
      </c>
      <c r="I2038" s="137">
        <v>2523200</v>
      </c>
      <c r="J2038" s="132">
        <f t="shared" si="63"/>
        <v>126160</v>
      </c>
    </row>
    <row r="2039" spans="1:10">
      <c r="A2039" s="115" t="s">
        <v>82</v>
      </c>
      <c r="B2039" s="115" t="s">
        <v>996</v>
      </c>
      <c r="C2039" s="115" t="s">
        <v>2756</v>
      </c>
      <c r="D2039" s="115" t="s">
        <v>2757</v>
      </c>
      <c r="E2039" s="133" t="str">
        <f t="shared" si="62"/>
        <v>1200001038PUP-54111 AC XAM S411 PMT VN</v>
      </c>
      <c r="F2039" s="133" t="s">
        <v>3750</v>
      </c>
      <c r="G2039" s="133" t="s">
        <v>3881</v>
      </c>
      <c r="H2039" s="133">
        <f>VLOOKUP(G2039,'packing mapping'!A:B,2,0)</f>
        <v>20</v>
      </c>
      <c r="I2039" s="137">
        <v>3206000</v>
      </c>
      <c r="J2039" s="132">
        <f t="shared" si="63"/>
        <v>160300</v>
      </c>
    </row>
    <row r="2040" spans="1:10">
      <c r="A2040" s="115" t="s">
        <v>82</v>
      </c>
      <c r="B2040" s="115" t="s">
        <v>996</v>
      </c>
      <c r="C2040" s="115" t="s">
        <v>2758</v>
      </c>
      <c r="D2040" s="115" t="s">
        <v>2759</v>
      </c>
      <c r="E2040" s="133" t="str">
        <f t="shared" si="62"/>
        <v>1200001038PUL-53306 AC EX CLEAR 20 PMT VN</v>
      </c>
      <c r="F2040" s="133" t="s">
        <v>3751</v>
      </c>
      <c r="G2040" s="133" t="s">
        <v>3882</v>
      </c>
      <c r="H2040" s="133">
        <f>VLOOKUP(G2040,'packing mapping'!A:B,2,0)</f>
        <v>18</v>
      </c>
      <c r="I2040" s="137">
        <v>3933360</v>
      </c>
      <c r="J2040" s="132">
        <f t="shared" si="63"/>
        <v>218520</v>
      </c>
    </row>
    <row r="2041" spans="1:10">
      <c r="A2041" s="115" t="s">
        <v>1097</v>
      </c>
      <c r="B2041" s="115" t="s">
        <v>1098</v>
      </c>
      <c r="C2041" s="115" t="s">
        <v>1184</v>
      </c>
      <c r="D2041" s="115" t="s">
        <v>1185</v>
      </c>
      <c r="E2041" s="133" t="str">
        <f t="shared" si="62"/>
        <v>1200001137MEP-12003 CLEAR BASE VN</v>
      </c>
      <c r="F2041" s="133" t="s">
        <v>3046</v>
      </c>
      <c r="G2041" s="133" t="s">
        <v>3882</v>
      </c>
      <c r="H2041" s="133">
        <f>VLOOKUP(G2041,'packing mapping'!A:B,2,0)</f>
        <v>18</v>
      </c>
      <c r="I2041" s="137">
        <v>1429200</v>
      </c>
      <c r="J2041" s="132">
        <f t="shared" si="63"/>
        <v>79400</v>
      </c>
    </row>
    <row r="2042" spans="1:10">
      <c r="A2042" s="115" t="s">
        <v>1097</v>
      </c>
      <c r="B2042" s="115" t="s">
        <v>1098</v>
      </c>
      <c r="C2042" s="115" t="s">
        <v>1248</v>
      </c>
      <c r="D2042" s="115" t="s">
        <v>1249</v>
      </c>
      <c r="E2042" s="133" t="str">
        <f t="shared" si="62"/>
        <v>1200001137MEPH-12003 PS VN</v>
      </c>
      <c r="F2042" s="133" t="s">
        <v>3077</v>
      </c>
      <c r="G2042" s="133" t="s">
        <v>3887</v>
      </c>
      <c r="H2042" s="133">
        <f>VLOOKUP(G2042,'packing mapping'!A:B,2,0)</f>
        <v>2</v>
      </c>
      <c r="I2042" s="137">
        <v>404000</v>
      </c>
      <c r="J2042" s="132">
        <f t="shared" si="63"/>
        <v>202000</v>
      </c>
    </row>
    <row r="2043" spans="1:10">
      <c r="A2043" s="115" t="s">
        <v>1113</v>
      </c>
      <c r="B2043" s="115" t="s">
        <v>1114</v>
      </c>
      <c r="C2043" s="115" t="s">
        <v>1192</v>
      </c>
      <c r="D2043" s="115" t="s">
        <v>1193</v>
      </c>
      <c r="E2043" s="133" t="str">
        <f t="shared" si="62"/>
        <v>1200001162PCL-31300 BLACK PASTE</v>
      </c>
      <c r="F2043" s="133" t="s">
        <v>3050</v>
      </c>
      <c r="G2043" s="133" t="s">
        <v>3883</v>
      </c>
      <c r="H2043" s="133">
        <f>VLOOKUP(G2043,'packing mapping'!A:B,2,0)</f>
        <v>4</v>
      </c>
      <c r="I2043" s="137">
        <v>2787200</v>
      </c>
      <c r="J2043" s="132">
        <f t="shared" si="63"/>
        <v>696800</v>
      </c>
    </row>
    <row r="2044" spans="1:10">
      <c r="A2044" s="115" t="s">
        <v>1113</v>
      </c>
      <c r="B2044" s="115" t="s">
        <v>1114</v>
      </c>
      <c r="C2044" s="115" t="s">
        <v>1210</v>
      </c>
      <c r="D2044" s="115" t="s">
        <v>1211</v>
      </c>
      <c r="E2044" s="133" t="str">
        <f t="shared" si="62"/>
        <v>1200001162PUH-56306 LY VN</v>
      </c>
      <c r="F2044" s="133" t="s">
        <v>3059</v>
      </c>
      <c r="G2044" s="133" t="s">
        <v>3879</v>
      </c>
      <c r="H2044" s="133">
        <f>VLOOKUP(G2044,'packing mapping'!A:B,2,0)</f>
        <v>20</v>
      </c>
      <c r="I2044" s="137">
        <v>2762000</v>
      </c>
      <c r="J2044" s="132">
        <f t="shared" si="63"/>
        <v>138100</v>
      </c>
    </row>
    <row r="2045" spans="1:10">
      <c r="A2045" s="115" t="s">
        <v>1113</v>
      </c>
      <c r="B2045" s="115" t="s">
        <v>1114</v>
      </c>
      <c r="C2045" s="115" t="s">
        <v>1396</v>
      </c>
      <c r="D2045" s="115" t="s">
        <v>1397</v>
      </c>
      <c r="E2045" s="133" t="str">
        <f t="shared" si="62"/>
        <v>1200001162PUL-53306 AC EX CLEAR 10 VN</v>
      </c>
      <c r="F2045" s="133" t="s">
        <v>3148</v>
      </c>
      <c r="G2045" s="133" t="s">
        <v>3879</v>
      </c>
      <c r="H2045" s="133">
        <f>VLOOKUP(G2045,'packing mapping'!A:B,2,0)</f>
        <v>20</v>
      </c>
      <c r="I2045" s="137">
        <v>3914000</v>
      </c>
      <c r="J2045" s="132">
        <f t="shared" si="63"/>
        <v>195700</v>
      </c>
    </row>
    <row r="2046" spans="1:10">
      <c r="A2046" s="115" t="s">
        <v>1113</v>
      </c>
      <c r="B2046" s="115" t="s">
        <v>1114</v>
      </c>
      <c r="C2046" s="115" t="s">
        <v>1218</v>
      </c>
      <c r="D2046" s="115" t="s">
        <v>1219</v>
      </c>
      <c r="E2046" s="133" t="str">
        <f t="shared" si="62"/>
        <v>1200001162PUSS-53206 AC EX VN</v>
      </c>
      <c r="F2046" s="133" t="s">
        <v>3063</v>
      </c>
      <c r="G2046" s="133" t="s">
        <v>3881</v>
      </c>
      <c r="H2046" s="133">
        <f>VLOOKUP(G2046,'packing mapping'!A:B,2,0)</f>
        <v>20</v>
      </c>
      <c r="I2046" s="137">
        <v>2684000</v>
      </c>
      <c r="J2046" s="132">
        <f t="shared" si="63"/>
        <v>134200</v>
      </c>
    </row>
    <row r="2047" spans="1:10">
      <c r="A2047" s="115" t="s">
        <v>1113</v>
      </c>
      <c r="B2047" s="115" t="s">
        <v>1114</v>
      </c>
      <c r="C2047" s="115" t="s">
        <v>1242</v>
      </c>
      <c r="D2047" s="115" t="s">
        <v>1243</v>
      </c>
      <c r="E2047" s="133" t="str">
        <f t="shared" si="62"/>
        <v>1200001162THPU-71306 ST VN</v>
      </c>
      <c r="F2047" s="133" t="s">
        <v>3039</v>
      </c>
      <c r="G2047" s="133" t="s">
        <v>3884</v>
      </c>
      <c r="H2047" s="133">
        <f>VLOOKUP(G2047,'packing mapping'!A:B,2,0)</f>
        <v>200</v>
      </c>
      <c r="I2047" s="137">
        <v>11180000</v>
      </c>
      <c r="J2047" s="132">
        <f t="shared" si="63"/>
        <v>55900</v>
      </c>
    </row>
    <row r="2048" spans="1:10">
      <c r="A2048" s="115" t="s">
        <v>1113</v>
      </c>
      <c r="B2048" s="115" t="s">
        <v>1114</v>
      </c>
      <c r="C2048" s="115" t="s">
        <v>1170</v>
      </c>
      <c r="D2048" s="115" t="s">
        <v>1171</v>
      </c>
      <c r="E2048" s="133" t="str">
        <f t="shared" si="62"/>
        <v>1200001162THPU-71306 ST VN</v>
      </c>
      <c r="F2048" s="133" t="s">
        <v>3039</v>
      </c>
      <c r="G2048" s="133" t="s">
        <v>3880</v>
      </c>
      <c r="H2048" s="133">
        <f>VLOOKUP(G2048,'packing mapping'!A:B,2,0)</f>
        <v>20</v>
      </c>
      <c r="I2048" s="137">
        <v>1230000</v>
      </c>
      <c r="J2048" s="132">
        <f t="shared" si="63"/>
        <v>61500</v>
      </c>
    </row>
    <row r="2049" spans="1:10">
      <c r="A2049" s="115" t="s">
        <v>828</v>
      </c>
      <c r="B2049" s="115" t="s">
        <v>829</v>
      </c>
      <c r="C2049" s="115" t="s">
        <v>1186</v>
      </c>
      <c r="D2049" s="115" t="s">
        <v>1187</v>
      </c>
      <c r="E2049" s="133" t="str">
        <f t="shared" si="62"/>
        <v>1200000820MEP-12003 GREY VN</v>
      </c>
      <c r="F2049" s="133" t="s">
        <v>3047</v>
      </c>
      <c r="G2049" s="133" t="s">
        <v>3882</v>
      </c>
      <c r="H2049" s="133">
        <f>VLOOKUP(G2049,'packing mapping'!A:B,2,0)</f>
        <v>18</v>
      </c>
      <c r="I2049" s="137">
        <v>2160900</v>
      </c>
      <c r="J2049" s="132">
        <f t="shared" si="63"/>
        <v>120050</v>
      </c>
    </row>
    <row r="2050" spans="1:10">
      <c r="A2050" s="115" t="s">
        <v>828</v>
      </c>
      <c r="B2050" s="115" t="s">
        <v>829</v>
      </c>
      <c r="C2050" s="115" t="s">
        <v>1188</v>
      </c>
      <c r="D2050" s="115" t="s">
        <v>1189</v>
      </c>
      <c r="E2050" s="133" t="str">
        <f t="shared" si="62"/>
        <v>1200000820PCA-31100 BLACK PASTE VN</v>
      </c>
      <c r="F2050" s="133" t="s">
        <v>3048</v>
      </c>
      <c r="G2050" s="133" t="s">
        <v>3883</v>
      </c>
      <c r="H2050" s="133">
        <f>VLOOKUP(G2050,'packing mapping'!A:B,2,0)</f>
        <v>4</v>
      </c>
      <c r="I2050" s="137">
        <v>1585400</v>
      </c>
      <c r="J2050" s="132">
        <f t="shared" ref="J2050:J2113" si="64">I2050/H2050</f>
        <v>396350</v>
      </c>
    </row>
    <row r="2051" spans="1:10">
      <c r="A2051" s="115" t="s">
        <v>828</v>
      </c>
      <c r="B2051" s="115" t="s">
        <v>829</v>
      </c>
      <c r="C2051" s="115" t="s">
        <v>1192</v>
      </c>
      <c r="D2051" s="115" t="s">
        <v>1193</v>
      </c>
      <c r="E2051" s="133" t="str">
        <f t="shared" ref="E2051:E2114" si="65">A2051&amp;F2051</f>
        <v>1200000820PCL-31300 BLACK PASTE</v>
      </c>
      <c r="F2051" s="133" t="s">
        <v>3050</v>
      </c>
      <c r="G2051" s="133" t="s">
        <v>3883</v>
      </c>
      <c r="H2051" s="133">
        <f>VLOOKUP(G2051,'packing mapping'!A:B,2,0)</f>
        <v>4</v>
      </c>
      <c r="I2051" s="137">
        <v>2399520</v>
      </c>
      <c r="J2051" s="132">
        <f t="shared" si="64"/>
        <v>599880</v>
      </c>
    </row>
    <row r="2052" spans="1:10">
      <c r="A2052" s="115" t="s">
        <v>828</v>
      </c>
      <c r="B2052" s="115" t="s">
        <v>829</v>
      </c>
      <c r="C2052" s="115" t="s">
        <v>1388</v>
      </c>
      <c r="D2052" s="115" t="s">
        <v>1389</v>
      </c>
      <c r="E2052" s="133" t="str">
        <f t="shared" si="65"/>
        <v>1200000820PUC-54205 AC WHITE 10 VN</v>
      </c>
      <c r="F2052" s="133" t="s">
        <v>3144</v>
      </c>
      <c r="G2052" s="133" t="s">
        <v>3881</v>
      </c>
      <c r="H2052" s="133">
        <f>VLOOKUP(G2052,'packing mapping'!A:B,2,0)</f>
        <v>20</v>
      </c>
      <c r="I2052" s="137">
        <v>3837000</v>
      </c>
      <c r="J2052" s="132">
        <f t="shared" si="64"/>
        <v>191850</v>
      </c>
    </row>
    <row r="2053" spans="1:10">
      <c r="A2053" s="115" t="s">
        <v>828</v>
      </c>
      <c r="B2053" s="115" t="s">
        <v>829</v>
      </c>
      <c r="C2053" s="115" t="s">
        <v>1390</v>
      </c>
      <c r="D2053" s="115" t="s">
        <v>1391</v>
      </c>
      <c r="E2053" s="133" t="str">
        <f t="shared" si="65"/>
        <v>1200000820PUC-54205 AC WHITE 20 VN</v>
      </c>
      <c r="F2053" s="133" t="s">
        <v>3145</v>
      </c>
      <c r="G2053" s="133" t="s">
        <v>3881</v>
      </c>
      <c r="H2053" s="133">
        <f>VLOOKUP(G2053,'packing mapping'!A:B,2,0)</f>
        <v>20</v>
      </c>
      <c r="I2053" s="137">
        <v>3837000</v>
      </c>
      <c r="J2053" s="132">
        <f t="shared" si="64"/>
        <v>191850</v>
      </c>
    </row>
    <row r="2054" spans="1:10">
      <c r="A2054" s="115" t="s">
        <v>828</v>
      </c>
      <c r="B2054" s="115" t="s">
        <v>829</v>
      </c>
      <c r="C2054" s="115" t="s">
        <v>1210</v>
      </c>
      <c r="D2054" s="115" t="s">
        <v>1211</v>
      </c>
      <c r="E2054" s="133" t="str">
        <f t="shared" si="65"/>
        <v>1200000820PUH-56306 LY VN</v>
      </c>
      <c r="F2054" s="133" t="s">
        <v>3059</v>
      </c>
      <c r="G2054" s="133" t="s">
        <v>3879</v>
      </c>
      <c r="H2054" s="133">
        <f>VLOOKUP(G2054,'packing mapping'!A:B,2,0)</f>
        <v>20</v>
      </c>
      <c r="I2054" s="137">
        <v>3456400</v>
      </c>
      <c r="J2054" s="132">
        <f t="shared" si="64"/>
        <v>172820</v>
      </c>
    </row>
    <row r="2055" spans="1:10">
      <c r="A2055" s="115" t="s">
        <v>828</v>
      </c>
      <c r="B2055" s="115" t="s">
        <v>829</v>
      </c>
      <c r="C2055" s="115" t="s">
        <v>1396</v>
      </c>
      <c r="D2055" s="115" t="s">
        <v>1397</v>
      </c>
      <c r="E2055" s="133" t="str">
        <f t="shared" si="65"/>
        <v>1200000820PUL-53306 AC EX CLEAR 10 VN</v>
      </c>
      <c r="F2055" s="133" t="s">
        <v>3148</v>
      </c>
      <c r="G2055" s="133" t="s">
        <v>3879</v>
      </c>
      <c r="H2055" s="133">
        <f>VLOOKUP(G2055,'packing mapping'!A:B,2,0)</f>
        <v>20</v>
      </c>
      <c r="I2055" s="137">
        <v>3642600</v>
      </c>
      <c r="J2055" s="132">
        <f t="shared" si="64"/>
        <v>182130</v>
      </c>
    </row>
    <row r="2056" spans="1:10">
      <c r="A2056" s="115" t="s">
        <v>828</v>
      </c>
      <c r="B2056" s="115" t="s">
        <v>829</v>
      </c>
      <c r="C2056" s="115" t="s">
        <v>1212</v>
      </c>
      <c r="D2056" s="115" t="s">
        <v>1213</v>
      </c>
      <c r="E2056" s="133" t="str">
        <f t="shared" si="65"/>
        <v>1200000820PUL-53306 AC EX CLEAR 20 VN</v>
      </c>
      <c r="F2056" s="133" t="s">
        <v>3060</v>
      </c>
      <c r="G2056" s="133" t="s">
        <v>3879</v>
      </c>
      <c r="H2056" s="133">
        <f>VLOOKUP(G2056,'packing mapping'!A:B,2,0)</f>
        <v>20</v>
      </c>
      <c r="I2056" s="137">
        <v>3631800</v>
      </c>
      <c r="J2056" s="132">
        <f t="shared" si="64"/>
        <v>181590</v>
      </c>
    </row>
    <row r="2057" spans="1:10">
      <c r="A2057" s="115" t="s">
        <v>828</v>
      </c>
      <c r="B2057" s="115" t="s">
        <v>829</v>
      </c>
      <c r="C2057" s="115" t="s">
        <v>1474</v>
      </c>
      <c r="D2057" s="115" t="s">
        <v>1475</v>
      </c>
      <c r="E2057" s="133" t="str">
        <f t="shared" si="65"/>
        <v>1200000820PUL-53306 AC EX CLEAR 30 VN</v>
      </c>
      <c r="F2057" s="133" t="s">
        <v>3183</v>
      </c>
      <c r="G2057" s="133" t="s">
        <v>3879</v>
      </c>
      <c r="H2057" s="133">
        <f>VLOOKUP(G2057,'packing mapping'!A:B,2,0)</f>
        <v>20</v>
      </c>
      <c r="I2057" s="137">
        <v>3631800</v>
      </c>
      <c r="J2057" s="132">
        <f t="shared" si="64"/>
        <v>181590</v>
      </c>
    </row>
    <row r="2058" spans="1:10">
      <c r="A2058" s="115" t="s">
        <v>828</v>
      </c>
      <c r="B2058" s="115" t="s">
        <v>829</v>
      </c>
      <c r="C2058" s="115" t="s">
        <v>1216</v>
      </c>
      <c r="D2058" s="115" t="s">
        <v>1217</v>
      </c>
      <c r="E2058" s="133" t="str">
        <f t="shared" si="65"/>
        <v>1200000820PUL-53306 AC EX CLEAR 90 VN</v>
      </c>
      <c r="F2058" s="133" t="s">
        <v>3062</v>
      </c>
      <c r="G2058" s="133" t="s">
        <v>3879</v>
      </c>
      <c r="H2058" s="133">
        <f>VLOOKUP(G2058,'packing mapping'!A:B,2,0)</f>
        <v>20</v>
      </c>
      <c r="I2058" s="137">
        <v>3528000</v>
      </c>
      <c r="J2058" s="132">
        <f t="shared" si="64"/>
        <v>176400</v>
      </c>
    </row>
    <row r="2059" spans="1:10">
      <c r="A2059" s="115" t="s">
        <v>828</v>
      </c>
      <c r="B2059" s="115" t="s">
        <v>829</v>
      </c>
      <c r="C2059" s="115" t="s">
        <v>1248</v>
      </c>
      <c r="D2059" s="115" t="s">
        <v>1249</v>
      </c>
      <c r="E2059" s="133" t="str">
        <f t="shared" si="65"/>
        <v>1200000820MEPH-12003 PS VN</v>
      </c>
      <c r="F2059" s="133" t="s">
        <v>3077</v>
      </c>
      <c r="G2059" s="133" t="s">
        <v>3887</v>
      </c>
      <c r="H2059" s="133">
        <f>VLOOKUP(G2059,'packing mapping'!A:B,2,0)</f>
        <v>2</v>
      </c>
      <c r="I2059" s="137">
        <v>401320</v>
      </c>
      <c r="J2059" s="132">
        <f t="shared" si="64"/>
        <v>200660</v>
      </c>
    </row>
    <row r="2060" spans="1:10">
      <c r="A2060" s="115" t="s">
        <v>599</v>
      </c>
      <c r="B2060" s="115" t="s">
        <v>600</v>
      </c>
      <c r="C2060" s="115" t="s">
        <v>2760</v>
      </c>
      <c r="D2060" s="115" t="s">
        <v>2761</v>
      </c>
      <c r="E2060" s="133" t="str">
        <f t="shared" si="65"/>
        <v>1200000492PST-12200 2K TEAK SC VN</v>
      </c>
      <c r="F2060" s="133" t="s">
        <v>3752</v>
      </c>
      <c r="G2060" s="133" t="s">
        <v>3880</v>
      </c>
      <c r="H2060" s="133">
        <f>VLOOKUP(G2060,'packing mapping'!A:B,2,0)</f>
        <v>20</v>
      </c>
      <c r="I2060" s="137">
        <v>2272500</v>
      </c>
      <c r="J2060" s="132">
        <f t="shared" si="64"/>
        <v>113625</v>
      </c>
    </row>
    <row r="2061" spans="1:10">
      <c r="A2061" s="115" t="s">
        <v>899</v>
      </c>
      <c r="B2061" s="115" t="s">
        <v>900</v>
      </c>
      <c r="C2061" s="115" t="s">
        <v>1180</v>
      </c>
      <c r="D2061" s="115" t="s">
        <v>1181</v>
      </c>
      <c r="E2061" s="133" t="str">
        <f t="shared" si="65"/>
        <v>1200000959GZPU-21500 RU BASE VN</v>
      </c>
      <c r="F2061" s="133" t="s">
        <v>3044</v>
      </c>
      <c r="G2061" s="133" t="s">
        <v>3882</v>
      </c>
      <c r="H2061" s="133">
        <f>VLOOKUP(G2061,'packing mapping'!A:B,2,0)</f>
        <v>18</v>
      </c>
      <c r="I2061" s="137">
        <v>3925260</v>
      </c>
      <c r="J2061" s="132">
        <f t="shared" si="64"/>
        <v>218070</v>
      </c>
    </row>
    <row r="2062" spans="1:10">
      <c r="A2062" s="115" t="s">
        <v>899</v>
      </c>
      <c r="B2062" s="115" t="s">
        <v>900</v>
      </c>
      <c r="C2062" s="115" t="s">
        <v>1188</v>
      </c>
      <c r="D2062" s="115" t="s">
        <v>1189</v>
      </c>
      <c r="E2062" s="133" t="str">
        <f t="shared" si="65"/>
        <v>1200000959PCA-31100 BLACK PASTE VN</v>
      </c>
      <c r="F2062" s="133" t="s">
        <v>3048</v>
      </c>
      <c r="G2062" s="133" t="s">
        <v>3883</v>
      </c>
      <c r="H2062" s="133">
        <f>VLOOKUP(G2062,'packing mapping'!A:B,2,0)</f>
        <v>4</v>
      </c>
      <c r="I2062" s="137">
        <v>1648440</v>
      </c>
      <c r="J2062" s="132">
        <f t="shared" si="64"/>
        <v>412110</v>
      </c>
    </row>
    <row r="2063" spans="1:10">
      <c r="A2063" s="115" t="s">
        <v>899</v>
      </c>
      <c r="B2063" s="115" t="s">
        <v>900</v>
      </c>
      <c r="C2063" s="115" t="s">
        <v>1372</v>
      </c>
      <c r="D2063" s="115" t="s">
        <v>1373</v>
      </c>
      <c r="E2063" s="133" t="str">
        <f t="shared" si="65"/>
        <v>1200000959PCA-31100 OXIDE RED PASTE VN</v>
      </c>
      <c r="F2063" s="133" t="s">
        <v>3136</v>
      </c>
      <c r="G2063" s="133" t="s">
        <v>3883</v>
      </c>
      <c r="H2063" s="133">
        <f>VLOOKUP(G2063,'packing mapping'!A:B,2,0)</f>
        <v>4</v>
      </c>
      <c r="I2063" s="137">
        <v>1259480</v>
      </c>
      <c r="J2063" s="132">
        <f t="shared" si="64"/>
        <v>314870</v>
      </c>
    </row>
    <row r="2064" spans="1:10">
      <c r="A2064" s="115" t="s">
        <v>899</v>
      </c>
      <c r="B2064" s="115" t="s">
        <v>900</v>
      </c>
      <c r="C2064" s="115" t="s">
        <v>1190</v>
      </c>
      <c r="D2064" s="115" t="s">
        <v>1191</v>
      </c>
      <c r="E2064" s="133" t="str">
        <f t="shared" si="65"/>
        <v>1200000959PCA-31100 WHITE PASTE VN</v>
      </c>
      <c r="F2064" s="133" t="s">
        <v>3049</v>
      </c>
      <c r="G2064" s="133" t="s">
        <v>3883</v>
      </c>
      <c r="H2064" s="133">
        <f>VLOOKUP(G2064,'packing mapping'!A:B,2,0)</f>
        <v>4</v>
      </c>
      <c r="I2064" s="137">
        <v>1158960</v>
      </c>
      <c r="J2064" s="132">
        <f t="shared" si="64"/>
        <v>289740</v>
      </c>
    </row>
    <row r="2065" spans="1:10">
      <c r="A2065" s="115" t="s">
        <v>899</v>
      </c>
      <c r="B2065" s="115" t="s">
        <v>900</v>
      </c>
      <c r="C2065" s="115" t="s">
        <v>1468</v>
      </c>
      <c r="D2065" s="115" t="s">
        <v>1469</v>
      </c>
      <c r="E2065" s="133" t="str">
        <f t="shared" si="65"/>
        <v>1200000959PCA-31100 YELLOW OG 16 PASTE VN</v>
      </c>
      <c r="F2065" s="133" t="s">
        <v>3180</v>
      </c>
      <c r="G2065" s="133" t="s">
        <v>3883</v>
      </c>
      <c r="H2065" s="133">
        <f>VLOOKUP(G2065,'packing mapping'!A:B,2,0)</f>
        <v>4</v>
      </c>
      <c r="I2065" s="137">
        <v>3962840</v>
      </c>
      <c r="J2065" s="132">
        <f t="shared" si="64"/>
        <v>990710</v>
      </c>
    </row>
    <row r="2066" spans="1:10">
      <c r="A2066" s="115" t="s">
        <v>899</v>
      </c>
      <c r="B2066" s="115" t="s">
        <v>900</v>
      </c>
      <c r="C2066" s="115" t="s">
        <v>1378</v>
      </c>
      <c r="D2066" s="115" t="s">
        <v>1379</v>
      </c>
      <c r="E2066" s="133" t="str">
        <f t="shared" si="65"/>
        <v>1200000959PCA-31100 YELLOW OKER PASTE VN</v>
      </c>
      <c r="F2066" s="133" t="s">
        <v>3139</v>
      </c>
      <c r="G2066" s="133" t="s">
        <v>3883</v>
      </c>
      <c r="H2066" s="133">
        <f>VLOOKUP(G2066,'packing mapping'!A:B,2,0)</f>
        <v>4</v>
      </c>
      <c r="I2066" s="137">
        <v>1022720</v>
      </c>
      <c r="J2066" s="132">
        <f t="shared" si="64"/>
        <v>255680</v>
      </c>
    </row>
    <row r="2067" spans="1:10">
      <c r="A2067" s="115" t="s">
        <v>899</v>
      </c>
      <c r="B2067" s="115" t="s">
        <v>900</v>
      </c>
      <c r="C2067" s="115" t="s">
        <v>1208</v>
      </c>
      <c r="D2067" s="115" t="s">
        <v>1209</v>
      </c>
      <c r="E2067" s="133" t="str">
        <f t="shared" si="65"/>
        <v>1200000959PG-13900 WHITE 01 VN</v>
      </c>
      <c r="F2067" s="133" t="s">
        <v>3058</v>
      </c>
      <c r="G2067" s="133" t="s">
        <v>3881</v>
      </c>
      <c r="H2067" s="133">
        <f>VLOOKUP(G2067,'packing mapping'!A:B,2,0)</f>
        <v>20</v>
      </c>
      <c r="I2067" s="137">
        <v>1920600</v>
      </c>
      <c r="J2067" s="132">
        <f t="shared" si="64"/>
        <v>96030</v>
      </c>
    </row>
    <row r="2068" spans="1:10">
      <c r="A2068" s="115" t="s">
        <v>899</v>
      </c>
      <c r="B2068" s="115" t="s">
        <v>900</v>
      </c>
      <c r="C2068" s="115" t="s">
        <v>1388</v>
      </c>
      <c r="D2068" s="115" t="s">
        <v>1389</v>
      </c>
      <c r="E2068" s="133" t="str">
        <f t="shared" si="65"/>
        <v>1200000959PUC-54205 AC WHITE 10 VN</v>
      </c>
      <c r="F2068" s="133" t="s">
        <v>3144</v>
      </c>
      <c r="G2068" s="133" t="s">
        <v>3881</v>
      </c>
      <c r="H2068" s="133">
        <f>VLOOKUP(G2068,'packing mapping'!A:B,2,0)</f>
        <v>20</v>
      </c>
      <c r="I2068" s="137">
        <v>3212800</v>
      </c>
      <c r="J2068" s="132">
        <f t="shared" si="64"/>
        <v>160640</v>
      </c>
    </row>
    <row r="2069" spans="1:10">
      <c r="A2069" s="115" t="s">
        <v>899</v>
      </c>
      <c r="B2069" s="115" t="s">
        <v>900</v>
      </c>
      <c r="C2069" s="115" t="s">
        <v>1210</v>
      </c>
      <c r="D2069" s="115" t="s">
        <v>1211</v>
      </c>
      <c r="E2069" s="133" t="str">
        <f t="shared" si="65"/>
        <v>1200000959PUH-56306 LY VN</v>
      </c>
      <c r="F2069" s="133" t="s">
        <v>3059</v>
      </c>
      <c r="G2069" s="133" t="s">
        <v>3879</v>
      </c>
      <c r="H2069" s="133">
        <f>VLOOKUP(G2069,'packing mapping'!A:B,2,0)</f>
        <v>20</v>
      </c>
      <c r="I2069" s="137">
        <v>2769000</v>
      </c>
      <c r="J2069" s="132">
        <f t="shared" si="64"/>
        <v>138450</v>
      </c>
    </row>
    <row r="2070" spans="1:10">
      <c r="A2070" s="115" t="s">
        <v>899</v>
      </c>
      <c r="B2070" s="115" t="s">
        <v>900</v>
      </c>
      <c r="C2070" s="115" t="s">
        <v>1718</v>
      </c>
      <c r="D2070" s="115" t="s">
        <v>1719</v>
      </c>
      <c r="E2070" s="133" t="str">
        <f t="shared" si="65"/>
        <v>1200000959PUL-51341 CLEAR 10 VN</v>
      </c>
      <c r="F2070" s="133" t="s">
        <v>3294</v>
      </c>
      <c r="G2070" s="133" t="s">
        <v>3882</v>
      </c>
      <c r="H2070" s="133">
        <f>VLOOKUP(G2070,'packing mapping'!A:B,2,0)</f>
        <v>18</v>
      </c>
      <c r="I2070" s="137">
        <v>1968660</v>
      </c>
      <c r="J2070" s="132">
        <f t="shared" si="64"/>
        <v>109370</v>
      </c>
    </row>
    <row r="2071" spans="1:10">
      <c r="A2071" s="115" t="s">
        <v>899</v>
      </c>
      <c r="B2071" s="115" t="s">
        <v>900</v>
      </c>
      <c r="C2071" s="115" t="s">
        <v>1476</v>
      </c>
      <c r="D2071" s="115" t="s">
        <v>1477</v>
      </c>
      <c r="E2071" s="133" t="str">
        <f t="shared" si="65"/>
        <v>1200000959PUP-52141 WHITE 01 VN</v>
      </c>
      <c r="F2071" s="133" t="s">
        <v>3184</v>
      </c>
      <c r="G2071" s="133" t="s">
        <v>3881</v>
      </c>
      <c r="H2071" s="133">
        <f>VLOOKUP(G2071,'packing mapping'!A:B,2,0)</f>
        <v>20</v>
      </c>
      <c r="I2071" s="137">
        <v>2269000</v>
      </c>
      <c r="J2071" s="132">
        <f t="shared" si="64"/>
        <v>113450</v>
      </c>
    </row>
    <row r="2072" spans="1:10">
      <c r="A2072" s="115" t="s">
        <v>899</v>
      </c>
      <c r="B2072" s="115" t="s">
        <v>900</v>
      </c>
      <c r="C2072" s="115" t="s">
        <v>1478</v>
      </c>
      <c r="D2072" s="115" t="s">
        <v>1479</v>
      </c>
      <c r="E2072" s="133" t="str">
        <f t="shared" si="65"/>
        <v>1200000959PUSS-51241 VN</v>
      </c>
      <c r="F2072" s="133" t="s">
        <v>3185</v>
      </c>
      <c r="G2072" s="133" t="s">
        <v>3881</v>
      </c>
      <c r="H2072" s="133">
        <f>VLOOKUP(G2072,'packing mapping'!A:B,2,0)</f>
        <v>20</v>
      </c>
      <c r="I2072" s="137">
        <v>1817000</v>
      </c>
      <c r="J2072" s="132">
        <f t="shared" si="64"/>
        <v>90850</v>
      </c>
    </row>
    <row r="2073" spans="1:10">
      <c r="A2073" s="115" t="s">
        <v>899</v>
      </c>
      <c r="B2073" s="115" t="s">
        <v>900</v>
      </c>
      <c r="C2073" s="115" t="s">
        <v>1220</v>
      </c>
      <c r="D2073" s="115" t="s">
        <v>1221</v>
      </c>
      <c r="E2073" s="133" t="str">
        <f t="shared" si="65"/>
        <v>1200000959SST-11100 C10 BLACK</v>
      </c>
      <c r="F2073" s="133" t="s">
        <v>3064</v>
      </c>
      <c r="G2073" s="133" t="s">
        <v>3883</v>
      </c>
      <c r="H2073" s="133">
        <f>VLOOKUP(G2073,'packing mapping'!A:B,2,0)</f>
        <v>4</v>
      </c>
      <c r="I2073" s="137">
        <v>958320</v>
      </c>
      <c r="J2073" s="132">
        <f t="shared" si="64"/>
        <v>239580</v>
      </c>
    </row>
    <row r="2074" spans="1:10">
      <c r="A2074" s="115" t="s">
        <v>899</v>
      </c>
      <c r="B2074" s="115" t="s">
        <v>900</v>
      </c>
      <c r="C2074" s="115" t="s">
        <v>1222</v>
      </c>
      <c r="D2074" s="115" t="s">
        <v>1223</v>
      </c>
      <c r="E2074" s="133" t="str">
        <f t="shared" si="65"/>
        <v>1200000959SST-11100 C10 BLUE</v>
      </c>
      <c r="F2074" s="133" t="s">
        <v>3065</v>
      </c>
      <c r="G2074" s="133" t="s">
        <v>3883</v>
      </c>
      <c r="H2074" s="133">
        <f>VLOOKUP(G2074,'packing mapping'!A:B,2,0)</f>
        <v>4</v>
      </c>
      <c r="I2074" s="137">
        <v>2943680</v>
      </c>
      <c r="J2074" s="132">
        <f t="shared" si="64"/>
        <v>735920</v>
      </c>
    </row>
    <row r="2075" spans="1:10">
      <c r="A2075" s="115" t="s">
        <v>899</v>
      </c>
      <c r="B2075" s="115" t="s">
        <v>900</v>
      </c>
      <c r="C2075" s="115" t="s">
        <v>1226</v>
      </c>
      <c r="D2075" s="115" t="s">
        <v>1227</v>
      </c>
      <c r="E2075" s="133" t="str">
        <f t="shared" si="65"/>
        <v>1200000959SST-11100 C10 RED</v>
      </c>
      <c r="F2075" s="133" t="s">
        <v>3067</v>
      </c>
      <c r="G2075" s="133" t="s">
        <v>3883</v>
      </c>
      <c r="H2075" s="133">
        <f>VLOOKUP(G2075,'packing mapping'!A:B,2,0)</f>
        <v>4</v>
      </c>
      <c r="I2075" s="137">
        <v>996680</v>
      </c>
      <c r="J2075" s="132">
        <f t="shared" si="64"/>
        <v>249170</v>
      </c>
    </row>
    <row r="2076" spans="1:10">
      <c r="A2076" s="115" t="s">
        <v>899</v>
      </c>
      <c r="B2076" s="115" t="s">
        <v>900</v>
      </c>
      <c r="C2076" s="115" t="s">
        <v>1228</v>
      </c>
      <c r="D2076" s="115" t="s">
        <v>1229</v>
      </c>
      <c r="E2076" s="133" t="str">
        <f t="shared" si="65"/>
        <v>1200000959SST-11100 C10 YELLOW</v>
      </c>
      <c r="F2076" s="133" t="s">
        <v>3068</v>
      </c>
      <c r="G2076" s="133" t="s">
        <v>3883</v>
      </c>
      <c r="H2076" s="133">
        <f>VLOOKUP(G2076,'packing mapping'!A:B,2,0)</f>
        <v>4</v>
      </c>
      <c r="I2076" s="137">
        <v>855560</v>
      </c>
      <c r="J2076" s="132">
        <f t="shared" si="64"/>
        <v>213890</v>
      </c>
    </row>
    <row r="2077" spans="1:10">
      <c r="A2077" s="115" t="s">
        <v>899</v>
      </c>
      <c r="B2077" s="115" t="s">
        <v>900</v>
      </c>
      <c r="C2077" s="115" t="s">
        <v>1402</v>
      </c>
      <c r="D2077" s="115" t="s">
        <v>1403</v>
      </c>
      <c r="E2077" s="133" t="str">
        <f t="shared" si="65"/>
        <v>1200000959THC-73100-007 VN</v>
      </c>
      <c r="F2077" s="133" t="s">
        <v>3150</v>
      </c>
      <c r="G2077" s="133" t="s">
        <v>3880</v>
      </c>
      <c r="H2077" s="133">
        <f>VLOOKUP(G2077,'packing mapping'!A:B,2,0)</f>
        <v>20</v>
      </c>
      <c r="I2077" s="137">
        <v>1703800</v>
      </c>
      <c r="J2077" s="132">
        <f t="shared" si="64"/>
        <v>85190</v>
      </c>
    </row>
    <row r="2078" spans="1:10">
      <c r="A2078" s="115" t="s">
        <v>899</v>
      </c>
      <c r="B2078" s="115" t="s">
        <v>900</v>
      </c>
      <c r="C2078" s="115" t="s">
        <v>1238</v>
      </c>
      <c r="D2078" s="115" t="s">
        <v>1239</v>
      </c>
      <c r="E2078" s="133" t="str">
        <f t="shared" si="65"/>
        <v>1200000959THGZ-72200 VN</v>
      </c>
      <c r="F2078" s="133" t="s">
        <v>3073</v>
      </c>
      <c r="G2078" s="133" t="s">
        <v>3880</v>
      </c>
      <c r="H2078" s="133">
        <f>VLOOKUP(G2078,'packing mapping'!A:B,2,0)</f>
        <v>20</v>
      </c>
      <c r="I2078" s="137">
        <v>1442600</v>
      </c>
      <c r="J2078" s="132">
        <f t="shared" si="64"/>
        <v>72130</v>
      </c>
    </row>
    <row r="2079" spans="1:10">
      <c r="A2079" s="115" t="s">
        <v>899</v>
      </c>
      <c r="B2079" s="115" t="s">
        <v>900</v>
      </c>
      <c r="C2079" s="115" t="s">
        <v>1240</v>
      </c>
      <c r="D2079" s="115" t="s">
        <v>1241</v>
      </c>
      <c r="E2079" s="133" t="str">
        <f t="shared" si="65"/>
        <v>1200000959THNC-71100 SD VN</v>
      </c>
      <c r="F2079" s="133" t="s">
        <v>3074</v>
      </c>
      <c r="G2079" s="133" t="s">
        <v>3884</v>
      </c>
      <c r="H2079" s="133">
        <f>VLOOKUP(G2079,'packing mapping'!A:B,2,0)</f>
        <v>200</v>
      </c>
      <c r="I2079" s="137">
        <v>10598000</v>
      </c>
      <c r="J2079" s="132">
        <f t="shared" si="64"/>
        <v>52990</v>
      </c>
    </row>
    <row r="2080" spans="1:10">
      <c r="A2080" s="115" t="s">
        <v>899</v>
      </c>
      <c r="B2080" s="115" t="s">
        <v>900</v>
      </c>
      <c r="C2080" s="115" t="s">
        <v>1482</v>
      </c>
      <c r="D2080" s="115" t="s">
        <v>1483</v>
      </c>
      <c r="E2080" s="133" t="str">
        <f t="shared" si="65"/>
        <v>1200000959THNC-71100 SD VN</v>
      </c>
      <c r="F2080" s="133" t="s">
        <v>3074</v>
      </c>
      <c r="G2080" s="133" t="s">
        <v>3880</v>
      </c>
      <c r="H2080" s="133">
        <f>VLOOKUP(G2080,'packing mapping'!A:B,2,0)</f>
        <v>20</v>
      </c>
      <c r="I2080" s="137">
        <v>1106800</v>
      </c>
      <c r="J2080" s="132">
        <f t="shared" si="64"/>
        <v>55340</v>
      </c>
    </row>
    <row r="2081" spans="1:10">
      <c r="A2081" s="115" t="s">
        <v>899</v>
      </c>
      <c r="B2081" s="115" t="s">
        <v>900</v>
      </c>
      <c r="C2081" s="115" t="s">
        <v>1170</v>
      </c>
      <c r="D2081" s="115" t="s">
        <v>1171</v>
      </c>
      <c r="E2081" s="133" t="str">
        <f t="shared" si="65"/>
        <v>1200000959THPU-71306 ST VN</v>
      </c>
      <c r="F2081" s="133" t="s">
        <v>3039</v>
      </c>
      <c r="G2081" s="133" t="s">
        <v>3880</v>
      </c>
      <c r="H2081" s="133">
        <f>VLOOKUP(G2081,'packing mapping'!A:B,2,0)</f>
        <v>20</v>
      </c>
      <c r="I2081" s="137">
        <v>1159200</v>
      </c>
      <c r="J2081" s="132">
        <f t="shared" si="64"/>
        <v>57960</v>
      </c>
    </row>
    <row r="2082" spans="1:10">
      <c r="A2082" s="115" t="s">
        <v>899</v>
      </c>
      <c r="B2082" s="115" t="s">
        <v>900</v>
      </c>
      <c r="C2082" s="115" t="s">
        <v>1258</v>
      </c>
      <c r="D2082" s="115" t="s">
        <v>1259</v>
      </c>
      <c r="E2082" s="133" t="str">
        <f t="shared" si="65"/>
        <v>1200000959DP-12123 LC WHITE 01 VN</v>
      </c>
      <c r="F2082" s="133" t="s">
        <v>3082</v>
      </c>
      <c r="G2082" s="133" t="s">
        <v>3881</v>
      </c>
      <c r="H2082" s="133">
        <f>VLOOKUP(G2082,'packing mapping'!A:B,2,0)</f>
        <v>20</v>
      </c>
      <c r="I2082" s="137">
        <v>2110200</v>
      </c>
      <c r="J2082" s="132">
        <f t="shared" si="64"/>
        <v>105510</v>
      </c>
    </row>
    <row r="2083" spans="1:10">
      <c r="A2083" s="115" t="s">
        <v>899</v>
      </c>
      <c r="B2083" s="115" t="s">
        <v>900</v>
      </c>
      <c r="C2083" s="115" t="s">
        <v>1260</v>
      </c>
      <c r="D2083" s="115" t="s">
        <v>1261</v>
      </c>
      <c r="E2083" s="133" t="str">
        <f t="shared" si="65"/>
        <v>1200000959NCL-11329 LC CLEAR 05 VN</v>
      </c>
      <c r="F2083" s="133" t="s">
        <v>3083</v>
      </c>
      <c r="G2083" s="133" t="s">
        <v>3879</v>
      </c>
      <c r="H2083" s="133">
        <f>VLOOKUP(G2083,'packing mapping'!A:B,2,0)</f>
        <v>20</v>
      </c>
      <c r="I2083" s="137">
        <v>1956000</v>
      </c>
      <c r="J2083" s="132">
        <f t="shared" si="64"/>
        <v>97800</v>
      </c>
    </row>
    <row r="2084" spans="1:10">
      <c r="A2084" s="115" t="s">
        <v>899</v>
      </c>
      <c r="B2084" s="115" t="s">
        <v>900</v>
      </c>
      <c r="C2084" s="115" t="s">
        <v>1262</v>
      </c>
      <c r="D2084" s="115" t="s">
        <v>1263</v>
      </c>
      <c r="E2084" s="133" t="str">
        <f t="shared" si="65"/>
        <v>1200000959NCL-11329 LC CLEAR 10 VN</v>
      </c>
      <c r="F2084" s="133" t="s">
        <v>3084</v>
      </c>
      <c r="G2084" s="133" t="s">
        <v>3879</v>
      </c>
      <c r="H2084" s="133">
        <f>VLOOKUP(G2084,'packing mapping'!A:B,2,0)</f>
        <v>20</v>
      </c>
      <c r="I2084" s="137">
        <v>1847800</v>
      </c>
      <c r="J2084" s="132">
        <f t="shared" si="64"/>
        <v>92390</v>
      </c>
    </row>
    <row r="2085" spans="1:10">
      <c r="A2085" s="115" t="s">
        <v>899</v>
      </c>
      <c r="B2085" s="115" t="s">
        <v>900</v>
      </c>
      <c r="C2085" s="115" t="s">
        <v>1272</v>
      </c>
      <c r="D2085" s="115" t="s">
        <v>1273</v>
      </c>
      <c r="E2085" s="133" t="str">
        <f t="shared" si="65"/>
        <v>1200000959NCSS-11229 LC VN</v>
      </c>
      <c r="F2085" s="133" t="s">
        <v>3089</v>
      </c>
      <c r="G2085" s="133" t="s">
        <v>3879</v>
      </c>
      <c r="H2085" s="133">
        <f>VLOOKUP(G2085,'packing mapping'!A:B,2,0)</f>
        <v>20</v>
      </c>
      <c r="I2085" s="137">
        <v>1784000</v>
      </c>
      <c r="J2085" s="132">
        <f t="shared" si="64"/>
        <v>89200</v>
      </c>
    </row>
    <row r="2086" spans="1:10">
      <c r="A2086" s="115" t="s">
        <v>899</v>
      </c>
      <c r="B2086" s="115" t="s">
        <v>900</v>
      </c>
      <c r="C2086" s="115" t="s">
        <v>1300</v>
      </c>
      <c r="D2086" s="115" t="s">
        <v>1301</v>
      </c>
      <c r="E2086" s="133" t="str">
        <f t="shared" si="65"/>
        <v>1200000959GZPU-21500 BLACK VN</v>
      </c>
      <c r="F2086" s="133" t="s">
        <v>3101</v>
      </c>
      <c r="G2086" s="133" t="s">
        <v>3883</v>
      </c>
      <c r="H2086" s="133">
        <f>VLOOKUP(G2086,'packing mapping'!A:B,2,0)</f>
        <v>4</v>
      </c>
      <c r="I2086" s="137">
        <v>1739760</v>
      </c>
      <c r="J2086" s="132">
        <f t="shared" si="64"/>
        <v>434940</v>
      </c>
    </row>
    <row r="2087" spans="1:10">
      <c r="A2087" s="115" t="s">
        <v>899</v>
      </c>
      <c r="B2087" s="115" t="s">
        <v>900</v>
      </c>
      <c r="C2087" s="115" t="s">
        <v>1302</v>
      </c>
      <c r="D2087" s="115" t="s">
        <v>1303</v>
      </c>
      <c r="E2087" s="133" t="str">
        <f t="shared" si="65"/>
        <v>1200000959GZPU-21500 BROWN VN</v>
      </c>
      <c r="F2087" s="133" t="s">
        <v>3102</v>
      </c>
      <c r="G2087" s="133" t="s">
        <v>3883</v>
      </c>
      <c r="H2087" s="133">
        <f>VLOOKUP(G2087,'packing mapping'!A:B,2,0)</f>
        <v>4</v>
      </c>
      <c r="I2087" s="137">
        <v>1577480</v>
      </c>
      <c r="J2087" s="132">
        <f t="shared" si="64"/>
        <v>394370</v>
      </c>
    </row>
    <row r="2088" spans="1:10">
      <c r="A2088" s="115" t="s">
        <v>899</v>
      </c>
      <c r="B2088" s="115" t="s">
        <v>900</v>
      </c>
      <c r="C2088" s="115" t="s">
        <v>1304</v>
      </c>
      <c r="D2088" s="115" t="s">
        <v>1305</v>
      </c>
      <c r="E2088" s="133" t="str">
        <f t="shared" si="65"/>
        <v>1200000959GZ-12700 N BLACK VN</v>
      </c>
      <c r="F2088" s="133" t="s">
        <v>3103</v>
      </c>
      <c r="G2088" s="133" t="s">
        <v>3883</v>
      </c>
      <c r="H2088" s="133">
        <f>VLOOKUP(G2088,'packing mapping'!A:B,2,0)</f>
        <v>4</v>
      </c>
      <c r="I2088" s="137">
        <v>1338000</v>
      </c>
      <c r="J2088" s="132">
        <f t="shared" si="64"/>
        <v>334500</v>
      </c>
    </row>
    <row r="2089" spans="1:10">
      <c r="A2089" s="115" t="s">
        <v>899</v>
      </c>
      <c r="B2089" s="115" t="s">
        <v>900</v>
      </c>
      <c r="C2089" s="115" t="s">
        <v>1306</v>
      </c>
      <c r="D2089" s="115" t="s">
        <v>1307</v>
      </c>
      <c r="E2089" s="133" t="str">
        <f t="shared" si="65"/>
        <v>1200000959GZ-12700 N RED VN</v>
      </c>
      <c r="F2089" s="133" t="s">
        <v>3104</v>
      </c>
      <c r="G2089" s="133" t="s">
        <v>3883</v>
      </c>
      <c r="H2089" s="133">
        <f>VLOOKUP(G2089,'packing mapping'!A:B,2,0)</f>
        <v>4</v>
      </c>
      <c r="I2089" s="137">
        <v>1730080</v>
      </c>
      <c r="J2089" s="132">
        <f t="shared" si="64"/>
        <v>432520</v>
      </c>
    </row>
    <row r="2090" spans="1:10">
      <c r="A2090" s="115" t="s">
        <v>899</v>
      </c>
      <c r="B2090" s="115" t="s">
        <v>900</v>
      </c>
      <c r="C2090" s="115" t="s">
        <v>1308</v>
      </c>
      <c r="D2090" s="115" t="s">
        <v>1309</v>
      </c>
      <c r="E2090" s="133" t="str">
        <f t="shared" si="65"/>
        <v>1200000959GZ-12700 N YELLOW</v>
      </c>
      <c r="F2090" s="133" t="s">
        <v>3105</v>
      </c>
      <c r="G2090" s="133" t="s">
        <v>3883</v>
      </c>
      <c r="H2090" s="133">
        <f>VLOOKUP(G2090,'packing mapping'!A:B,2,0)</f>
        <v>4</v>
      </c>
      <c r="I2090" s="137">
        <v>1488800</v>
      </c>
      <c r="J2090" s="132">
        <f t="shared" si="64"/>
        <v>372200</v>
      </c>
    </row>
    <row r="2091" spans="1:10">
      <c r="A2091" s="115" t="s">
        <v>899</v>
      </c>
      <c r="B2091" s="115" t="s">
        <v>900</v>
      </c>
      <c r="C2091" s="115" t="s">
        <v>1310</v>
      </c>
      <c r="D2091" s="115" t="s">
        <v>1311</v>
      </c>
      <c r="E2091" s="133" t="str">
        <f t="shared" si="65"/>
        <v>1200000959GZPU-21500 RED VN</v>
      </c>
      <c r="F2091" s="133" t="s">
        <v>3106</v>
      </c>
      <c r="G2091" s="133" t="s">
        <v>3883</v>
      </c>
      <c r="H2091" s="133">
        <f>VLOOKUP(G2091,'packing mapping'!A:B,2,0)</f>
        <v>4</v>
      </c>
      <c r="I2091" s="137">
        <v>2119040</v>
      </c>
      <c r="J2091" s="132">
        <f t="shared" si="64"/>
        <v>529760</v>
      </c>
    </row>
    <row r="2092" spans="1:10">
      <c r="A2092" s="115" t="s">
        <v>899</v>
      </c>
      <c r="B2092" s="115" t="s">
        <v>900</v>
      </c>
      <c r="C2092" s="115" t="s">
        <v>1312</v>
      </c>
      <c r="D2092" s="115" t="s">
        <v>1313</v>
      </c>
      <c r="E2092" s="133" t="str">
        <f t="shared" si="65"/>
        <v>1200000959GZPU-21500 YELLOW VN</v>
      </c>
      <c r="F2092" s="133" t="s">
        <v>3107</v>
      </c>
      <c r="G2092" s="133" t="s">
        <v>3883</v>
      </c>
      <c r="H2092" s="133">
        <f>VLOOKUP(G2092,'packing mapping'!A:B,2,0)</f>
        <v>4</v>
      </c>
      <c r="I2092" s="137">
        <v>1932480</v>
      </c>
      <c r="J2092" s="132">
        <f t="shared" si="64"/>
        <v>483120</v>
      </c>
    </row>
    <row r="2093" spans="1:10">
      <c r="A2093" s="115" t="s">
        <v>899</v>
      </c>
      <c r="B2093" s="115" t="s">
        <v>900</v>
      </c>
      <c r="C2093" s="115" t="s">
        <v>1798</v>
      </c>
      <c r="D2093" s="115" t="s">
        <v>1799</v>
      </c>
      <c r="E2093" s="133" t="str">
        <f t="shared" si="65"/>
        <v>1200000959GZ-12700 N VAN DYKE BROWN VN</v>
      </c>
      <c r="F2093" s="133" t="s">
        <v>3324</v>
      </c>
      <c r="G2093" s="133" t="s">
        <v>3883</v>
      </c>
      <c r="H2093" s="133">
        <f>VLOOKUP(G2093,'packing mapping'!A:B,2,0)</f>
        <v>4</v>
      </c>
      <c r="I2093" s="137">
        <v>1493240</v>
      </c>
      <c r="J2093" s="132">
        <f t="shared" si="64"/>
        <v>373310</v>
      </c>
    </row>
    <row r="2094" spans="1:10">
      <c r="A2094" s="115" t="s">
        <v>899</v>
      </c>
      <c r="B2094" s="115" t="s">
        <v>900</v>
      </c>
      <c r="C2094" s="115" t="s">
        <v>1496</v>
      </c>
      <c r="D2094" s="115" t="s">
        <v>1497</v>
      </c>
      <c r="E2094" s="133" t="str">
        <f t="shared" si="65"/>
        <v>1200000959PUH-56141 VN</v>
      </c>
      <c r="F2094" s="133" t="s">
        <v>3189</v>
      </c>
      <c r="G2094" s="133" t="s">
        <v>3881</v>
      </c>
      <c r="H2094" s="133">
        <f>VLOOKUP(G2094,'packing mapping'!A:B,2,0)</f>
        <v>20</v>
      </c>
      <c r="I2094" s="137">
        <v>1889200</v>
      </c>
      <c r="J2094" s="132">
        <f t="shared" si="64"/>
        <v>94460</v>
      </c>
    </row>
    <row r="2095" spans="1:10">
      <c r="A2095" s="115" t="s">
        <v>899</v>
      </c>
      <c r="B2095" s="115" t="s">
        <v>900</v>
      </c>
      <c r="C2095" s="115" t="s">
        <v>1330</v>
      </c>
      <c r="D2095" s="115" t="s">
        <v>1331</v>
      </c>
      <c r="E2095" s="133" t="str">
        <f t="shared" si="65"/>
        <v>1200000959SST-11100 BROWN AA VN</v>
      </c>
      <c r="F2095" s="133" t="s">
        <v>3116</v>
      </c>
      <c r="G2095" s="133" t="s">
        <v>3883</v>
      </c>
      <c r="H2095" s="133">
        <f>VLOOKUP(G2095,'packing mapping'!A:B,2,0)</f>
        <v>4</v>
      </c>
      <c r="I2095" s="137">
        <v>549080</v>
      </c>
      <c r="J2095" s="132">
        <f t="shared" si="64"/>
        <v>137270</v>
      </c>
    </row>
    <row r="2096" spans="1:10">
      <c r="A2096" s="115" t="s">
        <v>899</v>
      </c>
      <c r="B2096" s="115" t="s">
        <v>900</v>
      </c>
      <c r="C2096" s="115" t="s">
        <v>1422</v>
      </c>
      <c r="D2096" s="115" t="s">
        <v>1423</v>
      </c>
      <c r="E2096" s="133" t="str">
        <f t="shared" si="65"/>
        <v>1200000959THPU-71306 WP LC VN</v>
      </c>
      <c r="F2096" s="133" t="s">
        <v>3159</v>
      </c>
      <c r="G2096" s="133" t="s">
        <v>3880</v>
      </c>
      <c r="H2096" s="133">
        <f>VLOOKUP(G2096,'packing mapping'!A:B,2,0)</f>
        <v>20</v>
      </c>
      <c r="I2096" s="137">
        <v>1446200</v>
      </c>
      <c r="J2096" s="132">
        <f t="shared" si="64"/>
        <v>72310</v>
      </c>
    </row>
    <row r="2097" spans="1:10">
      <c r="A2097" s="115" t="s">
        <v>899</v>
      </c>
      <c r="B2097" s="115" t="s">
        <v>900</v>
      </c>
      <c r="C2097" s="115" t="s">
        <v>1332</v>
      </c>
      <c r="D2097" s="115" t="s">
        <v>1333</v>
      </c>
      <c r="E2097" s="133" t="str">
        <f t="shared" si="65"/>
        <v>1200000959WFPU-51000 VN</v>
      </c>
      <c r="F2097" s="133" t="s">
        <v>3117</v>
      </c>
      <c r="G2097" s="133" t="s">
        <v>3881</v>
      </c>
      <c r="H2097" s="133">
        <f>VLOOKUP(G2097,'packing mapping'!A:B,2,0)</f>
        <v>20</v>
      </c>
      <c r="I2097" s="137">
        <v>1891800</v>
      </c>
      <c r="J2097" s="132">
        <f t="shared" si="64"/>
        <v>94590</v>
      </c>
    </row>
    <row r="2098" spans="1:10">
      <c r="A2098" s="115" t="s">
        <v>899</v>
      </c>
      <c r="B2098" s="115" t="s">
        <v>900</v>
      </c>
      <c r="C2098" s="115" t="s">
        <v>2762</v>
      </c>
      <c r="D2098" s="115" t="s">
        <v>2763</v>
      </c>
      <c r="E2098" s="133" t="str">
        <f t="shared" si="65"/>
        <v>1200000959PUC-54205 AC KEM3234P 08 HPT VN</v>
      </c>
      <c r="F2098" s="133" t="s">
        <v>3753</v>
      </c>
      <c r="G2098" s="133" t="s">
        <v>3881</v>
      </c>
      <c r="H2098" s="133">
        <f>VLOOKUP(G2098,'packing mapping'!A:B,2,0)</f>
        <v>20</v>
      </c>
      <c r="I2098" s="137">
        <v>3781600</v>
      </c>
      <c r="J2098" s="132">
        <f t="shared" si="64"/>
        <v>189080</v>
      </c>
    </row>
    <row r="2099" spans="1:10">
      <c r="A2099" s="115" t="s">
        <v>899</v>
      </c>
      <c r="B2099" s="115" t="s">
        <v>900</v>
      </c>
      <c r="C2099" s="115" t="s">
        <v>2764</v>
      </c>
      <c r="D2099" s="115" t="s">
        <v>2765</v>
      </c>
      <c r="E2099" s="133" t="str">
        <f t="shared" si="65"/>
        <v>1200000959SST-11100 BROWN 102A HPT VN</v>
      </c>
      <c r="F2099" s="133" t="s">
        <v>3754</v>
      </c>
      <c r="G2099" s="133" t="s">
        <v>3895</v>
      </c>
      <c r="H2099" s="133">
        <f>VLOOKUP(G2099,'packing mapping'!A:B,2,0)</f>
        <v>16</v>
      </c>
      <c r="I2099" s="137">
        <v>1407680</v>
      </c>
      <c r="J2099" s="132">
        <f t="shared" si="64"/>
        <v>87980</v>
      </c>
    </row>
    <row r="2100" spans="1:10">
      <c r="A2100" s="115" t="s">
        <v>899</v>
      </c>
      <c r="B2100" s="115" t="s">
        <v>900</v>
      </c>
      <c r="C2100" s="115" t="s">
        <v>2766</v>
      </c>
      <c r="D2100" s="115" t="s">
        <v>2767</v>
      </c>
      <c r="E2100" s="133" t="str">
        <f t="shared" si="65"/>
        <v>1200000959SST-11100 BLACK 102B HPT VN</v>
      </c>
      <c r="F2100" s="133" t="s">
        <v>3755</v>
      </c>
      <c r="G2100" s="133" t="s">
        <v>3895</v>
      </c>
      <c r="H2100" s="133">
        <f>VLOOKUP(G2100,'packing mapping'!A:B,2,0)</f>
        <v>16</v>
      </c>
      <c r="I2100" s="137">
        <v>1460640</v>
      </c>
      <c r="J2100" s="132">
        <f t="shared" si="64"/>
        <v>91290</v>
      </c>
    </row>
    <row r="2101" spans="1:10">
      <c r="A2101" s="115" t="s">
        <v>899</v>
      </c>
      <c r="B2101" s="115" t="s">
        <v>900</v>
      </c>
      <c r="C2101" s="115" t="s">
        <v>2768</v>
      </c>
      <c r="D2101" s="115" t="s">
        <v>2769</v>
      </c>
      <c r="E2101" s="133" t="str">
        <f t="shared" si="65"/>
        <v>1200000959PCA-31100 XAM 4008 HPT VN</v>
      </c>
      <c r="F2101" s="133" t="s">
        <v>3756</v>
      </c>
      <c r="G2101" s="133" t="s">
        <v>3895</v>
      </c>
      <c r="H2101" s="133">
        <f>VLOOKUP(G2101,'packing mapping'!A:B,2,0)</f>
        <v>16</v>
      </c>
      <c r="I2101" s="137">
        <v>1524480</v>
      </c>
      <c r="J2101" s="132">
        <f t="shared" si="64"/>
        <v>95280</v>
      </c>
    </row>
    <row r="2102" spans="1:10">
      <c r="A2102" s="115" t="s">
        <v>899</v>
      </c>
      <c r="B2102" s="115" t="s">
        <v>900</v>
      </c>
      <c r="C2102" s="115" t="s">
        <v>2770</v>
      </c>
      <c r="D2102" s="115" t="s">
        <v>2771</v>
      </c>
      <c r="E2102" s="133" t="str">
        <f t="shared" si="65"/>
        <v>1200000959PCA-31100 VANG 4008 HPT VN</v>
      </c>
      <c r="F2102" s="133" t="s">
        <v>3757</v>
      </c>
      <c r="G2102" s="133" t="s">
        <v>3895</v>
      </c>
      <c r="H2102" s="133">
        <f>VLOOKUP(G2102,'packing mapping'!A:B,2,0)</f>
        <v>16</v>
      </c>
      <c r="I2102" s="137">
        <v>1445120</v>
      </c>
      <c r="J2102" s="132">
        <f t="shared" si="64"/>
        <v>90320</v>
      </c>
    </row>
    <row r="2103" spans="1:10">
      <c r="A2103" s="115" t="s">
        <v>899</v>
      </c>
      <c r="B2103" s="115" t="s">
        <v>900</v>
      </c>
      <c r="C2103" s="115" t="s">
        <v>2772</v>
      </c>
      <c r="D2103" s="115" t="s">
        <v>2773</v>
      </c>
      <c r="E2103" s="133" t="str">
        <f t="shared" si="65"/>
        <v>1200000959GZPU-21500 NAU 4008 HPT VN</v>
      </c>
      <c r="F2103" s="133" t="s">
        <v>3758</v>
      </c>
      <c r="G2103" s="133" t="s">
        <v>3882</v>
      </c>
      <c r="H2103" s="133">
        <f>VLOOKUP(G2103,'packing mapping'!A:B,2,0)</f>
        <v>18</v>
      </c>
      <c r="I2103" s="137">
        <v>7638480</v>
      </c>
      <c r="J2103" s="132">
        <f t="shared" si="64"/>
        <v>424360</v>
      </c>
    </row>
    <row r="2104" spans="1:10">
      <c r="A2104" s="115" t="s">
        <v>899</v>
      </c>
      <c r="B2104" s="115" t="s">
        <v>900</v>
      </c>
      <c r="C2104" s="115" t="s">
        <v>2774</v>
      </c>
      <c r="D2104" s="115" t="s">
        <v>2775</v>
      </c>
      <c r="E2104" s="133" t="str">
        <f t="shared" si="65"/>
        <v>1200000959PCA-31100 NAU TI 101 HPT VN</v>
      </c>
      <c r="F2104" s="133" t="s">
        <v>3759</v>
      </c>
      <c r="G2104" s="133" t="s">
        <v>3895</v>
      </c>
      <c r="H2104" s="133">
        <f>VLOOKUP(G2104,'packing mapping'!A:B,2,0)</f>
        <v>16</v>
      </c>
      <c r="I2104" s="137">
        <v>1586240</v>
      </c>
      <c r="J2104" s="132">
        <f t="shared" si="64"/>
        <v>99140</v>
      </c>
    </row>
    <row r="2105" spans="1:10">
      <c r="A2105" s="115" t="s">
        <v>899</v>
      </c>
      <c r="B2105" s="115" t="s">
        <v>900</v>
      </c>
      <c r="C2105" s="115" t="s">
        <v>2776</v>
      </c>
      <c r="D2105" s="115" t="s">
        <v>2777</v>
      </c>
      <c r="E2105" s="133" t="str">
        <f t="shared" si="65"/>
        <v>1200000959PCA-31100 NAU 7188 A HPT VN</v>
      </c>
      <c r="F2105" s="133" t="s">
        <v>3760</v>
      </c>
      <c r="G2105" s="133" t="s">
        <v>3895</v>
      </c>
      <c r="H2105" s="133">
        <f>VLOOKUP(G2105,'packing mapping'!A:B,2,0)</f>
        <v>16</v>
      </c>
      <c r="I2105" s="137">
        <v>1700160</v>
      </c>
      <c r="J2105" s="132">
        <f t="shared" si="64"/>
        <v>106260</v>
      </c>
    </row>
    <row r="2106" spans="1:10">
      <c r="A2106" s="115" t="s">
        <v>899</v>
      </c>
      <c r="B2106" s="115" t="s">
        <v>900</v>
      </c>
      <c r="C2106" s="115" t="s">
        <v>2778</v>
      </c>
      <c r="D2106" s="115" t="s">
        <v>2779</v>
      </c>
      <c r="E2106" s="133" t="str">
        <f t="shared" si="65"/>
        <v>1200000959PCA-31100 CAM 7188 B HPT VN</v>
      </c>
      <c r="F2106" s="133" t="s">
        <v>3761</v>
      </c>
      <c r="G2106" s="133" t="s">
        <v>3895</v>
      </c>
      <c r="H2106" s="133">
        <f>VLOOKUP(G2106,'packing mapping'!A:B,2,0)</f>
        <v>16</v>
      </c>
      <c r="I2106" s="137">
        <v>1536000</v>
      </c>
      <c r="J2106" s="132">
        <f t="shared" si="64"/>
        <v>96000</v>
      </c>
    </row>
    <row r="2107" spans="1:10">
      <c r="A2107" s="115" t="s">
        <v>899</v>
      </c>
      <c r="B2107" s="115" t="s">
        <v>900</v>
      </c>
      <c r="C2107" s="115" t="s">
        <v>2780</v>
      </c>
      <c r="D2107" s="115" t="s">
        <v>2781</v>
      </c>
      <c r="E2107" s="133" t="str">
        <f t="shared" si="65"/>
        <v>1200000959PCA-31100 CAM TI301 A HPT VN</v>
      </c>
      <c r="F2107" s="133" t="s">
        <v>3762</v>
      </c>
      <c r="G2107" s="133" t="s">
        <v>3895</v>
      </c>
      <c r="H2107" s="133">
        <f>VLOOKUP(G2107,'packing mapping'!A:B,2,0)</f>
        <v>16</v>
      </c>
      <c r="I2107" s="137">
        <v>1547680</v>
      </c>
      <c r="J2107" s="132">
        <f t="shared" si="64"/>
        <v>96730</v>
      </c>
    </row>
    <row r="2108" spans="1:10">
      <c r="A2108" s="115" t="s">
        <v>899</v>
      </c>
      <c r="B2108" s="115" t="s">
        <v>900</v>
      </c>
      <c r="C2108" s="115" t="s">
        <v>2782</v>
      </c>
      <c r="D2108" s="115" t="s">
        <v>2783</v>
      </c>
      <c r="E2108" s="133" t="str">
        <f t="shared" si="65"/>
        <v>1200000959SST-11100 CAM TI301 B HPT VN</v>
      </c>
      <c r="F2108" s="133" t="s">
        <v>3763</v>
      </c>
      <c r="G2108" s="133" t="s">
        <v>3895</v>
      </c>
      <c r="H2108" s="133">
        <f>VLOOKUP(G2108,'packing mapping'!A:B,2,0)</f>
        <v>16</v>
      </c>
      <c r="I2108" s="137">
        <v>1377760</v>
      </c>
      <c r="J2108" s="132">
        <f t="shared" si="64"/>
        <v>86110</v>
      </c>
    </row>
    <row r="2109" spans="1:10">
      <c r="A2109" s="115" t="s">
        <v>899</v>
      </c>
      <c r="B2109" s="115" t="s">
        <v>900</v>
      </c>
      <c r="C2109" s="115" t="s">
        <v>2784</v>
      </c>
      <c r="D2109" s="115" t="s">
        <v>2785</v>
      </c>
      <c r="E2109" s="133" t="str">
        <f t="shared" si="65"/>
        <v>1200000959PCA-31100 NAU WD103 HPT VN</v>
      </c>
      <c r="F2109" s="133" t="s">
        <v>3764</v>
      </c>
      <c r="G2109" s="133" t="s">
        <v>3895</v>
      </c>
      <c r="H2109" s="133">
        <f>VLOOKUP(G2109,'packing mapping'!A:B,2,0)</f>
        <v>16</v>
      </c>
      <c r="I2109" s="137">
        <v>1632640</v>
      </c>
      <c r="J2109" s="132">
        <f t="shared" si="64"/>
        <v>102040</v>
      </c>
    </row>
    <row r="2110" spans="1:10">
      <c r="A2110" s="115" t="s">
        <v>899</v>
      </c>
      <c r="B2110" s="115" t="s">
        <v>900</v>
      </c>
      <c r="C2110" s="115" t="s">
        <v>2786</v>
      </c>
      <c r="D2110" s="115" t="s">
        <v>2787</v>
      </c>
      <c r="E2110" s="133" t="str">
        <f t="shared" si="65"/>
        <v>1200000959PCA-31100 NAU WD306 A HPT VN</v>
      </c>
      <c r="F2110" s="133" t="s">
        <v>3765</v>
      </c>
      <c r="G2110" s="133" t="s">
        <v>3895</v>
      </c>
      <c r="H2110" s="133">
        <f>VLOOKUP(G2110,'packing mapping'!A:B,2,0)</f>
        <v>16</v>
      </c>
      <c r="I2110" s="137">
        <v>1632640</v>
      </c>
      <c r="J2110" s="132">
        <f t="shared" si="64"/>
        <v>102040</v>
      </c>
    </row>
    <row r="2111" spans="1:10">
      <c r="A2111" s="115" t="s">
        <v>899</v>
      </c>
      <c r="B2111" s="115" t="s">
        <v>900</v>
      </c>
      <c r="C2111" s="115" t="s">
        <v>2788</v>
      </c>
      <c r="D2111" s="115" t="s">
        <v>2789</v>
      </c>
      <c r="E2111" s="133" t="str">
        <f t="shared" si="65"/>
        <v>1200000959PCA-31100 NAU WD306 B HPT VN</v>
      </c>
      <c r="F2111" s="133" t="s">
        <v>3766</v>
      </c>
      <c r="G2111" s="133" t="s">
        <v>3895</v>
      </c>
      <c r="H2111" s="133">
        <f>VLOOKUP(G2111,'packing mapping'!A:B,2,0)</f>
        <v>16</v>
      </c>
      <c r="I2111" s="137">
        <v>1514720</v>
      </c>
      <c r="J2111" s="132">
        <f t="shared" si="64"/>
        <v>94670</v>
      </c>
    </row>
    <row r="2112" spans="1:10">
      <c r="A2112" s="115" t="s">
        <v>899</v>
      </c>
      <c r="B2112" s="115" t="s">
        <v>900</v>
      </c>
      <c r="C2112" s="115" t="s">
        <v>2790</v>
      </c>
      <c r="D2112" s="115" t="s">
        <v>2791</v>
      </c>
      <c r="E2112" s="133" t="str">
        <f t="shared" si="65"/>
        <v>1200000959PCA-31100 NAU WD308 A HPT VN</v>
      </c>
      <c r="F2112" s="133" t="s">
        <v>3767</v>
      </c>
      <c r="G2112" s="133" t="s">
        <v>3895</v>
      </c>
      <c r="H2112" s="133">
        <f>VLOOKUP(G2112,'packing mapping'!A:B,2,0)</f>
        <v>16</v>
      </c>
      <c r="I2112" s="137">
        <v>1648160</v>
      </c>
      <c r="J2112" s="132">
        <f t="shared" si="64"/>
        <v>103010</v>
      </c>
    </row>
    <row r="2113" spans="1:10">
      <c r="A2113" s="115" t="s">
        <v>899</v>
      </c>
      <c r="B2113" s="115" t="s">
        <v>900</v>
      </c>
      <c r="C2113" s="115" t="s">
        <v>2792</v>
      </c>
      <c r="D2113" s="115" t="s">
        <v>2793</v>
      </c>
      <c r="E2113" s="133" t="str">
        <f t="shared" si="65"/>
        <v>1200000959SST-11100 NAU WD308 B HPT VN</v>
      </c>
      <c r="F2113" s="133" t="s">
        <v>3768</v>
      </c>
      <c r="G2113" s="133" t="s">
        <v>3895</v>
      </c>
      <c r="H2113" s="133">
        <f>VLOOKUP(G2113,'packing mapping'!A:B,2,0)</f>
        <v>16</v>
      </c>
      <c r="I2113" s="137">
        <v>1337120</v>
      </c>
      <c r="J2113" s="132">
        <f t="shared" si="64"/>
        <v>83570</v>
      </c>
    </row>
    <row r="2114" spans="1:10">
      <c r="A2114" s="115" t="s">
        <v>899</v>
      </c>
      <c r="B2114" s="115" t="s">
        <v>900</v>
      </c>
      <c r="C2114" s="115" t="s">
        <v>2794</v>
      </c>
      <c r="D2114" s="115" t="s">
        <v>2795</v>
      </c>
      <c r="E2114" s="133" t="str">
        <f t="shared" si="65"/>
        <v>1200000959PUP-52141 NAU WD102 HPT VN</v>
      </c>
      <c r="F2114" s="133" t="s">
        <v>3769</v>
      </c>
      <c r="G2114" s="133" t="s">
        <v>3881</v>
      </c>
      <c r="H2114" s="133">
        <f>VLOOKUP(G2114,'packing mapping'!A:B,2,0)</f>
        <v>20</v>
      </c>
      <c r="I2114" s="137">
        <v>2485200</v>
      </c>
      <c r="J2114" s="132">
        <f t="shared" ref="J2114:J2177" si="66">I2114/H2114</f>
        <v>124260</v>
      </c>
    </row>
    <row r="2115" spans="1:10">
      <c r="A2115" s="115" t="s">
        <v>899</v>
      </c>
      <c r="B2115" s="115" t="s">
        <v>900</v>
      </c>
      <c r="C2115" s="115" t="s">
        <v>2796</v>
      </c>
      <c r="D2115" s="115" t="s">
        <v>2797</v>
      </c>
      <c r="E2115" s="133" t="str">
        <f t="shared" ref="E2115:E2178" si="67">A2115&amp;F2115</f>
        <v>1200000959PUC-52241 NAU WD102 10 HPT VN</v>
      </c>
      <c r="F2115" s="133" t="s">
        <v>3770</v>
      </c>
      <c r="G2115" s="133" t="s">
        <v>3881</v>
      </c>
      <c r="H2115" s="133">
        <f>VLOOKUP(G2115,'packing mapping'!A:B,2,0)</f>
        <v>20</v>
      </c>
      <c r="I2115" s="137">
        <v>2846800</v>
      </c>
      <c r="J2115" s="132">
        <f t="shared" si="66"/>
        <v>142340</v>
      </c>
    </row>
    <row r="2116" spans="1:10">
      <c r="A2116" s="115" t="s">
        <v>899</v>
      </c>
      <c r="B2116" s="115" t="s">
        <v>900</v>
      </c>
      <c r="C2116" s="115" t="s">
        <v>2220</v>
      </c>
      <c r="D2116" s="115" t="s">
        <v>2221</v>
      </c>
      <c r="E2116" s="133" t="str">
        <f t="shared" si="67"/>
        <v>1200000959THGZ-72200 D40 VN</v>
      </c>
      <c r="F2116" s="133" t="s">
        <v>3344</v>
      </c>
      <c r="G2116" s="133" t="s">
        <v>3880</v>
      </c>
      <c r="H2116" s="133">
        <f>VLOOKUP(G2116,'packing mapping'!A:B,2,0)</f>
        <v>20</v>
      </c>
      <c r="I2116" s="137">
        <v>1442600</v>
      </c>
      <c r="J2116" s="132">
        <f t="shared" si="66"/>
        <v>72130</v>
      </c>
    </row>
    <row r="2117" spans="1:10">
      <c r="A2117" s="115" t="s">
        <v>1115</v>
      </c>
      <c r="B2117" s="115" t="s">
        <v>1116</v>
      </c>
      <c r="C2117" s="115" t="s">
        <v>1168</v>
      </c>
      <c r="D2117" s="115" t="s">
        <v>1169</v>
      </c>
      <c r="E2117" s="133" t="str">
        <f t="shared" si="67"/>
        <v>1200001163PUL-51339 CLEAR 10 VN</v>
      </c>
      <c r="F2117" s="133" t="s">
        <v>3038</v>
      </c>
      <c r="G2117" s="133" t="s">
        <v>3879</v>
      </c>
      <c r="H2117" s="133">
        <f>VLOOKUP(G2117,'packing mapping'!A:B,2,0)</f>
        <v>20</v>
      </c>
      <c r="I2117" s="137">
        <v>2286000</v>
      </c>
      <c r="J2117" s="132">
        <f t="shared" si="66"/>
        <v>114300</v>
      </c>
    </row>
    <row r="2118" spans="1:10">
      <c r="A2118" s="115" t="s">
        <v>1115</v>
      </c>
      <c r="B2118" s="115" t="s">
        <v>1116</v>
      </c>
      <c r="C2118" s="115" t="s">
        <v>1478</v>
      </c>
      <c r="D2118" s="115" t="s">
        <v>1479</v>
      </c>
      <c r="E2118" s="133" t="str">
        <f t="shared" si="67"/>
        <v>1200001163PUSS-51241 VN</v>
      </c>
      <c r="F2118" s="133" t="s">
        <v>3185</v>
      </c>
      <c r="G2118" s="133" t="s">
        <v>3881</v>
      </c>
      <c r="H2118" s="133">
        <f>VLOOKUP(G2118,'packing mapping'!A:B,2,0)</f>
        <v>20</v>
      </c>
      <c r="I2118" s="137">
        <v>1782000</v>
      </c>
      <c r="J2118" s="132">
        <f t="shared" si="66"/>
        <v>89100</v>
      </c>
    </row>
    <row r="2119" spans="1:10">
      <c r="A2119" s="115" t="s">
        <v>1115</v>
      </c>
      <c r="B2119" s="115" t="s">
        <v>1116</v>
      </c>
      <c r="C2119" s="115" t="s">
        <v>1220</v>
      </c>
      <c r="D2119" s="115" t="s">
        <v>1221</v>
      </c>
      <c r="E2119" s="133" t="str">
        <f t="shared" si="67"/>
        <v>1200001163SST-11100 C10 BLACK</v>
      </c>
      <c r="F2119" s="133" t="s">
        <v>3064</v>
      </c>
      <c r="G2119" s="133" t="s">
        <v>3883</v>
      </c>
      <c r="H2119" s="133">
        <f>VLOOKUP(G2119,'packing mapping'!A:B,2,0)</f>
        <v>4</v>
      </c>
      <c r="I2119" s="137">
        <v>797200</v>
      </c>
      <c r="J2119" s="132">
        <f t="shared" si="66"/>
        <v>199300</v>
      </c>
    </row>
    <row r="2120" spans="1:10">
      <c r="A2120" s="115" t="s">
        <v>1115</v>
      </c>
      <c r="B2120" s="115" t="s">
        <v>1116</v>
      </c>
      <c r="C2120" s="115" t="s">
        <v>1226</v>
      </c>
      <c r="D2120" s="115" t="s">
        <v>1227</v>
      </c>
      <c r="E2120" s="133" t="str">
        <f t="shared" si="67"/>
        <v>1200001163SST-11100 C10 RED</v>
      </c>
      <c r="F2120" s="133" t="s">
        <v>3067</v>
      </c>
      <c r="G2120" s="133" t="s">
        <v>3883</v>
      </c>
      <c r="H2120" s="133">
        <f>VLOOKUP(G2120,'packing mapping'!A:B,2,0)</f>
        <v>4</v>
      </c>
      <c r="I2120" s="137">
        <v>999600</v>
      </c>
      <c r="J2120" s="132">
        <f t="shared" si="66"/>
        <v>249900</v>
      </c>
    </row>
    <row r="2121" spans="1:10">
      <c r="A2121" s="115" t="s">
        <v>1115</v>
      </c>
      <c r="B2121" s="115" t="s">
        <v>1116</v>
      </c>
      <c r="C2121" s="115" t="s">
        <v>1228</v>
      </c>
      <c r="D2121" s="115" t="s">
        <v>1229</v>
      </c>
      <c r="E2121" s="133" t="str">
        <f t="shared" si="67"/>
        <v>1200001163SST-11100 C10 YELLOW</v>
      </c>
      <c r="F2121" s="133" t="s">
        <v>3068</v>
      </c>
      <c r="G2121" s="133" t="s">
        <v>3883</v>
      </c>
      <c r="H2121" s="133">
        <f>VLOOKUP(G2121,'packing mapping'!A:B,2,0)</f>
        <v>4</v>
      </c>
      <c r="I2121" s="137">
        <v>725600</v>
      </c>
      <c r="J2121" s="132">
        <f t="shared" si="66"/>
        <v>181400</v>
      </c>
    </row>
    <row r="2122" spans="1:10">
      <c r="A2122" s="115" t="s">
        <v>1115</v>
      </c>
      <c r="B2122" s="115" t="s">
        <v>1116</v>
      </c>
      <c r="C2122" s="115" t="s">
        <v>1242</v>
      </c>
      <c r="D2122" s="115" t="s">
        <v>1243</v>
      </c>
      <c r="E2122" s="133" t="str">
        <f t="shared" si="67"/>
        <v>1200001163THPU-71306 ST VN</v>
      </c>
      <c r="F2122" s="133" t="s">
        <v>3039</v>
      </c>
      <c r="G2122" s="133" t="s">
        <v>3884</v>
      </c>
      <c r="H2122" s="133">
        <f>VLOOKUP(G2122,'packing mapping'!A:B,2,0)</f>
        <v>200</v>
      </c>
      <c r="I2122" s="137">
        <v>10660000</v>
      </c>
      <c r="J2122" s="132">
        <f t="shared" si="66"/>
        <v>53300</v>
      </c>
    </row>
    <row r="2123" spans="1:10">
      <c r="A2123" s="115" t="s">
        <v>1115</v>
      </c>
      <c r="B2123" s="115" t="s">
        <v>1116</v>
      </c>
      <c r="C2123" s="115" t="s">
        <v>1170</v>
      </c>
      <c r="D2123" s="115" t="s">
        <v>1171</v>
      </c>
      <c r="E2123" s="133" t="str">
        <f t="shared" si="67"/>
        <v>1200001163THPU-71306 ST VN</v>
      </c>
      <c r="F2123" s="133" t="s">
        <v>3039</v>
      </c>
      <c r="G2123" s="133" t="s">
        <v>3880</v>
      </c>
      <c r="H2123" s="133">
        <f>VLOOKUP(G2123,'packing mapping'!A:B,2,0)</f>
        <v>20</v>
      </c>
      <c r="I2123" s="137">
        <v>1178000</v>
      </c>
      <c r="J2123" s="132">
        <f t="shared" si="66"/>
        <v>58900</v>
      </c>
    </row>
    <row r="2124" spans="1:10">
      <c r="A2124" s="115" t="s">
        <v>1115</v>
      </c>
      <c r="B2124" s="115" t="s">
        <v>1116</v>
      </c>
      <c r="C2124" s="115" t="s">
        <v>1174</v>
      </c>
      <c r="D2124" s="115" t="s">
        <v>1175</v>
      </c>
      <c r="E2124" s="133" t="str">
        <f t="shared" si="67"/>
        <v>1200001163PUH-56139 VN</v>
      </c>
      <c r="F2124" s="133" t="s">
        <v>3041</v>
      </c>
      <c r="G2124" s="133" t="s">
        <v>3881</v>
      </c>
      <c r="H2124" s="133">
        <f>VLOOKUP(G2124,'packing mapping'!A:B,2,0)</f>
        <v>20</v>
      </c>
      <c r="I2124" s="137">
        <v>2084000</v>
      </c>
      <c r="J2124" s="132">
        <f t="shared" si="66"/>
        <v>104200</v>
      </c>
    </row>
    <row r="2125" spans="1:10">
      <c r="A2125" s="115" t="s">
        <v>1115</v>
      </c>
      <c r="B2125" s="115" t="s">
        <v>1116</v>
      </c>
      <c r="C2125" s="115" t="s">
        <v>1496</v>
      </c>
      <c r="D2125" s="115" t="s">
        <v>1497</v>
      </c>
      <c r="E2125" s="133" t="str">
        <f t="shared" si="67"/>
        <v>1200001163PUH-56141 VN</v>
      </c>
      <c r="F2125" s="133" t="s">
        <v>3189</v>
      </c>
      <c r="G2125" s="133" t="s">
        <v>3881</v>
      </c>
      <c r="H2125" s="133">
        <f>VLOOKUP(G2125,'packing mapping'!A:B,2,0)</f>
        <v>20</v>
      </c>
      <c r="I2125" s="137">
        <v>2451200</v>
      </c>
      <c r="J2125" s="132">
        <f t="shared" si="66"/>
        <v>122560</v>
      </c>
    </row>
    <row r="2126" spans="1:10">
      <c r="A2126" s="115" t="s">
        <v>1017</v>
      </c>
      <c r="B2126" s="115" t="s">
        <v>1018</v>
      </c>
      <c r="C2126" s="115" t="s">
        <v>1188</v>
      </c>
      <c r="D2126" s="115" t="s">
        <v>1189</v>
      </c>
      <c r="E2126" s="133" t="str">
        <f t="shared" si="67"/>
        <v>1200001056PCA-31100 BLACK PASTE VN</v>
      </c>
      <c r="F2126" s="133" t="s">
        <v>3048</v>
      </c>
      <c r="G2126" s="133" t="s">
        <v>3883</v>
      </c>
      <c r="H2126" s="133">
        <f>VLOOKUP(G2126,'packing mapping'!A:B,2,0)</f>
        <v>4</v>
      </c>
      <c r="I2126" s="137">
        <v>1268316</v>
      </c>
      <c r="J2126" s="132">
        <f t="shared" si="66"/>
        <v>317079</v>
      </c>
    </row>
    <row r="2127" spans="1:10">
      <c r="A2127" s="115" t="s">
        <v>1017</v>
      </c>
      <c r="B2127" s="115" t="s">
        <v>1018</v>
      </c>
      <c r="C2127" s="115" t="s">
        <v>1520</v>
      </c>
      <c r="D2127" s="115" t="s">
        <v>1521</v>
      </c>
      <c r="E2127" s="133" t="str">
        <f t="shared" si="67"/>
        <v>1200001056PCA-31100 GREEN OB PASTE VN</v>
      </c>
      <c r="F2127" s="133" t="s">
        <v>3200</v>
      </c>
      <c r="G2127" s="133" t="s">
        <v>3883</v>
      </c>
      <c r="H2127" s="133">
        <f>VLOOKUP(G2127,'packing mapping'!A:B,2,0)</f>
        <v>4</v>
      </c>
      <c r="I2127" s="137">
        <v>1208804</v>
      </c>
      <c r="J2127" s="132">
        <f t="shared" si="66"/>
        <v>302201</v>
      </c>
    </row>
    <row r="2128" spans="1:10">
      <c r="A2128" s="115" t="s">
        <v>1017</v>
      </c>
      <c r="B2128" s="115" t="s">
        <v>1018</v>
      </c>
      <c r="C2128" s="115" t="s">
        <v>1374</v>
      </c>
      <c r="D2128" s="115" t="s">
        <v>1375</v>
      </c>
      <c r="E2128" s="133" t="str">
        <f t="shared" si="67"/>
        <v>1200001056PCA-31100 RED OB 35 PASTE VN</v>
      </c>
      <c r="F2128" s="133" t="s">
        <v>3137</v>
      </c>
      <c r="G2128" s="133" t="s">
        <v>3883</v>
      </c>
      <c r="H2128" s="133">
        <f>VLOOKUP(G2128,'packing mapping'!A:B,2,0)</f>
        <v>4</v>
      </c>
      <c r="I2128" s="137">
        <v>2035236</v>
      </c>
      <c r="J2128" s="132">
        <f t="shared" si="66"/>
        <v>508809</v>
      </c>
    </row>
    <row r="2129" spans="1:10">
      <c r="A2129" s="115" t="s">
        <v>1017</v>
      </c>
      <c r="B2129" s="115" t="s">
        <v>1018</v>
      </c>
      <c r="C2129" s="115" t="s">
        <v>1190</v>
      </c>
      <c r="D2129" s="115" t="s">
        <v>1191</v>
      </c>
      <c r="E2129" s="133" t="str">
        <f t="shared" si="67"/>
        <v>1200001056PCA-31100 WHITE PASTE VN</v>
      </c>
      <c r="F2129" s="133" t="s">
        <v>3049</v>
      </c>
      <c r="G2129" s="133" t="s">
        <v>3883</v>
      </c>
      <c r="H2129" s="133">
        <f>VLOOKUP(G2129,'packing mapping'!A:B,2,0)</f>
        <v>4</v>
      </c>
      <c r="I2129" s="137">
        <v>851132</v>
      </c>
      <c r="J2129" s="132">
        <f t="shared" si="66"/>
        <v>212783</v>
      </c>
    </row>
    <row r="2130" spans="1:10">
      <c r="A2130" s="115" t="s">
        <v>1017</v>
      </c>
      <c r="B2130" s="115" t="s">
        <v>1018</v>
      </c>
      <c r="C2130" s="115" t="s">
        <v>1376</v>
      </c>
      <c r="D2130" s="115" t="s">
        <v>1377</v>
      </c>
      <c r="E2130" s="133" t="str">
        <f t="shared" si="67"/>
        <v>1200001056PCA-31100 YELLOW HR PASTE VN</v>
      </c>
      <c r="F2130" s="133" t="s">
        <v>3138</v>
      </c>
      <c r="G2130" s="133" t="s">
        <v>3883</v>
      </c>
      <c r="H2130" s="133">
        <f>VLOOKUP(G2130,'packing mapping'!A:B,2,0)</f>
        <v>4</v>
      </c>
      <c r="I2130" s="137">
        <v>1083096</v>
      </c>
      <c r="J2130" s="132">
        <f t="shared" si="66"/>
        <v>270774</v>
      </c>
    </row>
    <row r="2131" spans="1:10">
      <c r="A2131" s="115" t="s">
        <v>1017</v>
      </c>
      <c r="B2131" s="115" t="s">
        <v>1018</v>
      </c>
      <c r="C2131" s="115" t="s">
        <v>1210</v>
      </c>
      <c r="D2131" s="115" t="s">
        <v>1211</v>
      </c>
      <c r="E2131" s="133" t="str">
        <f t="shared" si="67"/>
        <v>1200001056PUH-56306 LY VN</v>
      </c>
      <c r="F2131" s="133" t="s">
        <v>3059</v>
      </c>
      <c r="G2131" s="133" t="s">
        <v>3879</v>
      </c>
      <c r="H2131" s="133">
        <f>VLOOKUP(G2131,'packing mapping'!A:B,2,0)</f>
        <v>20</v>
      </c>
      <c r="I2131" s="137">
        <v>2794380</v>
      </c>
      <c r="J2131" s="132">
        <f t="shared" si="66"/>
        <v>139719</v>
      </c>
    </row>
    <row r="2132" spans="1:10">
      <c r="A2132" s="115" t="s">
        <v>1017</v>
      </c>
      <c r="B2132" s="115" t="s">
        <v>1018</v>
      </c>
      <c r="C2132" s="115" t="s">
        <v>1220</v>
      </c>
      <c r="D2132" s="115" t="s">
        <v>1221</v>
      </c>
      <c r="E2132" s="133" t="str">
        <f t="shared" si="67"/>
        <v>1200001056SST-11100 C10 BLACK</v>
      </c>
      <c r="F2132" s="133" t="s">
        <v>3064</v>
      </c>
      <c r="G2132" s="133" t="s">
        <v>3883</v>
      </c>
      <c r="H2132" s="133">
        <f>VLOOKUP(G2132,'packing mapping'!A:B,2,0)</f>
        <v>4</v>
      </c>
      <c r="I2132" s="137">
        <v>726768</v>
      </c>
      <c r="J2132" s="132">
        <f t="shared" si="66"/>
        <v>181692</v>
      </c>
    </row>
    <row r="2133" spans="1:10">
      <c r="A2133" s="115" t="s">
        <v>1017</v>
      </c>
      <c r="B2133" s="115" t="s">
        <v>1018</v>
      </c>
      <c r="C2133" s="115" t="s">
        <v>1226</v>
      </c>
      <c r="D2133" s="115" t="s">
        <v>1227</v>
      </c>
      <c r="E2133" s="133" t="str">
        <f t="shared" si="67"/>
        <v>1200001056SST-11100 C10 RED</v>
      </c>
      <c r="F2133" s="133" t="s">
        <v>3067</v>
      </c>
      <c r="G2133" s="133" t="s">
        <v>3883</v>
      </c>
      <c r="H2133" s="133">
        <f>VLOOKUP(G2133,'packing mapping'!A:B,2,0)</f>
        <v>4</v>
      </c>
      <c r="I2133" s="137">
        <v>769566</v>
      </c>
      <c r="J2133" s="132">
        <f t="shared" si="66"/>
        <v>192391.5</v>
      </c>
    </row>
    <row r="2134" spans="1:10">
      <c r="A2134" s="115" t="s">
        <v>1017</v>
      </c>
      <c r="B2134" s="115" t="s">
        <v>1018</v>
      </c>
      <c r="C2134" s="115" t="s">
        <v>1228</v>
      </c>
      <c r="D2134" s="115" t="s">
        <v>1229</v>
      </c>
      <c r="E2134" s="133" t="str">
        <f t="shared" si="67"/>
        <v>1200001056SST-11100 C10 YELLOW</v>
      </c>
      <c r="F2134" s="133" t="s">
        <v>3068</v>
      </c>
      <c r="G2134" s="133" t="s">
        <v>3883</v>
      </c>
      <c r="H2134" s="133">
        <f>VLOOKUP(G2134,'packing mapping'!A:B,2,0)</f>
        <v>4</v>
      </c>
      <c r="I2134" s="137">
        <v>649152</v>
      </c>
      <c r="J2134" s="132">
        <f t="shared" si="66"/>
        <v>162288</v>
      </c>
    </row>
    <row r="2135" spans="1:10">
      <c r="A2135" s="115" t="s">
        <v>1017</v>
      </c>
      <c r="B2135" s="115" t="s">
        <v>1018</v>
      </c>
      <c r="C2135" s="115" t="s">
        <v>1238</v>
      </c>
      <c r="D2135" s="115" t="s">
        <v>1239</v>
      </c>
      <c r="E2135" s="133" t="str">
        <f t="shared" si="67"/>
        <v>1200001056THGZ-72200 VN</v>
      </c>
      <c r="F2135" s="133" t="s">
        <v>3073</v>
      </c>
      <c r="G2135" s="133" t="s">
        <v>3880</v>
      </c>
      <c r="H2135" s="133">
        <f>VLOOKUP(G2135,'packing mapping'!A:B,2,0)</f>
        <v>20</v>
      </c>
      <c r="I2135" s="137">
        <v>1464640</v>
      </c>
      <c r="J2135" s="132">
        <f t="shared" si="66"/>
        <v>73232</v>
      </c>
    </row>
    <row r="2136" spans="1:10">
      <c r="A2136" s="115" t="s">
        <v>1017</v>
      </c>
      <c r="B2136" s="115" t="s">
        <v>1018</v>
      </c>
      <c r="C2136" s="115" t="s">
        <v>1482</v>
      </c>
      <c r="D2136" s="115" t="s">
        <v>1483</v>
      </c>
      <c r="E2136" s="133" t="str">
        <f t="shared" si="67"/>
        <v>1200001056THNC-71100 SD VN</v>
      </c>
      <c r="F2136" s="133" t="s">
        <v>3074</v>
      </c>
      <c r="G2136" s="133" t="s">
        <v>3880</v>
      </c>
      <c r="H2136" s="133">
        <f>VLOOKUP(G2136,'packing mapping'!A:B,2,0)</f>
        <v>20</v>
      </c>
      <c r="I2136" s="137">
        <v>1281560</v>
      </c>
      <c r="J2136" s="132">
        <f t="shared" si="66"/>
        <v>64078</v>
      </c>
    </row>
    <row r="2137" spans="1:10">
      <c r="A2137" s="115" t="s">
        <v>1017</v>
      </c>
      <c r="B2137" s="115" t="s">
        <v>1018</v>
      </c>
      <c r="C2137" s="115" t="s">
        <v>1242</v>
      </c>
      <c r="D2137" s="115" t="s">
        <v>1243</v>
      </c>
      <c r="E2137" s="133" t="str">
        <f t="shared" si="67"/>
        <v>1200001056THPU-71306 ST VN</v>
      </c>
      <c r="F2137" s="133" t="s">
        <v>3039</v>
      </c>
      <c r="G2137" s="133" t="s">
        <v>3884</v>
      </c>
      <c r="H2137" s="133">
        <f>VLOOKUP(G2137,'packing mapping'!A:B,2,0)</f>
        <v>200</v>
      </c>
      <c r="I2137" s="137">
        <v>12525800</v>
      </c>
      <c r="J2137" s="132">
        <f t="shared" si="66"/>
        <v>62629</v>
      </c>
    </row>
    <row r="2138" spans="1:10">
      <c r="A2138" s="115" t="s">
        <v>1017</v>
      </c>
      <c r="B2138" s="115" t="s">
        <v>1018</v>
      </c>
      <c r="C2138" s="115" t="s">
        <v>1170</v>
      </c>
      <c r="D2138" s="115" t="s">
        <v>1171</v>
      </c>
      <c r="E2138" s="133" t="str">
        <f t="shared" si="67"/>
        <v>1200001056THPU-71306 ST VN</v>
      </c>
      <c r="F2138" s="133" t="s">
        <v>3039</v>
      </c>
      <c r="G2138" s="133" t="s">
        <v>3880</v>
      </c>
      <c r="H2138" s="133">
        <f>VLOOKUP(G2138,'packing mapping'!A:B,2,0)</f>
        <v>20</v>
      </c>
      <c r="I2138" s="137">
        <v>1423240</v>
      </c>
      <c r="J2138" s="132">
        <f t="shared" si="66"/>
        <v>71162</v>
      </c>
    </row>
    <row r="2139" spans="1:10">
      <c r="A2139" s="115" t="s">
        <v>1017</v>
      </c>
      <c r="B2139" s="115" t="s">
        <v>1018</v>
      </c>
      <c r="C2139" s="115" t="s">
        <v>1260</v>
      </c>
      <c r="D2139" s="115" t="s">
        <v>1261</v>
      </c>
      <c r="E2139" s="133" t="str">
        <f t="shared" si="67"/>
        <v>1200001056NCL-11329 LC CLEAR 05 VN</v>
      </c>
      <c r="F2139" s="133" t="s">
        <v>3083</v>
      </c>
      <c r="G2139" s="133" t="s">
        <v>3879</v>
      </c>
      <c r="H2139" s="133">
        <f>VLOOKUP(G2139,'packing mapping'!A:B,2,0)</f>
        <v>20</v>
      </c>
      <c r="I2139" s="137">
        <v>1836880</v>
      </c>
      <c r="J2139" s="132">
        <f t="shared" si="66"/>
        <v>91844</v>
      </c>
    </row>
    <row r="2140" spans="1:10">
      <c r="A2140" s="115" t="s">
        <v>1017</v>
      </c>
      <c r="B2140" s="115" t="s">
        <v>1018</v>
      </c>
      <c r="C2140" s="115" t="s">
        <v>1272</v>
      </c>
      <c r="D2140" s="115" t="s">
        <v>1273</v>
      </c>
      <c r="E2140" s="133" t="str">
        <f t="shared" si="67"/>
        <v>1200001056NCSS-11229 LC VN</v>
      </c>
      <c r="F2140" s="133" t="s">
        <v>3089</v>
      </c>
      <c r="G2140" s="133" t="s">
        <v>3879</v>
      </c>
      <c r="H2140" s="133">
        <f>VLOOKUP(G2140,'packing mapping'!A:B,2,0)</f>
        <v>20</v>
      </c>
      <c r="I2140" s="137">
        <v>1715490</v>
      </c>
      <c r="J2140" s="132">
        <f t="shared" si="66"/>
        <v>85774.5</v>
      </c>
    </row>
    <row r="2141" spans="1:10">
      <c r="A2141" s="115" t="s">
        <v>1017</v>
      </c>
      <c r="B2141" s="115" t="s">
        <v>1018</v>
      </c>
      <c r="C2141" s="115" t="s">
        <v>1172</v>
      </c>
      <c r="D2141" s="115" t="s">
        <v>1173</v>
      </c>
      <c r="E2141" s="133" t="str">
        <f t="shared" si="67"/>
        <v>1200001056PUH-56135 S VN</v>
      </c>
      <c r="F2141" s="133" t="s">
        <v>3040</v>
      </c>
      <c r="G2141" s="133" t="s">
        <v>3881</v>
      </c>
      <c r="H2141" s="133">
        <f>VLOOKUP(G2141,'packing mapping'!A:B,2,0)</f>
        <v>20</v>
      </c>
      <c r="I2141" s="137">
        <v>1759600</v>
      </c>
      <c r="J2141" s="132">
        <f t="shared" si="66"/>
        <v>87980</v>
      </c>
    </row>
    <row r="2142" spans="1:10">
      <c r="A2142" s="115" t="s">
        <v>1017</v>
      </c>
      <c r="B2142" s="115" t="s">
        <v>1018</v>
      </c>
      <c r="C2142" s="115" t="s">
        <v>1294</v>
      </c>
      <c r="D2142" s="115" t="s">
        <v>1295</v>
      </c>
      <c r="E2142" s="133" t="str">
        <f t="shared" si="67"/>
        <v>1200001056PUSS-51235 VN</v>
      </c>
      <c r="F2142" s="133" t="s">
        <v>3042</v>
      </c>
      <c r="G2142" s="133" t="s">
        <v>3889</v>
      </c>
      <c r="H2142" s="133">
        <f>VLOOKUP(G2142,'packing mapping'!A:B,2,0)</f>
        <v>200</v>
      </c>
      <c r="I2142" s="137">
        <v>17507700</v>
      </c>
      <c r="J2142" s="132">
        <f t="shared" si="66"/>
        <v>87538.5</v>
      </c>
    </row>
    <row r="2143" spans="1:10">
      <c r="A2143" s="115" t="s">
        <v>1017</v>
      </c>
      <c r="B2143" s="115" t="s">
        <v>1018</v>
      </c>
      <c r="C2143" s="115" t="s">
        <v>1176</v>
      </c>
      <c r="D2143" s="115" t="s">
        <v>1177</v>
      </c>
      <c r="E2143" s="133" t="str">
        <f t="shared" si="67"/>
        <v>1200001056PUSS-51235 VN</v>
      </c>
      <c r="F2143" s="133" t="s">
        <v>3042</v>
      </c>
      <c r="G2143" s="133" t="s">
        <v>3881</v>
      </c>
      <c r="H2143" s="133">
        <f>VLOOKUP(G2143,'packing mapping'!A:B,2,0)</f>
        <v>20</v>
      </c>
      <c r="I2143" s="137">
        <v>1801590</v>
      </c>
      <c r="J2143" s="132">
        <f t="shared" si="66"/>
        <v>90079.5</v>
      </c>
    </row>
    <row r="2144" spans="1:10">
      <c r="A2144" s="115" t="s">
        <v>1017</v>
      </c>
      <c r="B2144" s="115" t="s">
        <v>1018</v>
      </c>
      <c r="C2144" s="115" t="s">
        <v>1304</v>
      </c>
      <c r="D2144" s="115" t="s">
        <v>1305</v>
      </c>
      <c r="E2144" s="133" t="str">
        <f t="shared" si="67"/>
        <v>1200001056GZ-12700 N BLACK VN</v>
      </c>
      <c r="F2144" s="133" t="s">
        <v>3103</v>
      </c>
      <c r="G2144" s="133" t="s">
        <v>3883</v>
      </c>
      <c r="H2144" s="133">
        <f>VLOOKUP(G2144,'packing mapping'!A:B,2,0)</f>
        <v>4</v>
      </c>
      <c r="I2144" s="137">
        <v>1117076</v>
      </c>
      <c r="J2144" s="132">
        <f t="shared" si="66"/>
        <v>279269</v>
      </c>
    </row>
    <row r="2145" spans="1:10">
      <c r="A2145" s="115" t="s">
        <v>1017</v>
      </c>
      <c r="B2145" s="115" t="s">
        <v>1018</v>
      </c>
      <c r="C2145" s="115" t="s">
        <v>1308</v>
      </c>
      <c r="D2145" s="115" t="s">
        <v>1309</v>
      </c>
      <c r="E2145" s="133" t="str">
        <f t="shared" si="67"/>
        <v>1200001056GZ-12700 N YELLOW</v>
      </c>
      <c r="F2145" s="133" t="s">
        <v>3105</v>
      </c>
      <c r="G2145" s="133" t="s">
        <v>3883</v>
      </c>
      <c r="H2145" s="133">
        <f>VLOOKUP(G2145,'packing mapping'!A:B,2,0)</f>
        <v>4</v>
      </c>
      <c r="I2145" s="137">
        <v>1155420</v>
      </c>
      <c r="J2145" s="132">
        <f t="shared" si="66"/>
        <v>288855</v>
      </c>
    </row>
    <row r="2146" spans="1:10">
      <c r="A2146" s="115" t="s">
        <v>1017</v>
      </c>
      <c r="B2146" s="115" t="s">
        <v>1018</v>
      </c>
      <c r="C2146" s="115" t="s">
        <v>1798</v>
      </c>
      <c r="D2146" s="115" t="s">
        <v>1799</v>
      </c>
      <c r="E2146" s="133" t="str">
        <f t="shared" si="67"/>
        <v>1200001056GZ-12700 N VAN DYKE BROWN VN</v>
      </c>
      <c r="F2146" s="133" t="s">
        <v>3324</v>
      </c>
      <c r="G2146" s="133" t="s">
        <v>3883</v>
      </c>
      <c r="H2146" s="133">
        <f>VLOOKUP(G2146,'packing mapping'!A:B,2,0)</f>
        <v>4</v>
      </c>
      <c r="I2146" s="137">
        <v>1150128</v>
      </c>
      <c r="J2146" s="132">
        <f t="shared" si="66"/>
        <v>287532</v>
      </c>
    </row>
    <row r="2147" spans="1:10">
      <c r="A2147" s="115" t="s">
        <v>1017</v>
      </c>
      <c r="B2147" s="115" t="s">
        <v>1018</v>
      </c>
      <c r="C2147" s="115" t="s">
        <v>1494</v>
      </c>
      <c r="D2147" s="115" t="s">
        <v>1495</v>
      </c>
      <c r="E2147" s="133" t="str">
        <f t="shared" si="67"/>
        <v>1200001056NCL-11301 AC CLEAR 10 VN</v>
      </c>
      <c r="F2147" s="133" t="s">
        <v>3188</v>
      </c>
      <c r="G2147" s="133" t="s">
        <v>3879</v>
      </c>
      <c r="H2147" s="133">
        <f>VLOOKUP(G2147,'packing mapping'!A:B,2,0)</f>
        <v>20</v>
      </c>
      <c r="I2147" s="137">
        <v>2189680</v>
      </c>
      <c r="J2147" s="132">
        <f t="shared" si="66"/>
        <v>109484</v>
      </c>
    </row>
    <row r="2148" spans="1:10">
      <c r="A2148" s="115" t="s">
        <v>1017</v>
      </c>
      <c r="B2148" s="115" t="s">
        <v>1018</v>
      </c>
      <c r="C2148" s="115" t="s">
        <v>1324</v>
      </c>
      <c r="D2148" s="115" t="s">
        <v>1325</v>
      </c>
      <c r="E2148" s="133" t="str">
        <f t="shared" si="67"/>
        <v>1200001056DP-12129 LC BLACK VN</v>
      </c>
      <c r="F2148" s="133" t="s">
        <v>3113</v>
      </c>
      <c r="G2148" s="133" t="s">
        <v>3881</v>
      </c>
      <c r="H2148" s="133">
        <f>VLOOKUP(G2148,'packing mapping'!A:B,2,0)</f>
        <v>20</v>
      </c>
      <c r="I2148" s="137">
        <v>2114700</v>
      </c>
      <c r="J2148" s="132">
        <f t="shared" si="66"/>
        <v>105735</v>
      </c>
    </row>
    <row r="2149" spans="1:10">
      <c r="A2149" s="115" t="s">
        <v>1017</v>
      </c>
      <c r="B2149" s="115" t="s">
        <v>1018</v>
      </c>
      <c r="C2149" s="115" t="s">
        <v>2176</v>
      </c>
      <c r="D2149" s="115" t="s">
        <v>2177</v>
      </c>
      <c r="E2149" s="133" t="str">
        <f t="shared" si="67"/>
        <v>1200001056PG-13900 WHITE 02 VN</v>
      </c>
      <c r="F2149" s="133" t="s">
        <v>3502</v>
      </c>
      <c r="G2149" s="133" t="s">
        <v>3881</v>
      </c>
      <c r="H2149" s="133">
        <f>VLOOKUP(G2149,'packing mapping'!A:B,2,0)</f>
        <v>20</v>
      </c>
      <c r="I2149" s="137">
        <v>1616370</v>
      </c>
      <c r="J2149" s="132">
        <f t="shared" si="66"/>
        <v>80818.5</v>
      </c>
    </row>
    <row r="2150" spans="1:10">
      <c r="A2150" s="115" t="s">
        <v>1017</v>
      </c>
      <c r="B2150" s="115" t="s">
        <v>1018</v>
      </c>
      <c r="C2150" s="115" t="s">
        <v>2798</v>
      </c>
      <c r="D2150" s="115" t="s">
        <v>2799</v>
      </c>
      <c r="E2150" s="133" t="str">
        <f t="shared" si="67"/>
        <v>1200001056NCSS-11231 VN</v>
      </c>
      <c r="F2150" s="133" t="s">
        <v>3771</v>
      </c>
      <c r="G2150" s="133" t="s">
        <v>3882</v>
      </c>
      <c r="H2150" s="133">
        <f>VLOOKUP(G2150,'packing mapping'!A:B,2,0)</f>
        <v>18</v>
      </c>
      <c r="I2150" s="137">
        <v>1686024</v>
      </c>
      <c r="J2150" s="132">
        <f t="shared" si="66"/>
        <v>93668</v>
      </c>
    </row>
    <row r="2151" spans="1:10">
      <c r="A2151" s="115" t="s">
        <v>1017</v>
      </c>
      <c r="B2151" s="115" t="s">
        <v>1018</v>
      </c>
      <c r="C2151" s="115" t="s">
        <v>1808</v>
      </c>
      <c r="D2151" s="115" t="s">
        <v>1809</v>
      </c>
      <c r="E2151" s="133" t="str">
        <f t="shared" si="67"/>
        <v>1200001056THNC-51</v>
      </c>
      <c r="F2151" s="133" t="s">
        <v>3328</v>
      </c>
      <c r="G2151" s="133" t="s">
        <v>3884</v>
      </c>
      <c r="H2151" s="133">
        <f>VLOOKUP(G2151,'packing mapping'!A:B,2,0)</f>
        <v>200</v>
      </c>
      <c r="I2151" s="137">
        <v>11398800</v>
      </c>
      <c r="J2151" s="132">
        <f t="shared" si="66"/>
        <v>56994</v>
      </c>
    </row>
    <row r="2152" spans="1:10">
      <c r="A2152" s="115" t="s">
        <v>1017</v>
      </c>
      <c r="B2152" s="115" t="s">
        <v>1018</v>
      </c>
      <c r="C2152" s="115" t="s">
        <v>1510</v>
      </c>
      <c r="D2152" s="115" t="s">
        <v>1511</v>
      </c>
      <c r="E2152" s="133" t="str">
        <f t="shared" si="67"/>
        <v>1200001056DP-12130 WHITE VN</v>
      </c>
      <c r="F2152" s="133" t="s">
        <v>3195</v>
      </c>
      <c r="G2152" s="133" t="s">
        <v>3882</v>
      </c>
      <c r="H2152" s="133">
        <f>VLOOKUP(G2152,'packing mapping'!A:B,2,0)</f>
        <v>18</v>
      </c>
      <c r="I2152" s="137">
        <v>1468530</v>
      </c>
      <c r="J2152" s="132">
        <f t="shared" si="66"/>
        <v>81585</v>
      </c>
    </row>
    <row r="2153" spans="1:10">
      <c r="A2153" s="115" t="s">
        <v>1017</v>
      </c>
      <c r="B2153" s="115" t="s">
        <v>1018</v>
      </c>
      <c r="C2153" s="115" t="s">
        <v>2800</v>
      </c>
      <c r="D2153" s="115" t="s">
        <v>2801</v>
      </c>
      <c r="E2153" s="133" t="str">
        <f t="shared" si="67"/>
        <v>1200001056NCL-11331 CLEAR 30 VN</v>
      </c>
      <c r="F2153" s="133" t="s">
        <v>3772</v>
      </c>
      <c r="G2153" s="133" t="s">
        <v>3882</v>
      </c>
      <c r="H2153" s="133">
        <f>VLOOKUP(G2153,'packing mapping'!A:B,2,0)</f>
        <v>18</v>
      </c>
      <c r="I2153" s="137">
        <v>1843218</v>
      </c>
      <c r="J2153" s="132">
        <f t="shared" si="66"/>
        <v>102401</v>
      </c>
    </row>
    <row r="2154" spans="1:10">
      <c r="A2154" s="115" t="s">
        <v>1017</v>
      </c>
      <c r="B2154" s="115" t="s">
        <v>1018</v>
      </c>
      <c r="C2154" s="115" t="s">
        <v>2802</v>
      </c>
      <c r="D2154" s="115" t="s">
        <v>2803</v>
      </c>
      <c r="E2154" s="133" t="str">
        <f t="shared" si="67"/>
        <v>1200001056NCL-11331 CLEAR 20 VN</v>
      </c>
      <c r="F2154" s="133" t="s">
        <v>3773</v>
      </c>
      <c r="G2154" s="133" t="s">
        <v>3882</v>
      </c>
      <c r="H2154" s="133">
        <f>VLOOKUP(G2154,'packing mapping'!A:B,2,0)</f>
        <v>18</v>
      </c>
      <c r="I2154" s="137">
        <v>1828908</v>
      </c>
      <c r="J2154" s="132">
        <f t="shared" si="66"/>
        <v>101606</v>
      </c>
    </row>
    <row r="2155" spans="1:10">
      <c r="A2155" s="115" t="s">
        <v>1017</v>
      </c>
      <c r="B2155" s="115" t="s">
        <v>1018</v>
      </c>
      <c r="C2155" s="115" t="s">
        <v>2804</v>
      </c>
      <c r="D2155" s="115" t="s">
        <v>2805</v>
      </c>
      <c r="E2155" s="133" t="str">
        <f t="shared" si="67"/>
        <v>1200001056NCL-11331 CLEAR 05 VN</v>
      </c>
      <c r="F2155" s="133" t="s">
        <v>3774</v>
      </c>
      <c r="G2155" s="133" t="s">
        <v>3882</v>
      </c>
      <c r="H2155" s="133">
        <f>VLOOKUP(G2155,'packing mapping'!A:B,2,0)</f>
        <v>18</v>
      </c>
      <c r="I2155" s="137">
        <v>1466640</v>
      </c>
      <c r="J2155" s="132">
        <f t="shared" si="66"/>
        <v>81480</v>
      </c>
    </row>
    <row r="2156" spans="1:10">
      <c r="A2156" s="115" t="s">
        <v>1017</v>
      </c>
      <c r="B2156" s="115" t="s">
        <v>1018</v>
      </c>
      <c r="C2156" s="115" t="s">
        <v>2806</v>
      </c>
      <c r="D2156" s="115" t="s">
        <v>2807</v>
      </c>
      <c r="E2156" s="133" t="str">
        <f t="shared" si="67"/>
        <v>1200001056NCL-11331 CLEAR 10 VN</v>
      </c>
      <c r="F2156" s="133" t="s">
        <v>3775</v>
      </c>
      <c r="G2156" s="133" t="s">
        <v>3882</v>
      </c>
      <c r="H2156" s="133">
        <f>VLOOKUP(G2156,'packing mapping'!A:B,2,0)</f>
        <v>18</v>
      </c>
      <c r="I2156" s="137">
        <v>1762236</v>
      </c>
      <c r="J2156" s="132">
        <f t="shared" si="66"/>
        <v>97902</v>
      </c>
    </row>
    <row r="2157" spans="1:10">
      <c r="A2157" s="115" t="s">
        <v>1017</v>
      </c>
      <c r="B2157" s="115" t="s">
        <v>1018</v>
      </c>
      <c r="C2157" s="115" t="s">
        <v>2712</v>
      </c>
      <c r="D2157" s="115" t="s">
        <v>2713</v>
      </c>
      <c r="E2157" s="133" t="str">
        <f t="shared" si="67"/>
        <v>1200001056THNC-52 VN</v>
      </c>
      <c r="F2157" s="133" t="s">
        <v>3728</v>
      </c>
      <c r="G2157" s="133" t="s">
        <v>3884</v>
      </c>
      <c r="H2157" s="133">
        <f>VLOOKUP(G2157,'packing mapping'!A:B,2,0)</f>
        <v>200</v>
      </c>
      <c r="I2157" s="137">
        <v>11527600</v>
      </c>
      <c r="J2157" s="132">
        <f t="shared" si="66"/>
        <v>57638</v>
      </c>
    </row>
    <row r="2158" spans="1:10">
      <c r="A2158" s="115" t="s">
        <v>1069</v>
      </c>
      <c r="B2158" s="115" t="s">
        <v>1070</v>
      </c>
      <c r="C2158" s="115" t="s">
        <v>1244</v>
      </c>
      <c r="D2158" s="115" t="s">
        <v>1245</v>
      </c>
      <c r="E2158" s="133" t="str">
        <f t="shared" si="67"/>
        <v>1200001110TOL-76114 W VN</v>
      </c>
      <c r="F2158" s="133" t="s">
        <v>3075</v>
      </c>
      <c r="G2158" s="133" t="s">
        <v>3880</v>
      </c>
      <c r="H2158" s="133">
        <f>VLOOKUP(G2158,'packing mapping'!A:B,2,0)</f>
        <v>20</v>
      </c>
      <c r="I2158" s="137">
        <v>1663800</v>
      </c>
      <c r="J2158" s="132">
        <f t="shared" si="66"/>
        <v>83190</v>
      </c>
    </row>
    <row r="2159" spans="1:10">
      <c r="A2159" s="115" t="s">
        <v>1069</v>
      </c>
      <c r="B2159" s="115" t="s">
        <v>1070</v>
      </c>
      <c r="C2159" s="115" t="s">
        <v>1546</v>
      </c>
      <c r="D2159" s="115" t="s">
        <v>1547</v>
      </c>
      <c r="E2159" s="133" t="str">
        <f t="shared" si="67"/>
        <v>1200001110TOL-76301 N CLEAR BASE VN</v>
      </c>
      <c r="F2159" s="133" t="s">
        <v>3213</v>
      </c>
      <c r="G2159" s="133" t="s">
        <v>3880</v>
      </c>
      <c r="H2159" s="133">
        <f>VLOOKUP(G2159,'packing mapping'!A:B,2,0)</f>
        <v>20</v>
      </c>
      <c r="I2159" s="137">
        <v>1965400</v>
      </c>
      <c r="J2159" s="132">
        <f t="shared" si="66"/>
        <v>98270</v>
      </c>
    </row>
    <row r="2160" spans="1:10">
      <c r="A2160" s="115" t="s">
        <v>1069</v>
      </c>
      <c r="B2160" s="115" t="s">
        <v>1070</v>
      </c>
      <c r="C2160" s="115" t="s">
        <v>1554</v>
      </c>
      <c r="D2160" s="115" t="s">
        <v>1555</v>
      </c>
      <c r="E2160" s="133" t="str">
        <f t="shared" si="67"/>
        <v>1200001110EQ-10200 MTT 01 TM VN</v>
      </c>
      <c r="F2160" s="133" t="s">
        <v>3217</v>
      </c>
      <c r="G2160" s="133" t="s">
        <v>3880</v>
      </c>
      <c r="H2160" s="133">
        <f>VLOOKUP(G2160,'packing mapping'!A:B,2,0)</f>
        <v>20</v>
      </c>
      <c r="I2160" s="137">
        <v>2209800</v>
      </c>
      <c r="J2160" s="132">
        <f t="shared" si="66"/>
        <v>110490</v>
      </c>
    </row>
    <row r="2161" spans="1:10">
      <c r="A2161" s="115" t="s">
        <v>1069</v>
      </c>
      <c r="B2161" s="115" t="s">
        <v>1070</v>
      </c>
      <c r="C2161" s="115" t="s">
        <v>1590</v>
      </c>
      <c r="D2161" s="115" t="s">
        <v>1591</v>
      </c>
      <c r="E2161" s="133" t="str">
        <f t="shared" si="67"/>
        <v>1200001110TOL-76301 N 2C-04 F1 VN</v>
      </c>
      <c r="F2161" s="133" t="s">
        <v>3233</v>
      </c>
      <c r="G2161" s="133" t="s">
        <v>3895</v>
      </c>
      <c r="H2161" s="133">
        <f>VLOOKUP(G2161,'packing mapping'!A:B,2,0)</f>
        <v>16</v>
      </c>
      <c r="I2161" s="137">
        <v>1874720</v>
      </c>
      <c r="J2161" s="132">
        <f t="shared" si="66"/>
        <v>117170</v>
      </c>
    </row>
    <row r="2162" spans="1:10">
      <c r="A2162" s="115" t="s">
        <v>1069</v>
      </c>
      <c r="B2162" s="115" t="s">
        <v>1070</v>
      </c>
      <c r="C2162" s="115" t="s">
        <v>2808</v>
      </c>
      <c r="D2162" s="115" t="s">
        <v>2809</v>
      </c>
      <c r="E2162" s="133" t="str">
        <f t="shared" si="67"/>
        <v>1200001110TOL-76301 N 2C-04 F1 VN</v>
      </c>
      <c r="F2162" s="133" t="s">
        <v>3233</v>
      </c>
      <c r="G2162" s="133" t="s">
        <v>3899</v>
      </c>
      <c r="H2162" s="133">
        <f>VLOOKUP(G2162,'packing mapping'!A:B,2,0)</f>
        <v>160</v>
      </c>
      <c r="I2162" s="137">
        <v>18134400</v>
      </c>
      <c r="J2162" s="132">
        <f t="shared" si="66"/>
        <v>113340</v>
      </c>
    </row>
    <row r="2163" spans="1:10">
      <c r="A2163" s="115" t="s">
        <v>1069</v>
      </c>
      <c r="B2163" s="115" t="s">
        <v>1070</v>
      </c>
      <c r="C2163" s="115" t="s">
        <v>2810</v>
      </c>
      <c r="D2163" s="115" t="s">
        <v>2811</v>
      </c>
      <c r="E2163" s="133" t="str">
        <f t="shared" si="67"/>
        <v>1200001110WBP-64130 EX 2C-W.WASH VN</v>
      </c>
      <c r="F2163" s="133" t="s">
        <v>3776</v>
      </c>
      <c r="G2163" s="133" t="s">
        <v>3908</v>
      </c>
      <c r="H2163" s="133">
        <f>VLOOKUP(G2163,'packing mapping'!A:B,2,0)</f>
        <v>150</v>
      </c>
      <c r="I2163" s="137">
        <v>15445500</v>
      </c>
      <c r="J2163" s="132">
        <f t="shared" si="66"/>
        <v>102970</v>
      </c>
    </row>
    <row r="2164" spans="1:10">
      <c r="A2164" s="115" t="s">
        <v>1069</v>
      </c>
      <c r="B2164" s="115" t="s">
        <v>1070</v>
      </c>
      <c r="C2164" s="115" t="s">
        <v>2812</v>
      </c>
      <c r="D2164" s="115" t="s">
        <v>2813</v>
      </c>
      <c r="E2164" s="133" t="str">
        <f t="shared" si="67"/>
        <v>1200001110WBC-64230 EX 2C-W.WASH 10 VN</v>
      </c>
      <c r="F2164" s="133" t="s">
        <v>3777</v>
      </c>
      <c r="G2164" s="133" t="s">
        <v>3882</v>
      </c>
      <c r="H2164" s="133">
        <f>VLOOKUP(G2164,'packing mapping'!A:B,2,0)</f>
        <v>18</v>
      </c>
      <c r="I2164" s="137">
        <v>2720880</v>
      </c>
      <c r="J2164" s="132">
        <f t="shared" si="66"/>
        <v>151160</v>
      </c>
    </row>
    <row r="2165" spans="1:10">
      <c r="A2165" s="115" t="s">
        <v>1069</v>
      </c>
      <c r="B2165" s="115" t="s">
        <v>1070</v>
      </c>
      <c r="C2165" s="115" t="s">
        <v>2814</v>
      </c>
      <c r="D2165" s="115" t="s">
        <v>2815</v>
      </c>
      <c r="E2165" s="133" t="str">
        <f t="shared" si="67"/>
        <v>1200001110WBP-64120 EX BROWN 2C VN</v>
      </c>
      <c r="F2165" s="133" t="s">
        <v>3778</v>
      </c>
      <c r="G2165" s="133" t="s">
        <v>3882</v>
      </c>
      <c r="H2165" s="133">
        <f>VLOOKUP(G2165,'packing mapping'!A:B,2,0)</f>
        <v>18</v>
      </c>
      <c r="I2165" s="137">
        <v>2040120</v>
      </c>
      <c r="J2165" s="132">
        <f t="shared" si="66"/>
        <v>113340</v>
      </c>
    </row>
    <row r="2166" spans="1:10">
      <c r="A2166" s="115" t="s">
        <v>1069</v>
      </c>
      <c r="B2166" s="115" t="s">
        <v>1070</v>
      </c>
      <c r="C2166" s="115" t="s">
        <v>2816</v>
      </c>
      <c r="D2166" s="115" t="s">
        <v>2817</v>
      </c>
      <c r="E2166" s="133" t="str">
        <f t="shared" si="67"/>
        <v>1200001110WBL-63230 EX CLEAR 10 2C VN</v>
      </c>
      <c r="F2166" s="133" t="s">
        <v>3779</v>
      </c>
      <c r="G2166" s="133" t="s">
        <v>3882</v>
      </c>
      <c r="H2166" s="133">
        <f>VLOOKUP(G2166,'packing mapping'!A:B,2,0)</f>
        <v>18</v>
      </c>
      <c r="I2166" s="137">
        <v>2446920</v>
      </c>
      <c r="J2166" s="132">
        <f t="shared" si="66"/>
        <v>135940</v>
      </c>
    </row>
    <row r="2167" spans="1:10">
      <c r="A2167" s="115" t="s">
        <v>674</v>
      </c>
      <c r="B2167" s="115" t="s">
        <v>675</v>
      </c>
      <c r="C2167" s="115" t="s">
        <v>1390</v>
      </c>
      <c r="D2167" s="115" t="s">
        <v>1391</v>
      </c>
      <c r="E2167" s="133" t="str">
        <f t="shared" si="67"/>
        <v>1200000613PUC-54205 AC WHITE 20 VN</v>
      </c>
      <c r="F2167" s="133" t="s">
        <v>3145</v>
      </c>
      <c r="G2167" s="133" t="s">
        <v>3881</v>
      </c>
      <c r="H2167" s="133">
        <f>VLOOKUP(G2167,'packing mapping'!A:B,2,0)</f>
        <v>20</v>
      </c>
      <c r="I2167" s="137">
        <v>3129000</v>
      </c>
      <c r="J2167" s="132">
        <f t="shared" si="66"/>
        <v>156450</v>
      </c>
    </row>
    <row r="2168" spans="1:10">
      <c r="A2168" s="115" t="s">
        <v>674</v>
      </c>
      <c r="B2168" s="115" t="s">
        <v>675</v>
      </c>
      <c r="C2168" s="115" t="s">
        <v>1210</v>
      </c>
      <c r="D2168" s="115" t="s">
        <v>1211</v>
      </c>
      <c r="E2168" s="133" t="str">
        <f t="shared" si="67"/>
        <v>1200000613PUH-56306 LY VN</v>
      </c>
      <c r="F2168" s="133" t="s">
        <v>3059</v>
      </c>
      <c r="G2168" s="133" t="s">
        <v>3879</v>
      </c>
      <c r="H2168" s="133">
        <f>VLOOKUP(G2168,'packing mapping'!A:B,2,0)</f>
        <v>20</v>
      </c>
      <c r="I2168" s="137">
        <v>3188400</v>
      </c>
      <c r="J2168" s="132">
        <f t="shared" si="66"/>
        <v>159420</v>
      </c>
    </row>
    <row r="2169" spans="1:10">
      <c r="A2169" s="115" t="s">
        <v>674</v>
      </c>
      <c r="B2169" s="115" t="s">
        <v>675</v>
      </c>
      <c r="C2169" s="115" t="s">
        <v>1688</v>
      </c>
      <c r="D2169" s="115" t="s">
        <v>1689</v>
      </c>
      <c r="E2169" s="133" t="str">
        <f t="shared" si="67"/>
        <v>1200000613PUL-51339 CLEAR 05 VN</v>
      </c>
      <c r="F2169" s="133" t="s">
        <v>3281</v>
      </c>
      <c r="G2169" s="133" t="s">
        <v>3879</v>
      </c>
      <c r="H2169" s="133">
        <f>VLOOKUP(G2169,'packing mapping'!A:B,2,0)</f>
        <v>20</v>
      </c>
      <c r="I2169" s="137">
        <v>2087400</v>
      </c>
      <c r="J2169" s="132">
        <f t="shared" si="66"/>
        <v>104370</v>
      </c>
    </row>
    <row r="2170" spans="1:10">
      <c r="A2170" s="115" t="s">
        <v>674</v>
      </c>
      <c r="B2170" s="115" t="s">
        <v>675</v>
      </c>
      <c r="C2170" s="115" t="s">
        <v>1396</v>
      </c>
      <c r="D2170" s="115" t="s">
        <v>1397</v>
      </c>
      <c r="E2170" s="133" t="str">
        <f t="shared" si="67"/>
        <v>1200000613PUL-53306 AC EX CLEAR 10 VN</v>
      </c>
      <c r="F2170" s="133" t="s">
        <v>3148</v>
      </c>
      <c r="G2170" s="133" t="s">
        <v>3879</v>
      </c>
      <c r="H2170" s="133">
        <f>VLOOKUP(G2170,'packing mapping'!A:B,2,0)</f>
        <v>20</v>
      </c>
      <c r="I2170" s="137">
        <v>3337000</v>
      </c>
      <c r="J2170" s="132">
        <f t="shared" si="66"/>
        <v>166850</v>
      </c>
    </row>
    <row r="2171" spans="1:10">
      <c r="A2171" s="115" t="s">
        <v>674</v>
      </c>
      <c r="B2171" s="115" t="s">
        <v>675</v>
      </c>
      <c r="C2171" s="115" t="s">
        <v>1212</v>
      </c>
      <c r="D2171" s="115" t="s">
        <v>1213</v>
      </c>
      <c r="E2171" s="133" t="str">
        <f t="shared" si="67"/>
        <v>1200000613PUL-53306 AC EX CLEAR 20 VN</v>
      </c>
      <c r="F2171" s="133" t="s">
        <v>3060</v>
      </c>
      <c r="G2171" s="133" t="s">
        <v>3879</v>
      </c>
      <c r="H2171" s="133">
        <f>VLOOKUP(G2171,'packing mapping'!A:B,2,0)</f>
        <v>20</v>
      </c>
      <c r="I2171" s="137">
        <v>3141400</v>
      </c>
      <c r="J2171" s="132">
        <f t="shared" si="66"/>
        <v>157070</v>
      </c>
    </row>
    <row r="2172" spans="1:10">
      <c r="A2172" s="115" t="s">
        <v>674</v>
      </c>
      <c r="B2172" s="115" t="s">
        <v>675</v>
      </c>
      <c r="C2172" s="115" t="s">
        <v>1476</v>
      </c>
      <c r="D2172" s="115" t="s">
        <v>1477</v>
      </c>
      <c r="E2172" s="133" t="str">
        <f t="shared" si="67"/>
        <v>1200000613PUP-52141 WHITE 01 VN</v>
      </c>
      <c r="F2172" s="133" t="s">
        <v>3184</v>
      </c>
      <c r="G2172" s="133" t="s">
        <v>3881</v>
      </c>
      <c r="H2172" s="133">
        <f>VLOOKUP(G2172,'packing mapping'!A:B,2,0)</f>
        <v>20</v>
      </c>
      <c r="I2172" s="137">
        <v>2152800</v>
      </c>
      <c r="J2172" s="132">
        <f t="shared" si="66"/>
        <v>107640</v>
      </c>
    </row>
    <row r="2173" spans="1:10">
      <c r="A2173" s="115" t="s">
        <v>674</v>
      </c>
      <c r="B2173" s="115" t="s">
        <v>675</v>
      </c>
      <c r="C2173" s="115" t="s">
        <v>1220</v>
      </c>
      <c r="D2173" s="115" t="s">
        <v>1221</v>
      </c>
      <c r="E2173" s="133" t="str">
        <f t="shared" si="67"/>
        <v>1200000613SST-11100 C10 BLACK</v>
      </c>
      <c r="F2173" s="133" t="s">
        <v>3064</v>
      </c>
      <c r="G2173" s="133" t="s">
        <v>3883</v>
      </c>
      <c r="H2173" s="133">
        <f>VLOOKUP(G2173,'packing mapping'!A:B,2,0)</f>
        <v>4</v>
      </c>
      <c r="I2173" s="137">
        <v>1592240</v>
      </c>
      <c r="J2173" s="132">
        <f t="shared" si="66"/>
        <v>398060</v>
      </c>
    </row>
    <row r="2174" spans="1:10">
      <c r="A2174" s="115" t="s">
        <v>674</v>
      </c>
      <c r="B2174" s="115" t="s">
        <v>675</v>
      </c>
      <c r="C2174" s="115" t="s">
        <v>1222</v>
      </c>
      <c r="D2174" s="115" t="s">
        <v>1223</v>
      </c>
      <c r="E2174" s="133" t="str">
        <f t="shared" si="67"/>
        <v>1200000613SST-11100 C10 BLUE</v>
      </c>
      <c r="F2174" s="133" t="s">
        <v>3065</v>
      </c>
      <c r="G2174" s="133" t="s">
        <v>3883</v>
      </c>
      <c r="H2174" s="133">
        <f>VLOOKUP(G2174,'packing mapping'!A:B,2,0)</f>
        <v>4</v>
      </c>
      <c r="I2174" s="137">
        <v>2069040</v>
      </c>
      <c r="J2174" s="132">
        <f t="shared" si="66"/>
        <v>517260</v>
      </c>
    </row>
    <row r="2175" spans="1:10">
      <c r="A2175" s="115" t="s">
        <v>674</v>
      </c>
      <c r="B2175" s="115" t="s">
        <v>675</v>
      </c>
      <c r="C2175" s="115" t="s">
        <v>1224</v>
      </c>
      <c r="D2175" s="115" t="s">
        <v>1225</v>
      </c>
      <c r="E2175" s="133" t="str">
        <f t="shared" si="67"/>
        <v>1200000613SST-11100 C10 ORANGE</v>
      </c>
      <c r="F2175" s="133" t="s">
        <v>3066</v>
      </c>
      <c r="G2175" s="133" t="s">
        <v>3883</v>
      </c>
      <c r="H2175" s="133">
        <f>VLOOKUP(G2175,'packing mapping'!A:B,2,0)</f>
        <v>4</v>
      </c>
      <c r="I2175" s="137">
        <v>727560</v>
      </c>
      <c r="J2175" s="132">
        <f t="shared" si="66"/>
        <v>181890</v>
      </c>
    </row>
    <row r="2176" spans="1:10">
      <c r="A2176" s="115" t="s">
        <v>674</v>
      </c>
      <c r="B2176" s="115" t="s">
        <v>675</v>
      </c>
      <c r="C2176" s="115" t="s">
        <v>1226</v>
      </c>
      <c r="D2176" s="115" t="s">
        <v>1227</v>
      </c>
      <c r="E2176" s="133" t="str">
        <f t="shared" si="67"/>
        <v>1200000613SST-11100 C10 RED</v>
      </c>
      <c r="F2176" s="133" t="s">
        <v>3067</v>
      </c>
      <c r="G2176" s="133" t="s">
        <v>3883</v>
      </c>
      <c r="H2176" s="133">
        <f>VLOOKUP(G2176,'packing mapping'!A:B,2,0)</f>
        <v>4</v>
      </c>
      <c r="I2176" s="137">
        <v>1114520</v>
      </c>
      <c r="J2176" s="132">
        <f t="shared" si="66"/>
        <v>278630</v>
      </c>
    </row>
    <row r="2177" spans="1:10">
      <c r="A2177" s="115" t="s">
        <v>674</v>
      </c>
      <c r="B2177" s="115" t="s">
        <v>675</v>
      </c>
      <c r="C2177" s="115" t="s">
        <v>1228</v>
      </c>
      <c r="D2177" s="115" t="s">
        <v>1229</v>
      </c>
      <c r="E2177" s="133" t="str">
        <f t="shared" si="67"/>
        <v>1200000613SST-11100 C10 YELLOW</v>
      </c>
      <c r="F2177" s="133" t="s">
        <v>3068</v>
      </c>
      <c r="G2177" s="133" t="s">
        <v>3883</v>
      </c>
      <c r="H2177" s="133">
        <f>VLOOKUP(G2177,'packing mapping'!A:B,2,0)</f>
        <v>4</v>
      </c>
      <c r="I2177" s="137">
        <v>689400</v>
      </c>
      <c r="J2177" s="132">
        <f t="shared" si="66"/>
        <v>172350</v>
      </c>
    </row>
    <row r="2178" spans="1:10">
      <c r="A2178" s="115" t="s">
        <v>674</v>
      </c>
      <c r="B2178" s="115" t="s">
        <v>675</v>
      </c>
      <c r="C2178" s="115" t="s">
        <v>1398</v>
      </c>
      <c r="D2178" s="115" t="s">
        <v>1399</v>
      </c>
      <c r="E2178" s="133" t="str">
        <f t="shared" si="67"/>
        <v>1200000613THC-73100 402 VN</v>
      </c>
      <c r="F2178" s="133" t="s">
        <v>3149</v>
      </c>
      <c r="G2178" s="133" t="s">
        <v>3884</v>
      </c>
      <c r="H2178" s="133">
        <f>VLOOKUP(G2178,'packing mapping'!A:B,2,0)</f>
        <v>200</v>
      </c>
      <c r="I2178" s="137">
        <v>10092000</v>
      </c>
      <c r="J2178" s="132">
        <f t="shared" ref="J2178:J2241" si="68">I2178/H2178</f>
        <v>50460</v>
      </c>
    </row>
    <row r="2179" spans="1:10">
      <c r="A2179" s="115" t="s">
        <v>674</v>
      </c>
      <c r="B2179" s="115" t="s">
        <v>675</v>
      </c>
      <c r="C2179" s="115" t="s">
        <v>1400</v>
      </c>
      <c r="D2179" s="115" t="s">
        <v>1401</v>
      </c>
      <c r="E2179" s="133" t="str">
        <f t="shared" ref="E2179:E2242" si="69">A2179&amp;F2179</f>
        <v>1200000613THC-73100-007 VN</v>
      </c>
      <c r="F2179" s="133" t="s">
        <v>3150</v>
      </c>
      <c r="G2179" s="133" t="s">
        <v>3884</v>
      </c>
      <c r="H2179" s="133">
        <f>VLOOKUP(G2179,'packing mapping'!A:B,2,0)</f>
        <v>200</v>
      </c>
      <c r="I2179" s="137">
        <v>13782000</v>
      </c>
      <c r="J2179" s="132">
        <f t="shared" si="68"/>
        <v>68910</v>
      </c>
    </row>
    <row r="2180" spans="1:10">
      <c r="A2180" s="115" t="s">
        <v>674</v>
      </c>
      <c r="B2180" s="115" t="s">
        <v>675</v>
      </c>
      <c r="C2180" s="115" t="s">
        <v>1238</v>
      </c>
      <c r="D2180" s="115" t="s">
        <v>1239</v>
      </c>
      <c r="E2180" s="133" t="str">
        <f t="shared" si="69"/>
        <v>1200000613THGZ-72200 VN</v>
      </c>
      <c r="F2180" s="133" t="s">
        <v>3073</v>
      </c>
      <c r="G2180" s="133" t="s">
        <v>3880</v>
      </c>
      <c r="H2180" s="133">
        <f>VLOOKUP(G2180,'packing mapping'!A:B,2,0)</f>
        <v>20</v>
      </c>
      <c r="I2180" s="137">
        <v>1187400</v>
      </c>
      <c r="J2180" s="132">
        <f t="shared" si="68"/>
        <v>59370</v>
      </c>
    </row>
    <row r="2181" spans="1:10">
      <c r="A2181" s="115" t="s">
        <v>674</v>
      </c>
      <c r="B2181" s="115" t="s">
        <v>675</v>
      </c>
      <c r="C2181" s="115" t="s">
        <v>1242</v>
      </c>
      <c r="D2181" s="115" t="s">
        <v>1243</v>
      </c>
      <c r="E2181" s="133" t="str">
        <f t="shared" si="69"/>
        <v>1200000613THPU-71306 ST VN</v>
      </c>
      <c r="F2181" s="133" t="s">
        <v>3039</v>
      </c>
      <c r="G2181" s="133" t="s">
        <v>3884</v>
      </c>
      <c r="H2181" s="133">
        <f>VLOOKUP(G2181,'packing mapping'!A:B,2,0)</f>
        <v>200</v>
      </c>
      <c r="I2181" s="137">
        <v>10782000</v>
      </c>
      <c r="J2181" s="132">
        <f t="shared" si="68"/>
        <v>53910</v>
      </c>
    </row>
    <row r="2182" spans="1:10">
      <c r="A2182" s="115" t="s">
        <v>674</v>
      </c>
      <c r="B2182" s="115" t="s">
        <v>675</v>
      </c>
      <c r="C2182" s="115" t="s">
        <v>1406</v>
      </c>
      <c r="D2182" s="115" t="s">
        <v>1407</v>
      </c>
      <c r="E2182" s="133" t="str">
        <f t="shared" si="69"/>
        <v>1200000613PUH-56133 S VN</v>
      </c>
      <c r="F2182" s="133" t="s">
        <v>3152</v>
      </c>
      <c r="G2182" s="133" t="s">
        <v>3881</v>
      </c>
      <c r="H2182" s="133">
        <f>VLOOKUP(G2182,'packing mapping'!A:B,2,0)</f>
        <v>20</v>
      </c>
      <c r="I2182" s="137">
        <v>2837600</v>
      </c>
      <c r="J2182" s="132">
        <f t="shared" si="68"/>
        <v>141880</v>
      </c>
    </row>
    <row r="2183" spans="1:10">
      <c r="A2183" s="115" t="s">
        <v>674</v>
      </c>
      <c r="B2183" s="115" t="s">
        <v>675</v>
      </c>
      <c r="C2183" s="115" t="s">
        <v>1174</v>
      </c>
      <c r="D2183" s="115" t="s">
        <v>1175</v>
      </c>
      <c r="E2183" s="133" t="str">
        <f t="shared" si="69"/>
        <v>1200000613PUH-56139 VN</v>
      </c>
      <c r="F2183" s="133" t="s">
        <v>3041</v>
      </c>
      <c r="G2183" s="133" t="s">
        <v>3881</v>
      </c>
      <c r="H2183" s="133">
        <f>VLOOKUP(G2183,'packing mapping'!A:B,2,0)</f>
        <v>20</v>
      </c>
      <c r="I2183" s="137">
        <v>2587800</v>
      </c>
      <c r="J2183" s="132">
        <f t="shared" si="68"/>
        <v>129390</v>
      </c>
    </row>
    <row r="2184" spans="1:10">
      <c r="A2184" s="115" t="s">
        <v>674</v>
      </c>
      <c r="B2184" s="115" t="s">
        <v>675</v>
      </c>
      <c r="C2184" s="115" t="s">
        <v>1408</v>
      </c>
      <c r="D2184" s="115" t="s">
        <v>1409</v>
      </c>
      <c r="E2184" s="133" t="str">
        <f t="shared" si="69"/>
        <v>1200000613PUL-51333 CLEAR 10 VN</v>
      </c>
      <c r="F2184" s="133" t="s">
        <v>3153</v>
      </c>
      <c r="G2184" s="133" t="s">
        <v>3881</v>
      </c>
      <c r="H2184" s="133">
        <f>VLOOKUP(G2184,'packing mapping'!A:B,2,0)</f>
        <v>20</v>
      </c>
      <c r="I2184" s="137">
        <v>1903200</v>
      </c>
      <c r="J2184" s="132">
        <f t="shared" si="68"/>
        <v>95160</v>
      </c>
    </row>
    <row r="2185" spans="1:10">
      <c r="A2185" s="115" t="s">
        <v>674</v>
      </c>
      <c r="B2185" s="115" t="s">
        <v>675</v>
      </c>
      <c r="C2185" s="115" t="s">
        <v>2818</v>
      </c>
      <c r="D2185" s="115" t="s">
        <v>2819</v>
      </c>
      <c r="E2185" s="133" t="str">
        <f t="shared" si="69"/>
        <v>1200000613PUL-51333 CLEAR 20 VN</v>
      </c>
      <c r="F2185" s="133" t="s">
        <v>3780</v>
      </c>
      <c r="G2185" s="133" t="s">
        <v>3881</v>
      </c>
      <c r="H2185" s="133">
        <f>VLOOKUP(G2185,'packing mapping'!A:B,2,0)</f>
        <v>20</v>
      </c>
      <c r="I2185" s="137">
        <v>1885200</v>
      </c>
      <c r="J2185" s="132">
        <f t="shared" si="68"/>
        <v>94260</v>
      </c>
    </row>
    <row r="2186" spans="1:10">
      <c r="A2186" s="115" t="s">
        <v>674</v>
      </c>
      <c r="B2186" s="115" t="s">
        <v>675</v>
      </c>
      <c r="C2186" s="115" t="s">
        <v>1296</v>
      </c>
      <c r="D2186" s="115" t="s">
        <v>1297</v>
      </c>
      <c r="E2186" s="133" t="str">
        <f t="shared" si="69"/>
        <v>1200000613RD-74106 VN</v>
      </c>
      <c r="F2186" s="133" t="s">
        <v>3099</v>
      </c>
      <c r="G2186" s="133" t="s">
        <v>3880</v>
      </c>
      <c r="H2186" s="133">
        <f>VLOOKUP(G2186,'packing mapping'!A:B,2,0)</f>
        <v>20</v>
      </c>
      <c r="I2186" s="137">
        <v>1240400</v>
      </c>
      <c r="J2186" s="132">
        <f t="shared" si="68"/>
        <v>62020</v>
      </c>
    </row>
    <row r="2187" spans="1:10">
      <c r="A2187" s="115" t="s">
        <v>674</v>
      </c>
      <c r="B2187" s="115" t="s">
        <v>675</v>
      </c>
      <c r="C2187" s="115" t="s">
        <v>2718</v>
      </c>
      <c r="D2187" s="115" t="s">
        <v>2719</v>
      </c>
      <c r="E2187" s="133" t="str">
        <f t="shared" si="69"/>
        <v>1200000613PUSS-51241 VC VN</v>
      </c>
      <c r="F2187" s="133" t="s">
        <v>3731</v>
      </c>
      <c r="G2187" s="133" t="s">
        <v>3881</v>
      </c>
      <c r="H2187" s="133">
        <f>VLOOKUP(G2187,'packing mapping'!A:B,2,0)</f>
        <v>20</v>
      </c>
      <c r="I2187" s="137">
        <v>1316800</v>
      </c>
      <c r="J2187" s="132">
        <f t="shared" si="68"/>
        <v>65840</v>
      </c>
    </row>
    <row r="2188" spans="1:10">
      <c r="A2188" s="115" t="s">
        <v>674</v>
      </c>
      <c r="B2188" s="115" t="s">
        <v>675</v>
      </c>
      <c r="C2188" s="115" t="s">
        <v>1496</v>
      </c>
      <c r="D2188" s="115" t="s">
        <v>1497</v>
      </c>
      <c r="E2188" s="133" t="str">
        <f t="shared" si="69"/>
        <v>1200000613PUH-56141 VN</v>
      </c>
      <c r="F2188" s="133" t="s">
        <v>3189</v>
      </c>
      <c r="G2188" s="133" t="s">
        <v>3881</v>
      </c>
      <c r="H2188" s="133">
        <f>VLOOKUP(G2188,'packing mapping'!A:B,2,0)</f>
        <v>20</v>
      </c>
      <c r="I2188" s="137">
        <v>2444400</v>
      </c>
      <c r="J2188" s="132">
        <f t="shared" si="68"/>
        <v>122220</v>
      </c>
    </row>
    <row r="2189" spans="1:10">
      <c r="A2189" s="115" t="s">
        <v>674</v>
      </c>
      <c r="B2189" s="115" t="s">
        <v>675</v>
      </c>
      <c r="C2189" s="115" t="s">
        <v>2820</v>
      </c>
      <c r="D2189" s="115" t="s">
        <v>2821</v>
      </c>
      <c r="E2189" s="133" t="str">
        <f t="shared" si="69"/>
        <v>1200000613SST-11100 03 VC VN</v>
      </c>
      <c r="F2189" s="133" t="s">
        <v>3781</v>
      </c>
      <c r="G2189" s="133" t="s">
        <v>3884</v>
      </c>
      <c r="H2189" s="133">
        <f>VLOOKUP(G2189,'packing mapping'!A:B,2,0)</f>
        <v>200</v>
      </c>
      <c r="I2189" s="137">
        <v>15722000</v>
      </c>
      <c r="J2189" s="132">
        <f t="shared" si="68"/>
        <v>78610</v>
      </c>
    </row>
    <row r="2190" spans="1:10">
      <c r="A2190" s="115" t="s">
        <v>674</v>
      </c>
      <c r="B2190" s="115" t="s">
        <v>675</v>
      </c>
      <c r="C2190" s="115" t="s">
        <v>2822</v>
      </c>
      <c r="D2190" s="115" t="s">
        <v>2823</v>
      </c>
      <c r="E2190" s="133" t="str">
        <f t="shared" si="69"/>
        <v>1200000613SST-11100 04 VC VN</v>
      </c>
      <c r="F2190" s="133" t="s">
        <v>3782</v>
      </c>
      <c r="G2190" s="133" t="s">
        <v>3884</v>
      </c>
      <c r="H2190" s="133">
        <f>VLOOKUP(G2190,'packing mapping'!A:B,2,0)</f>
        <v>200</v>
      </c>
      <c r="I2190" s="137">
        <v>16496000</v>
      </c>
      <c r="J2190" s="132">
        <f t="shared" si="68"/>
        <v>82480</v>
      </c>
    </row>
    <row r="2191" spans="1:10">
      <c r="A2191" s="115" t="s">
        <v>674</v>
      </c>
      <c r="B2191" s="115" t="s">
        <v>675</v>
      </c>
      <c r="C2191" s="115" t="s">
        <v>2824</v>
      </c>
      <c r="D2191" s="115" t="s">
        <v>2825</v>
      </c>
      <c r="E2191" s="133" t="str">
        <f t="shared" si="69"/>
        <v>1200000613SST-11100 05 VC VN</v>
      </c>
      <c r="F2191" s="133" t="s">
        <v>3783</v>
      </c>
      <c r="G2191" s="133" t="s">
        <v>3884</v>
      </c>
      <c r="H2191" s="133">
        <f>VLOOKUP(G2191,'packing mapping'!A:B,2,0)</f>
        <v>200</v>
      </c>
      <c r="I2191" s="137">
        <v>13308000</v>
      </c>
      <c r="J2191" s="132">
        <f t="shared" si="68"/>
        <v>66540</v>
      </c>
    </row>
    <row r="2192" spans="1:10">
      <c r="A2192" s="115" t="s">
        <v>674</v>
      </c>
      <c r="B2192" s="115" t="s">
        <v>675</v>
      </c>
      <c r="C2192" s="115" t="s">
        <v>2826</v>
      </c>
      <c r="D2192" s="115" t="s">
        <v>2827</v>
      </c>
      <c r="E2192" s="133" t="str">
        <f t="shared" si="69"/>
        <v>1200000613PUL-51333 CLEAR 40 VN</v>
      </c>
      <c r="F2192" s="133" t="s">
        <v>3784</v>
      </c>
      <c r="G2192" s="133" t="s">
        <v>3881</v>
      </c>
      <c r="H2192" s="133">
        <f>VLOOKUP(G2192,'packing mapping'!A:B,2,0)</f>
        <v>20</v>
      </c>
      <c r="I2192" s="137">
        <v>1757000</v>
      </c>
      <c r="J2192" s="132">
        <f t="shared" si="68"/>
        <v>87850</v>
      </c>
    </row>
    <row r="2193" spans="1:10">
      <c r="A2193" s="115" t="s">
        <v>674</v>
      </c>
      <c r="B2193" s="115" t="s">
        <v>675</v>
      </c>
      <c r="C2193" s="115" t="s">
        <v>2828</v>
      </c>
      <c r="D2193" s="115" t="s">
        <v>2829</v>
      </c>
      <c r="E2193" s="133" t="str">
        <f t="shared" si="69"/>
        <v>1200000613PUL-51333 CLEAR 60 VN</v>
      </c>
      <c r="F2193" s="133" t="s">
        <v>3785</v>
      </c>
      <c r="G2193" s="133" t="s">
        <v>3881</v>
      </c>
      <c r="H2193" s="133">
        <f>VLOOKUP(G2193,'packing mapping'!A:B,2,0)</f>
        <v>20</v>
      </c>
      <c r="I2193" s="137">
        <v>1716800</v>
      </c>
      <c r="J2193" s="132">
        <f t="shared" si="68"/>
        <v>85840</v>
      </c>
    </row>
    <row r="2194" spans="1:10">
      <c r="A2194" s="115" t="s">
        <v>674</v>
      </c>
      <c r="B2194" s="115" t="s">
        <v>675</v>
      </c>
      <c r="C2194" s="115" t="s">
        <v>2830</v>
      </c>
      <c r="D2194" s="115" t="s">
        <v>2831</v>
      </c>
      <c r="E2194" s="133" t="str">
        <f t="shared" si="69"/>
        <v>1200000613GZPU-21500 03 VC III VN</v>
      </c>
      <c r="F2194" s="133" t="s">
        <v>3786</v>
      </c>
      <c r="G2194" s="133" t="s">
        <v>3882</v>
      </c>
      <c r="H2194" s="133">
        <f>VLOOKUP(G2194,'packing mapping'!A:B,2,0)</f>
        <v>18</v>
      </c>
      <c r="I2194" s="137">
        <v>2938320</v>
      </c>
      <c r="J2194" s="132">
        <f t="shared" si="68"/>
        <v>163240</v>
      </c>
    </row>
    <row r="2195" spans="1:10">
      <c r="A2195" s="115" t="s">
        <v>674</v>
      </c>
      <c r="B2195" s="115" t="s">
        <v>675</v>
      </c>
      <c r="C2195" s="115" t="s">
        <v>2832</v>
      </c>
      <c r="D2195" s="115" t="s">
        <v>2833</v>
      </c>
      <c r="E2195" s="133" t="str">
        <f t="shared" si="69"/>
        <v>1200000613SST-11100 05 VC III VN</v>
      </c>
      <c r="F2195" s="133" t="s">
        <v>3787</v>
      </c>
      <c r="G2195" s="133" t="s">
        <v>3893</v>
      </c>
      <c r="H2195" s="133">
        <f>VLOOKUP(G2195,'packing mapping'!A:B,2,0)</f>
        <v>180</v>
      </c>
      <c r="I2195" s="137">
        <v>13215600</v>
      </c>
      <c r="J2195" s="132">
        <f t="shared" si="68"/>
        <v>73420</v>
      </c>
    </row>
    <row r="2196" spans="1:10">
      <c r="A2196" s="115" t="s">
        <v>674</v>
      </c>
      <c r="B2196" s="115" t="s">
        <v>675</v>
      </c>
      <c r="C2196" s="115" t="s">
        <v>2834</v>
      </c>
      <c r="D2196" s="115" t="s">
        <v>2835</v>
      </c>
      <c r="E2196" s="133" t="str">
        <f t="shared" si="69"/>
        <v>1200000613SST-11100 03 VC III VN</v>
      </c>
      <c r="F2196" s="133" t="s">
        <v>3788</v>
      </c>
      <c r="G2196" s="133" t="s">
        <v>3893</v>
      </c>
      <c r="H2196" s="133">
        <f>VLOOKUP(G2196,'packing mapping'!A:B,2,0)</f>
        <v>180</v>
      </c>
      <c r="I2196" s="137">
        <v>14149800</v>
      </c>
      <c r="J2196" s="132">
        <f t="shared" si="68"/>
        <v>78610</v>
      </c>
    </row>
    <row r="2197" spans="1:10">
      <c r="A2197" s="115" t="s">
        <v>674</v>
      </c>
      <c r="B2197" s="115" t="s">
        <v>675</v>
      </c>
      <c r="C2197" s="115" t="s">
        <v>2836</v>
      </c>
      <c r="D2197" s="115" t="s">
        <v>2837</v>
      </c>
      <c r="E2197" s="133" t="str">
        <f t="shared" si="69"/>
        <v>1200000613SST-11100 04 VC III VN</v>
      </c>
      <c r="F2197" s="133" t="s">
        <v>3789</v>
      </c>
      <c r="G2197" s="133" t="s">
        <v>3893</v>
      </c>
      <c r="H2197" s="133">
        <f>VLOOKUP(G2197,'packing mapping'!A:B,2,0)</f>
        <v>180</v>
      </c>
      <c r="I2197" s="137">
        <v>14846400</v>
      </c>
      <c r="J2197" s="132">
        <f t="shared" si="68"/>
        <v>82480</v>
      </c>
    </row>
    <row r="2198" spans="1:10">
      <c r="A2198" s="115" t="s">
        <v>674</v>
      </c>
      <c r="B2198" s="115" t="s">
        <v>675</v>
      </c>
      <c r="C2198" s="115" t="s">
        <v>1422</v>
      </c>
      <c r="D2198" s="115" t="s">
        <v>1423</v>
      </c>
      <c r="E2198" s="133" t="str">
        <f t="shared" si="69"/>
        <v>1200000613THPU-71306 WP LC VN</v>
      </c>
      <c r="F2198" s="133" t="s">
        <v>3159</v>
      </c>
      <c r="G2198" s="133" t="s">
        <v>3880</v>
      </c>
      <c r="H2198" s="133">
        <f>VLOOKUP(G2198,'packing mapping'!A:B,2,0)</f>
        <v>20</v>
      </c>
      <c r="I2198" s="137">
        <v>1345600</v>
      </c>
      <c r="J2198" s="132">
        <f t="shared" si="68"/>
        <v>67280</v>
      </c>
    </row>
    <row r="2199" spans="1:10">
      <c r="A2199" s="115" t="s">
        <v>674</v>
      </c>
      <c r="B2199" s="115" t="s">
        <v>675</v>
      </c>
      <c r="C2199" s="115" t="s">
        <v>1332</v>
      </c>
      <c r="D2199" s="115" t="s">
        <v>1333</v>
      </c>
      <c r="E2199" s="133" t="str">
        <f t="shared" si="69"/>
        <v>1200000613WFPU-51000 VN</v>
      </c>
      <c r="F2199" s="133" t="s">
        <v>3117</v>
      </c>
      <c r="G2199" s="133" t="s">
        <v>3881</v>
      </c>
      <c r="H2199" s="133">
        <f>VLOOKUP(G2199,'packing mapping'!A:B,2,0)</f>
        <v>20</v>
      </c>
      <c r="I2199" s="137">
        <v>2271200</v>
      </c>
      <c r="J2199" s="132">
        <f t="shared" si="68"/>
        <v>113560</v>
      </c>
    </row>
    <row r="2200" spans="1:10">
      <c r="A2200" s="115" t="s">
        <v>674</v>
      </c>
      <c r="B2200" s="115" t="s">
        <v>675</v>
      </c>
      <c r="C2200" s="115" t="s">
        <v>2838</v>
      </c>
      <c r="D2200" s="115" t="s">
        <v>2839</v>
      </c>
      <c r="E2200" s="133" t="str">
        <f t="shared" si="69"/>
        <v>1200000613SST-11100 13 VC VN</v>
      </c>
      <c r="F2200" s="133" t="s">
        <v>3790</v>
      </c>
      <c r="G2200" s="133" t="s">
        <v>3899</v>
      </c>
      <c r="H2200" s="133">
        <f>VLOOKUP(G2200,'packing mapping'!A:B,2,0)</f>
        <v>160</v>
      </c>
      <c r="I2200" s="137">
        <v>15030400</v>
      </c>
      <c r="J2200" s="132">
        <f t="shared" si="68"/>
        <v>93940</v>
      </c>
    </row>
    <row r="2201" spans="1:10">
      <c r="A2201" s="115" t="s">
        <v>674</v>
      </c>
      <c r="B2201" s="115" t="s">
        <v>675</v>
      </c>
      <c r="C2201" s="115" t="s">
        <v>2840</v>
      </c>
      <c r="D2201" s="115" t="s">
        <v>2841</v>
      </c>
      <c r="E2201" s="133" t="str">
        <f t="shared" si="69"/>
        <v>1200000613SST-11100 10 VC III VN</v>
      </c>
      <c r="F2201" s="133" t="s">
        <v>3791</v>
      </c>
      <c r="G2201" s="133" t="s">
        <v>3899</v>
      </c>
      <c r="H2201" s="133">
        <f>VLOOKUP(G2201,'packing mapping'!A:B,2,0)</f>
        <v>160</v>
      </c>
      <c r="I2201" s="137">
        <v>12848000</v>
      </c>
      <c r="J2201" s="132">
        <f t="shared" si="68"/>
        <v>80300</v>
      </c>
    </row>
    <row r="2202" spans="1:10">
      <c r="A2202" s="115" t="s">
        <v>674</v>
      </c>
      <c r="B2202" s="115" t="s">
        <v>675</v>
      </c>
      <c r="C2202" s="115" t="s">
        <v>2842</v>
      </c>
      <c r="D2202" s="115" t="s">
        <v>2843</v>
      </c>
      <c r="E2202" s="133" t="str">
        <f t="shared" si="69"/>
        <v>1200000613SST-11100 NAU 21 VC VN</v>
      </c>
      <c r="F2202" s="133" t="s">
        <v>3792</v>
      </c>
      <c r="G2202" s="133" t="s">
        <v>3899</v>
      </c>
      <c r="H2202" s="133">
        <f>VLOOKUP(G2202,'packing mapping'!A:B,2,0)</f>
        <v>160</v>
      </c>
      <c r="I2202" s="137">
        <v>12809600</v>
      </c>
      <c r="J2202" s="132">
        <f t="shared" si="68"/>
        <v>80060</v>
      </c>
    </row>
    <row r="2203" spans="1:10">
      <c r="A2203" s="115" t="s">
        <v>674</v>
      </c>
      <c r="B2203" s="115" t="s">
        <v>675</v>
      </c>
      <c r="C2203" s="115" t="s">
        <v>2844</v>
      </c>
      <c r="D2203" s="115" t="s">
        <v>2845</v>
      </c>
      <c r="E2203" s="133" t="str">
        <f t="shared" si="69"/>
        <v>1200000613SST-11100 CAM 14 VC III VN</v>
      </c>
      <c r="F2203" s="133" t="s">
        <v>3793</v>
      </c>
      <c r="G2203" s="133" t="s">
        <v>3899</v>
      </c>
      <c r="H2203" s="133">
        <f>VLOOKUP(G2203,'packing mapping'!A:B,2,0)</f>
        <v>160</v>
      </c>
      <c r="I2203" s="137">
        <v>12115200</v>
      </c>
      <c r="J2203" s="132">
        <f t="shared" si="68"/>
        <v>75720</v>
      </c>
    </row>
    <row r="2204" spans="1:10">
      <c r="A2204" s="115" t="s">
        <v>674</v>
      </c>
      <c r="B2204" s="115" t="s">
        <v>675</v>
      </c>
      <c r="C2204" s="115" t="s">
        <v>2846</v>
      </c>
      <c r="D2204" s="115" t="s">
        <v>2847</v>
      </c>
      <c r="E2204" s="133" t="str">
        <f t="shared" si="69"/>
        <v>1200000613SST-11100 NAU 15 VC III VN</v>
      </c>
      <c r="F2204" s="133" t="s">
        <v>3794</v>
      </c>
      <c r="G2204" s="133" t="s">
        <v>3899</v>
      </c>
      <c r="H2204" s="133">
        <f>VLOOKUP(G2204,'packing mapping'!A:B,2,0)</f>
        <v>160</v>
      </c>
      <c r="I2204" s="137">
        <v>13390400</v>
      </c>
      <c r="J2204" s="132">
        <f t="shared" si="68"/>
        <v>83690</v>
      </c>
    </row>
    <row r="2205" spans="1:10">
      <c r="A2205" s="115" t="s">
        <v>674</v>
      </c>
      <c r="B2205" s="115" t="s">
        <v>675</v>
      </c>
      <c r="C2205" s="115" t="s">
        <v>2848</v>
      </c>
      <c r="D2205" s="115" t="s">
        <v>2849</v>
      </c>
      <c r="E2205" s="133" t="str">
        <f t="shared" si="69"/>
        <v>1200000613SST-11100 MAU NAU 22 VC VN</v>
      </c>
      <c r="F2205" s="133" t="s">
        <v>3795</v>
      </c>
      <c r="G2205" s="133" t="s">
        <v>3899</v>
      </c>
      <c r="H2205" s="133">
        <f>VLOOKUP(G2205,'packing mapping'!A:B,2,0)</f>
        <v>160</v>
      </c>
      <c r="I2205" s="137">
        <v>13369600</v>
      </c>
      <c r="J2205" s="132">
        <f t="shared" si="68"/>
        <v>83560</v>
      </c>
    </row>
    <row r="2206" spans="1:10">
      <c r="A2206" s="115" t="s">
        <v>674</v>
      </c>
      <c r="B2206" s="115" t="s">
        <v>675</v>
      </c>
      <c r="C2206" s="115" t="s">
        <v>2850</v>
      </c>
      <c r="D2206" s="115" t="s">
        <v>2851</v>
      </c>
      <c r="E2206" s="133" t="str">
        <f t="shared" si="69"/>
        <v>1200000613SST-11100 CAM 01 VC I VN</v>
      </c>
      <c r="F2206" s="133" t="s">
        <v>3796</v>
      </c>
      <c r="G2206" s="133" t="s">
        <v>3899</v>
      </c>
      <c r="H2206" s="133">
        <f>VLOOKUP(G2206,'packing mapping'!A:B,2,0)</f>
        <v>160</v>
      </c>
      <c r="I2206" s="137">
        <v>13350400</v>
      </c>
      <c r="J2206" s="132">
        <f t="shared" si="68"/>
        <v>83440</v>
      </c>
    </row>
    <row r="2207" spans="1:10">
      <c r="A2207" s="115" t="s">
        <v>674</v>
      </c>
      <c r="B2207" s="115" t="s">
        <v>675</v>
      </c>
      <c r="C2207" s="115" t="s">
        <v>2852</v>
      </c>
      <c r="D2207" s="115" t="s">
        <v>2853</v>
      </c>
      <c r="E2207" s="133" t="str">
        <f t="shared" si="69"/>
        <v>1200000613SST-11100 NAU 01 VC I VN</v>
      </c>
      <c r="F2207" s="133" t="s">
        <v>3797</v>
      </c>
      <c r="G2207" s="133" t="s">
        <v>3899</v>
      </c>
      <c r="H2207" s="133">
        <f>VLOOKUP(G2207,'packing mapping'!A:B,2,0)</f>
        <v>160</v>
      </c>
      <c r="I2207" s="137">
        <v>13660800</v>
      </c>
      <c r="J2207" s="132">
        <f t="shared" si="68"/>
        <v>85380</v>
      </c>
    </row>
    <row r="2208" spans="1:10">
      <c r="A2208" s="115" t="s">
        <v>674</v>
      </c>
      <c r="B2208" s="115" t="s">
        <v>675</v>
      </c>
      <c r="C2208" s="115" t="s">
        <v>2854</v>
      </c>
      <c r="D2208" s="115" t="s">
        <v>2855</v>
      </c>
      <c r="E2208" s="133" t="str">
        <f t="shared" si="69"/>
        <v>1200000613SST-11100 NAU 23 VC VN</v>
      </c>
      <c r="F2208" s="133" t="s">
        <v>3798</v>
      </c>
      <c r="G2208" s="133" t="s">
        <v>3899</v>
      </c>
      <c r="H2208" s="133">
        <f>VLOOKUP(G2208,'packing mapping'!A:B,2,0)</f>
        <v>160</v>
      </c>
      <c r="I2208" s="137">
        <v>15108800</v>
      </c>
      <c r="J2208" s="132">
        <f t="shared" si="68"/>
        <v>94430</v>
      </c>
    </row>
    <row r="2209" spans="1:10">
      <c r="A2209" s="115" t="s">
        <v>674</v>
      </c>
      <c r="B2209" s="115" t="s">
        <v>675</v>
      </c>
      <c r="C2209" s="115" t="s">
        <v>2856</v>
      </c>
      <c r="D2209" s="115" t="s">
        <v>2857</v>
      </c>
      <c r="E2209" s="133" t="str">
        <f t="shared" si="69"/>
        <v>1200000613GZPU-21500 NAU 23 VC VN</v>
      </c>
      <c r="F2209" s="133" t="s">
        <v>3799</v>
      </c>
      <c r="G2209" s="133" t="s">
        <v>3882</v>
      </c>
      <c r="H2209" s="133">
        <f>VLOOKUP(G2209,'packing mapping'!A:B,2,0)</f>
        <v>18</v>
      </c>
      <c r="I2209" s="137">
        <v>3185280</v>
      </c>
      <c r="J2209" s="132">
        <f t="shared" si="68"/>
        <v>176960</v>
      </c>
    </row>
    <row r="2210" spans="1:10">
      <c r="A2210" s="115" t="s">
        <v>674</v>
      </c>
      <c r="B2210" s="115" t="s">
        <v>675</v>
      </c>
      <c r="C2210" s="115" t="s">
        <v>2858</v>
      </c>
      <c r="D2210" s="115" t="s">
        <v>2859</v>
      </c>
      <c r="E2210" s="133" t="str">
        <f t="shared" si="69"/>
        <v>1200000613SST-11100 NAU 24 VC VN</v>
      </c>
      <c r="F2210" s="133" t="s">
        <v>3800</v>
      </c>
      <c r="G2210" s="133" t="s">
        <v>3899</v>
      </c>
      <c r="H2210" s="133">
        <f>VLOOKUP(G2210,'packing mapping'!A:B,2,0)</f>
        <v>160</v>
      </c>
      <c r="I2210" s="137">
        <v>14257600</v>
      </c>
      <c r="J2210" s="132">
        <f t="shared" si="68"/>
        <v>89110</v>
      </c>
    </row>
    <row r="2211" spans="1:10">
      <c r="A2211" s="115" t="s">
        <v>674</v>
      </c>
      <c r="B2211" s="115" t="s">
        <v>675</v>
      </c>
      <c r="C2211" s="115" t="s">
        <v>2860</v>
      </c>
      <c r="D2211" s="115" t="s">
        <v>2861</v>
      </c>
      <c r="E2211" s="133" t="str">
        <f t="shared" si="69"/>
        <v>1200000613PCA-31100 XAM 03 VC V VN</v>
      </c>
      <c r="F2211" s="133" t="s">
        <v>3801</v>
      </c>
      <c r="G2211" s="133" t="s">
        <v>3895</v>
      </c>
      <c r="H2211" s="133">
        <f>VLOOKUP(G2211,'packing mapping'!A:B,2,0)</f>
        <v>16</v>
      </c>
      <c r="I2211" s="137">
        <v>1644160</v>
      </c>
      <c r="J2211" s="132">
        <f t="shared" si="68"/>
        <v>102760</v>
      </c>
    </row>
    <row r="2212" spans="1:10">
      <c r="A2212" s="115" t="s">
        <v>674</v>
      </c>
      <c r="B2212" s="115" t="s">
        <v>675</v>
      </c>
      <c r="C2212" s="115" t="s">
        <v>2862</v>
      </c>
      <c r="D2212" s="115" t="s">
        <v>2863</v>
      </c>
      <c r="E2212" s="133" t="str">
        <f t="shared" si="69"/>
        <v>1200000613SST-11100 NAU 03 VC I VN</v>
      </c>
      <c r="F2212" s="133" t="s">
        <v>3802</v>
      </c>
      <c r="G2212" s="133" t="s">
        <v>3899</v>
      </c>
      <c r="H2212" s="133">
        <f>VLOOKUP(G2212,'packing mapping'!A:B,2,0)</f>
        <v>160</v>
      </c>
      <c r="I2212" s="137">
        <v>13544000</v>
      </c>
      <c r="J2212" s="132">
        <f t="shared" si="68"/>
        <v>84650</v>
      </c>
    </row>
    <row r="2213" spans="1:10">
      <c r="A2213" s="115" t="s">
        <v>674</v>
      </c>
      <c r="B2213" s="115" t="s">
        <v>675</v>
      </c>
      <c r="C2213" s="115" t="s">
        <v>2864</v>
      </c>
      <c r="D2213" s="115" t="s">
        <v>2865</v>
      </c>
      <c r="E2213" s="133" t="str">
        <f t="shared" si="69"/>
        <v>1200000613GZPU-21500 HV 03 VC VN</v>
      </c>
      <c r="F2213" s="133" t="s">
        <v>3803</v>
      </c>
      <c r="G2213" s="133" t="s">
        <v>3882</v>
      </c>
      <c r="H2213" s="133">
        <f>VLOOKUP(G2213,'packing mapping'!A:B,2,0)</f>
        <v>18</v>
      </c>
      <c r="I2213" s="137">
        <v>2938320</v>
      </c>
      <c r="J2213" s="132">
        <f t="shared" si="68"/>
        <v>163240</v>
      </c>
    </row>
    <row r="2214" spans="1:10">
      <c r="A2214" s="115" t="s">
        <v>674</v>
      </c>
      <c r="B2214" s="115" t="s">
        <v>675</v>
      </c>
      <c r="C2214" s="115" t="s">
        <v>2866</v>
      </c>
      <c r="D2214" s="115" t="s">
        <v>2867</v>
      </c>
      <c r="E2214" s="133" t="str">
        <f t="shared" si="69"/>
        <v>1200000613GZPU-21500 HV 03 VC III VN</v>
      </c>
      <c r="F2214" s="133" t="s">
        <v>3804</v>
      </c>
      <c r="G2214" s="133" t="s">
        <v>3882</v>
      </c>
      <c r="H2214" s="133">
        <f>VLOOKUP(G2214,'packing mapping'!A:B,2,0)</f>
        <v>18</v>
      </c>
      <c r="I2214" s="137">
        <v>2938320</v>
      </c>
      <c r="J2214" s="132">
        <f t="shared" si="68"/>
        <v>163240</v>
      </c>
    </row>
    <row r="2215" spans="1:10">
      <c r="A2215" s="115" t="s">
        <v>674</v>
      </c>
      <c r="B2215" s="115" t="s">
        <v>675</v>
      </c>
      <c r="C2215" s="115" t="s">
        <v>2868</v>
      </c>
      <c r="D2215" s="115" t="s">
        <v>2869</v>
      </c>
      <c r="E2215" s="133" t="str">
        <f t="shared" si="69"/>
        <v>1200000613GZPU-21500 HV 04 VC VN</v>
      </c>
      <c r="F2215" s="133" t="s">
        <v>3805</v>
      </c>
      <c r="G2215" s="133" t="s">
        <v>3882</v>
      </c>
      <c r="H2215" s="133">
        <f>VLOOKUP(G2215,'packing mapping'!A:B,2,0)</f>
        <v>18</v>
      </c>
      <c r="I2215" s="137">
        <v>2823120</v>
      </c>
      <c r="J2215" s="132">
        <f t="shared" si="68"/>
        <v>156840</v>
      </c>
    </row>
    <row r="2216" spans="1:10">
      <c r="A2216" s="115" t="s">
        <v>674</v>
      </c>
      <c r="B2216" s="115" t="s">
        <v>675</v>
      </c>
      <c r="C2216" s="115" t="s">
        <v>2870</v>
      </c>
      <c r="D2216" s="115" t="s">
        <v>2871</v>
      </c>
      <c r="E2216" s="133" t="str">
        <f t="shared" si="69"/>
        <v>1200000613GZPU-21500 HV 04 VC III VN</v>
      </c>
      <c r="F2216" s="133" t="s">
        <v>3806</v>
      </c>
      <c r="G2216" s="133" t="s">
        <v>3882</v>
      </c>
      <c r="H2216" s="133">
        <f>VLOOKUP(G2216,'packing mapping'!A:B,2,0)</f>
        <v>18</v>
      </c>
      <c r="I2216" s="137">
        <v>2823120</v>
      </c>
      <c r="J2216" s="132">
        <f t="shared" si="68"/>
        <v>156840</v>
      </c>
    </row>
    <row r="2217" spans="1:10">
      <c r="A2217" s="115" t="s">
        <v>674</v>
      </c>
      <c r="B2217" s="115" t="s">
        <v>675</v>
      </c>
      <c r="C2217" s="115" t="s">
        <v>2872</v>
      </c>
      <c r="D2217" s="115" t="s">
        <v>2873</v>
      </c>
      <c r="E2217" s="133" t="str">
        <f t="shared" si="69"/>
        <v>1200000613GZPU-21500 HV 13 VC VN</v>
      </c>
      <c r="F2217" s="133" t="s">
        <v>3807</v>
      </c>
      <c r="G2217" s="133" t="s">
        <v>3882</v>
      </c>
      <c r="H2217" s="133">
        <f>VLOOKUP(G2217,'packing mapping'!A:B,2,0)</f>
        <v>18</v>
      </c>
      <c r="I2217" s="137">
        <v>3043620</v>
      </c>
      <c r="J2217" s="132">
        <f t="shared" si="68"/>
        <v>169090</v>
      </c>
    </row>
    <row r="2218" spans="1:10">
      <c r="A2218" s="115" t="s">
        <v>674</v>
      </c>
      <c r="B2218" s="115" t="s">
        <v>675</v>
      </c>
      <c r="C2218" s="115" t="s">
        <v>2874</v>
      </c>
      <c r="D2218" s="115" t="s">
        <v>2875</v>
      </c>
      <c r="E2218" s="133" t="str">
        <f t="shared" si="69"/>
        <v>1200000613SST-11100 NAU 27 VC VN</v>
      </c>
      <c r="F2218" s="133" t="s">
        <v>3808</v>
      </c>
      <c r="G2218" s="133" t="s">
        <v>3899</v>
      </c>
      <c r="H2218" s="133">
        <f>VLOOKUP(G2218,'packing mapping'!A:B,2,0)</f>
        <v>160</v>
      </c>
      <c r="I2218" s="137">
        <v>13080000</v>
      </c>
      <c r="J2218" s="132">
        <f t="shared" si="68"/>
        <v>81750</v>
      </c>
    </row>
    <row r="2219" spans="1:10">
      <c r="A2219" s="115" t="s">
        <v>674</v>
      </c>
      <c r="B2219" s="115" t="s">
        <v>675</v>
      </c>
      <c r="C2219" s="115" t="s">
        <v>2876</v>
      </c>
      <c r="D2219" s="115" t="s">
        <v>2877</v>
      </c>
      <c r="E2219" s="133" t="str">
        <f t="shared" si="69"/>
        <v>1200000613SST-11100 NAU 28 VC VN</v>
      </c>
      <c r="F2219" s="133" t="s">
        <v>3809</v>
      </c>
      <c r="G2219" s="133" t="s">
        <v>3899</v>
      </c>
      <c r="H2219" s="133">
        <f>VLOOKUP(G2219,'packing mapping'!A:B,2,0)</f>
        <v>160</v>
      </c>
      <c r="I2219" s="137">
        <v>12153600</v>
      </c>
      <c r="J2219" s="132">
        <f t="shared" si="68"/>
        <v>75960</v>
      </c>
    </row>
    <row r="2220" spans="1:10">
      <c r="A2220" s="115" t="s">
        <v>674</v>
      </c>
      <c r="B2220" s="115" t="s">
        <v>675</v>
      </c>
      <c r="C2220" s="115" t="s">
        <v>2878</v>
      </c>
      <c r="D2220" s="115" t="s">
        <v>2879</v>
      </c>
      <c r="E2220" s="133" t="str">
        <f t="shared" si="69"/>
        <v>1200000613SST-11100 NAU 04 VC I VN</v>
      </c>
      <c r="F2220" s="133" t="s">
        <v>3810</v>
      </c>
      <c r="G2220" s="133" t="s">
        <v>3899</v>
      </c>
      <c r="H2220" s="133">
        <f>VLOOKUP(G2220,'packing mapping'!A:B,2,0)</f>
        <v>160</v>
      </c>
      <c r="I2220" s="137">
        <v>14953600</v>
      </c>
      <c r="J2220" s="132">
        <f t="shared" si="68"/>
        <v>93460</v>
      </c>
    </row>
    <row r="2221" spans="1:10">
      <c r="A2221" s="115" t="s">
        <v>674</v>
      </c>
      <c r="B2221" s="115" t="s">
        <v>675</v>
      </c>
      <c r="C2221" s="115" t="s">
        <v>2880</v>
      </c>
      <c r="D2221" s="115" t="s">
        <v>2881</v>
      </c>
      <c r="E2221" s="133" t="str">
        <f t="shared" si="69"/>
        <v>1200000613SST-11100 NAU 05 VC I VN</v>
      </c>
      <c r="F2221" s="133" t="s">
        <v>3811</v>
      </c>
      <c r="G2221" s="133" t="s">
        <v>3899</v>
      </c>
      <c r="H2221" s="133">
        <f>VLOOKUP(G2221,'packing mapping'!A:B,2,0)</f>
        <v>160</v>
      </c>
      <c r="I2221" s="137">
        <v>15592000</v>
      </c>
      <c r="J2221" s="132">
        <f t="shared" si="68"/>
        <v>97450</v>
      </c>
    </row>
    <row r="2222" spans="1:10">
      <c r="A2222" s="115" t="s">
        <v>644</v>
      </c>
      <c r="B2222" s="115" t="s">
        <v>645</v>
      </c>
      <c r="C2222" s="115" t="s">
        <v>1188</v>
      </c>
      <c r="D2222" s="115" t="s">
        <v>1189</v>
      </c>
      <c r="E2222" s="133" t="str">
        <f t="shared" si="69"/>
        <v>1200000560PCA-31100 BLACK PASTE VN</v>
      </c>
      <c r="F2222" s="133" t="s">
        <v>3048</v>
      </c>
      <c r="G2222" s="133" t="s">
        <v>3883</v>
      </c>
      <c r="H2222" s="133">
        <f>VLOOKUP(G2222,'packing mapping'!A:B,2,0)</f>
        <v>4</v>
      </c>
      <c r="I2222" s="137">
        <v>1048040</v>
      </c>
      <c r="J2222" s="132">
        <f t="shared" si="68"/>
        <v>262010</v>
      </c>
    </row>
    <row r="2223" spans="1:10">
      <c r="A2223" s="115" t="s">
        <v>644</v>
      </c>
      <c r="B2223" s="115" t="s">
        <v>645</v>
      </c>
      <c r="C2223" s="115" t="s">
        <v>1370</v>
      </c>
      <c r="D2223" s="115" t="s">
        <v>1371</v>
      </c>
      <c r="E2223" s="133" t="str">
        <f t="shared" si="69"/>
        <v>1200000560PCA-31100 BLUE OG PASTE VN</v>
      </c>
      <c r="F2223" s="133" t="s">
        <v>3135</v>
      </c>
      <c r="G2223" s="133" t="s">
        <v>3883</v>
      </c>
      <c r="H2223" s="133">
        <f>VLOOKUP(G2223,'packing mapping'!A:B,2,0)</f>
        <v>4</v>
      </c>
      <c r="I2223" s="137">
        <v>1201640</v>
      </c>
      <c r="J2223" s="132">
        <f t="shared" si="68"/>
        <v>300410</v>
      </c>
    </row>
    <row r="2224" spans="1:10">
      <c r="A2224" s="115" t="s">
        <v>644</v>
      </c>
      <c r="B2224" s="115" t="s">
        <v>645</v>
      </c>
      <c r="C2224" s="115" t="s">
        <v>1374</v>
      </c>
      <c r="D2224" s="115" t="s">
        <v>1375</v>
      </c>
      <c r="E2224" s="133" t="str">
        <f t="shared" si="69"/>
        <v>1200000560PCA-31100 RED OB 35 PASTE VN</v>
      </c>
      <c r="F2224" s="133" t="s">
        <v>3137</v>
      </c>
      <c r="G2224" s="133" t="s">
        <v>3883</v>
      </c>
      <c r="H2224" s="133">
        <f>VLOOKUP(G2224,'packing mapping'!A:B,2,0)</f>
        <v>4</v>
      </c>
      <c r="I2224" s="137">
        <v>2130400</v>
      </c>
      <c r="J2224" s="132">
        <f t="shared" si="68"/>
        <v>532600</v>
      </c>
    </row>
    <row r="2225" spans="1:10">
      <c r="A2225" s="115" t="s">
        <v>644</v>
      </c>
      <c r="B2225" s="115" t="s">
        <v>645</v>
      </c>
      <c r="C2225" s="115" t="s">
        <v>1190</v>
      </c>
      <c r="D2225" s="115" t="s">
        <v>1191</v>
      </c>
      <c r="E2225" s="133" t="str">
        <f t="shared" si="69"/>
        <v>1200000560PCA-31100 WHITE PASTE VN</v>
      </c>
      <c r="F2225" s="133" t="s">
        <v>3049</v>
      </c>
      <c r="G2225" s="133" t="s">
        <v>3883</v>
      </c>
      <c r="H2225" s="133">
        <f>VLOOKUP(G2225,'packing mapping'!A:B,2,0)</f>
        <v>4</v>
      </c>
      <c r="I2225" s="137">
        <v>677800</v>
      </c>
      <c r="J2225" s="132">
        <f t="shared" si="68"/>
        <v>169450</v>
      </c>
    </row>
    <row r="2226" spans="1:10">
      <c r="A2226" s="115" t="s">
        <v>644</v>
      </c>
      <c r="B2226" s="115" t="s">
        <v>645</v>
      </c>
      <c r="C2226" s="115" t="s">
        <v>1468</v>
      </c>
      <c r="D2226" s="115" t="s">
        <v>1469</v>
      </c>
      <c r="E2226" s="133" t="str">
        <f t="shared" si="69"/>
        <v>1200000560PCA-31100 YELLOW OG 16 PASTE VN</v>
      </c>
      <c r="F2226" s="133" t="s">
        <v>3180</v>
      </c>
      <c r="G2226" s="133" t="s">
        <v>3883</v>
      </c>
      <c r="H2226" s="133">
        <f>VLOOKUP(G2226,'packing mapping'!A:B,2,0)</f>
        <v>4</v>
      </c>
      <c r="I2226" s="137">
        <v>2799000</v>
      </c>
      <c r="J2226" s="132">
        <f t="shared" si="68"/>
        <v>699750</v>
      </c>
    </row>
    <row r="2227" spans="1:10">
      <c r="A2227" s="115" t="s">
        <v>644</v>
      </c>
      <c r="B2227" s="115" t="s">
        <v>645</v>
      </c>
      <c r="C2227" s="115" t="s">
        <v>1192</v>
      </c>
      <c r="D2227" s="115" t="s">
        <v>1193</v>
      </c>
      <c r="E2227" s="133" t="str">
        <f t="shared" si="69"/>
        <v>1200000560PCL-31300 BLACK PASTE</v>
      </c>
      <c r="F2227" s="133" t="s">
        <v>3050</v>
      </c>
      <c r="G2227" s="133" t="s">
        <v>3883</v>
      </c>
      <c r="H2227" s="133">
        <f>VLOOKUP(G2227,'packing mapping'!A:B,2,0)</f>
        <v>4</v>
      </c>
      <c r="I2227" s="137">
        <v>2695040</v>
      </c>
      <c r="J2227" s="132">
        <f t="shared" si="68"/>
        <v>673760</v>
      </c>
    </row>
    <row r="2228" spans="1:10">
      <c r="A2228" s="115" t="s">
        <v>644</v>
      </c>
      <c r="B2228" s="115" t="s">
        <v>645</v>
      </c>
      <c r="C2228" s="115" t="s">
        <v>1194</v>
      </c>
      <c r="D2228" s="115" t="s">
        <v>1195</v>
      </c>
      <c r="E2228" s="133" t="str">
        <f t="shared" si="69"/>
        <v>1200000560PCL-31300 BLUE OG PASTE</v>
      </c>
      <c r="F2228" s="133" t="s">
        <v>3051</v>
      </c>
      <c r="G2228" s="133" t="s">
        <v>3883</v>
      </c>
      <c r="H2228" s="133">
        <f>VLOOKUP(G2228,'packing mapping'!A:B,2,0)</f>
        <v>4</v>
      </c>
      <c r="I2228" s="137">
        <v>2149040</v>
      </c>
      <c r="J2228" s="132">
        <f t="shared" si="68"/>
        <v>537260</v>
      </c>
    </row>
    <row r="2229" spans="1:10">
      <c r="A2229" s="115" t="s">
        <v>644</v>
      </c>
      <c r="B2229" s="115" t="s">
        <v>645</v>
      </c>
      <c r="C2229" s="115" t="s">
        <v>1988</v>
      </c>
      <c r="D2229" s="115" t="s">
        <v>1989</v>
      </c>
      <c r="E2229" s="133" t="str">
        <f t="shared" si="69"/>
        <v>1200000560PCL-31300 GREEN OB PASTE</v>
      </c>
      <c r="F2229" s="133" t="s">
        <v>3415</v>
      </c>
      <c r="G2229" s="133" t="s">
        <v>3883</v>
      </c>
      <c r="H2229" s="133">
        <f>VLOOKUP(G2229,'packing mapping'!A:B,2,0)</f>
        <v>4</v>
      </c>
      <c r="I2229" s="137">
        <v>2235520</v>
      </c>
      <c r="J2229" s="132">
        <f t="shared" si="68"/>
        <v>558880</v>
      </c>
    </row>
    <row r="2230" spans="1:10">
      <c r="A2230" s="115" t="s">
        <v>644</v>
      </c>
      <c r="B2230" s="115" t="s">
        <v>645</v>
      </c>
      <c r="C2230" s="115" t="s">
        <v>1200</v>
      </c>
      <c r="D2230" s="115" t="s">
        <v>1201</v>
      </c>
      <c r="E2230" s="133" t="str">
        <f t="shared" si="69"/>
        <v>1200000560PCL-31300 RED OB 35 PASTE</v>
      </c>
      <c r="F2230" s="133" t="s">
        <v>3054</v>
      </c>
      <c r="G2230" s="133" t="s">
        <v>3883</v>
      </c>
      <c r="H2230" s="133">
        <f>VLOOKUP(G2230,'packing mapping'!A:B,2,0)</f>
        <v>4</v>
      </c>
      <c r="I2230" s="137">
        <v>2012360</v>
      </c>
      <c r="J2230" s="132">
        <f t="shared" si="68"/>
        <v>503090</v>
      </c>
    </row>
    <row r="2231" spans="1:10">
      <c r="A2231" s="115" t="s">
        <v>644</v>
      </c>
      <c r="B2231" s="115" t="s">
        <v>645</v>
      </c>
      <c r="C2231" s="115" t="s">
        <v>1384</v>
      </c>
      <c r="D2231" s="115" t="s">
        <v>1385</v>
      </c>
      <c r="E2231" s="133" t="str">
        <f t="shared" si="69"/>
        <v>1200000560PCL-31300 VIOLET PASTE</v>
      </c>
      <c r="F2231" s="133" t="s">
        <v>3142</v>
      </c>
      <c r="G2231" s="133" t="s">
        <v>3883</v>
      </c>
      <c r="H2231" s="133">
        <f>VLOOKUP(G2231,'packing mapping'!A:B,2,0)</f>
        <v>4</v>
      </c>
      <c r="I2231" s="137">
        <v>2569280</v>
      </c>
      <c r="J2231" s="132">
        <f t="shared" si="68"/>
        <v>642320</v>
      </c>
    </row>
    <row r="2232" spans="1:10">
      <c r="A2232" s="115" t="s">
        <v>644</v>
      </c>
      <c r="B2232" s="115" t="s">
        <v>645</v>
      </c>
      <c r="C2232" s="115" t="s">
        <v>1202</v>
      </c>
      <c r="D2232" s="115" t="s">
        <v>1203</v>
      </c>
      <c r="E2232" s="133" t="str">
        <f t="shared" si="69"/>
        <v>1200000560PCL-31300 WHITE PASTE</v>
      </c>
      <c r="F2232" s="133" t="s">
        <v>3055</v>
      </c>
      <c r="G2232" s="133" t="s">
        <v>3883</v>
      </c>
      <c r="H2232" s="133">
        <f>VLOOKUP(G2232,'packing mapping'!A:B,2,0)</f>
        <v>4</v>
      </c>
      <c r="I2232" s="137">
        <v>1327000</v>
      </c>
      <c r="J2232" s="132">
        <f t="shared" si="68"/>
        <v>331750</v>
      </c>
    </row>
    <row r="2233" spans="1:10">
      <c r="A2233" s="115" t="s">
        <v>644</v>
      </c>
      <c r="B2233" s="115" t="s">
        <v>645</v>
      </c>
      <c r="C2233" s="115" t="s">
        <v>1204</v>
      </c>
      <c r="D2233" s="115" t="s">
        <v>1205</v>
      </c>
      <c r="E2233" s="133" t="str">
        <f t="shared" si="69"/>
        <v>1200000560PCL-31300 YELLOW OG 16 PASTE</v>
      </c>
      <c r="F2233" s="133" t="s">
        <v>3056</v>
      </c>
      <c r="G2233" s="133" t="s">
        <v>3883</v>
      </c>
      <c r="H2233" s="133">
        <f>VLOOKUP(G2233,'packing mapping'!A:B,2,0)</f>
        <v>4</v>
      </c>
      <c r="I2233" s="137">
        <v>3876600</v>
      </c>
      <c r="J2233" s="132">
        <f t="shared" si="68"/>
        <v>969150</v>
      </c>
    </row>
    <row r="2234" spans="1:10">
      <c r="A2234" s="115" t="s">
        <v>644</v>
      </c>
      <c r="B2234" s="115" t="s">
        <v>645</v>
      </c>
      <c r="C2234" s="115" t="s">
        <v>1208</v>
      </c>
      <c r="D2234" s="115" t="s">
        <v>1209</v>
      </c>
      <c r="E2234" s="133" t="str">
        <f t="shared" si="69"/>
        <v>1200000560PG-13900 WHITE 01 VN</v>
      </c>
      <c r="F2234" s="133" t="s">
        <v>3058</v>
      </c>
      <c r="G2234" s="133" t="s">
        <v>3881</v>
      </c>
      <c r="H2234" s="133">
        <f>VLOOKUP(G2234,'packing mapping'!A:B,2,0)</f>
        <v>20</v>
      </c>
      <c r="I2234" s="137">
        <v>1468800</v>
      </c>
      <c r="J2234" s="132">
        <f t="shared" si="68"/>
        <v>73440</v>
      </c>
    </row>
    <row r="2235" spans="1:10">
      <c r="A2235" s="115" t="s">
        <v>644</v>
      </c>
      <c r="B2235" s="115" t="s">
        <v>645</v>
      </c>
      <c r="C2235" s="115" t="s">
        <v>1386</v>
      </c>
      <c r="D2235" s="115" t="s">
        <v>1387</v>
      </c>
      <c r="E2235" s="133" t="str">
        <f t="shared" si="69"/>
        <v>1200000560PUC-54205 AC WHITE 90 VN</v>
      </c>
      <c r="F2235" s="133" t="s">
        <v>3143</v>
      </c>
      <c r="G2235" s="133" t="s">
        <v>3881</v>
      </c>
      <c r="H2235" s="133">
        <f>VLOOKUP(G2235,'packing mapping'!A:B,2,0)</f>
        <v>20</v>
      </c>
      <c r="I2235" s="137">
        <v>3817600</v>
      </c>
      <c r="J2235" s="132">
        <f t="shared" si="68"/>
        <v>190880</v>
      </c>
    </row>
    <row r="2236" spans="1:10">
      <c r="A2236" s="115" t="s">
        <v>644</v>
      </c>
      <c r="B2236" s="115" t="s">
        <v>645</v>
      </c>
      <c r="C2236" s="115" t="s">
        <v>1388</v>
      </c>
      <c r="D2236" s="115" t="s">
        <v>1389</v>
      </c>
      <c r="E2236" s="133" t="str">
        <f t="shared" si="69"/>
        <v>1200000560PUC-54205 AC WHITE 10 VN</v>
      </c>
      <c r="F2236" s="133" t="s">
        <v>3144</v>
      </c>
      <c r="G2236" s="133" t="s">
        <v>3881</v>
      </c>
      <c r="H2236" s="133">
        <f>VLOOKUP(G2236,'packing mapping'!A:B,2,0)</f>
        <v>20</v>
      </c>
      <c r="I2236" s="137">
        <v>3330600</v>
      </c>
      <c r="J2236" s="132">
        <f t="shared" si="68"/>
        <v>166530</v>
      </c>
    </row>
    <row r="2237" spans="1:10">
      <c r="A2237" s="115" t="s">
        <v>644</v>
      </c>
      <c r="B2237" s="115" t="s">
        <v>645</v>
      </c>
      <c r="C2237" s="115" t="s">
        <v>1390</v>
      </c>
      <c r="D2237" s="115" t="s">
        <v>1391</v>
      </c>
      <c r="E2237" s="133" t="str">
        <f t="shared" si="69"/>
        <v>1200000560PUC-54205 AC WHITE 20 VN</v>
      </c>
      <c r="F2237" s="133" t="s">
        <v>3145</v>
      </c>
      <c r="G2237" s="133" t="s">
        <v>3881</v>
      </c>
      <c r="H2237" s="133">
        <f>VLOOKUP(G2237,'packing mapping'!A:B,2,0)</f>
        <v>20</v>
      </c>
      <c r="I2237" s="137">
        <v>3722800</v>
      </c>
      <c r="J2237" s="132">
        <f t="shared" si="68"/>
        <v>186140</v>
      </c>
    </row>
    <row r="2238" spans="1:10">
      <c r="A2238" s="115" t="s">
        <v>644</v>
      </c>
      <c r="B2238" s="115" t="s">
        <v>645</v>
      </c>
      <c r="C2238" s="115" t="s">
        <v>1392</v>
      </c>
      <c r="D2238" s="115" t="s">
        <v>1393</v>
      </c>
      <c r="E2238" s="133" t="str">
        <f t="shared" si="69"/>
        <v>1200000560PUC-54205 AC WHITE 30 VN</v>
      </c>
      <c r="F2238" s="133" t="s">
        <v>3146</v>
      </c>
      <c r="G2238" s="133" t="s">
        <v>3881</v>
      </c>
      <c r="H2238" s="133">
        <f>VLOOKUP(G2238,'packing mapping'!A:B,2,0)</f>
        <v>20</v>
      </c>
      <c r="I2238" s="137">
        <v>3236800</v>
      </c>
      <c r="J2238" s="132">
        <f t="shared" si="68"/>
        <v>161840</v>
      </c>
    </row>
    <row r="2239" spans="1:10">
      <c r="A2239" s="115" t="s">
        <v>644</v>
      </c>
      <c r="B2239" s="115" t="s">
        <v>645</v>
      </c>
      <c r="C2239" s="115" t="s">
        <v>1470</v>
      </c>
      <c r="D2239" s="115" t="s">
        <v>1471</v>
      </c>
      <c r="E2239" s="133" t="str">
        <f t="shared" si="69"/>
        <v>1200000560PUC-54205 AC WHITE 50 VN</v>
      </c>
      <c r="F2239" s="133" t="s">
        <v>3181</v>
      </c>
      <c r="G2239" s="133" t="s">
        <v>3881</v>
      </c>
      <c r="H2239" s="133">
        <f>VLOOKUP(G2239,'packing mapping'!A:B,2,0)</f>
        <v>20</v>
      </c>
      <c r="I2239" s="137">
        <v>3936200</v>
      </c>
      <c r="J2239" s="132">
        <f t="shared" si="68"/>
        <v>196810</v>
      </c>
    </row>
    <row r="2240" spans="1:10">
      <c r="A2240" s="115" t="s">
        <v>644</v>
      </c>
      <c r="B2240" s="115" t="s">
        <v>645</v>
      </c>
      <c r="C2240" s="115" t="s">
        <v>1210</v>
      </c>
      <c r="D2240" s="115" t="s">
        <v>1211</v>
      </c>
      <c r="E2240" s="133" t="str">
        <f t="shared" si="69"/>
        <v>1200000560PUH-56306 LY VN</v>
      </c>
      <c r="F2240" s="133" t="s">
        <v>3059</v>
      </c>
      <c r="G2240" s="133" t="s">
        <v>3879</v>
      </c>
      <c r="H2240" s="133">
        <f>VLOOKUP(G2240,'packing mapping'!A:B,2,0)</f>
        <v>20</v>
      </c>
      <c r="I2240" s="137">
        <v>3612800</v>
      </c>
      <c r="J2240" s="132">
        <f t="shared" si="68"/>
        <v>180640</v>
      </c>
    </row>
    <row r="2241" spans="1:10">
      <c r="A2241" s="115" t="s">
        <v>644</v>
      </c>
      <c r="B2241" s="115" t="s">
        <v>645</v>
      </c>
      <c r="C2241" s="115" t="s">
        <v>1982</v>
      </c>
      <c r="D2241" s="115" t="s">
        <v>1983</v>
      </c>
      <c r="E2241" s="133" t="str">
        <f t="shared" si="69"/>
        <v>1200000560PUL-51341 CLEAR 05 VN</v>
      </c>
      <c r="F2241" s="133" t="s">
        <v>3412</v>
      </c>
      <c r="G2241" s="133" t="s">
        <v>3882</v>
      </c>
      <c r="H2241" s="133">
        <f>VLOOKUP(G2241,'packing mapping'!A:B,2,0)</f>
        <v>18</v>
      </c>
      <c r="I2241" s="137">
        <v>1989720</v>
      </c>
      <c r="J2241" s="132">
        <f t="shared" si="68"/>
        <v>110540</v>
      </c>
    </row>
    <row r="2242" spans="1:10">
      <c r="A2242" s="115" t="s">
        <v>644</v>
      </c>
      <c r="B2242" s="115" t="s">
        <v>645</v>
      </c>
      <c r="C2242" s="115" t="s">
        <v>1718</v>
      </c>
      <c r="D2242" s="115" t="s">
        <v>1719</v>
      </c>
      <c r="E2242" s="133" t="str">
        <f t="shared" si="69"/>
        <v>1200000560PUL-51341 CLEAR 10 VN</v>
      </c>
      <c r="F2242" s="133" t="s">
        <v>3294</v>
      </c>
      <c r="G2242" s="133" t="s">
        <v>3882</v>
      </c>
      <c r="H2242" s="133">
        <f>VLOOKUP(G2242,'packing mapping'!A:B,2,0)</f>
        <v>18</v>
      </c>
      <c r="I2242" s="137">
        <v>2107080</v>
      </c>
      <c r="J2242" s="132">
        <f t="shared" ref="J2242:J2305" si="70">I2242/H2242</f>
        <v>117060</v>
      </c>
    </row>
    <row r="2243" spans="1:10">
      <c r="A2243" s="115" t="s">
        <v>644</v>
      </c>
      <c r="B2243" s="115" t="s">
        <v>645</v>
      </c>
      <c r="C2243" s="115" t="s">
        <v>1874</v>
      </c>
      <c r="D2243" s="115" t="s">
        <v>1875</v>
      </c>
      <c r="E2243" s="133" t="str">
        <f t="shared" ref="E2243:E2306" si="71">A2243&amp;F2243</f>
        <v>1200000560PUL-51341 CLEAR 20 VN</v>
      </c>
      <c r="F2243" s="133" t="s">
        <v>3360</v>
      </c>
      <c r="G2243" s="133" t="s">
        <v>3882</v>
      </c>
      <c r="H2243" s="133">
        <f>VLOOKUP(G2243,'packing mapping'!A:B,2,0)</f>
        <v>18</v>
      </c>
      <c r="I2243" s="137">
        <v>1482120</v>
      </c>
      <c r="J2243" s="132">
        <f t="shared" si="70"/>
        <v>82340</v>
      </c>
    </row>
    <row r="2244" spans="1:10">
      <c r="A2244" s="115" t="s">
        <v>644</v>
      </c>
      <c r="B2244" s="115" t="s">
        <v>645</v>
      </c>
      <c r="C2244" s="115" t="s">
        <v>2194</v>
      </c>
      <c r="D2244" s="115" t="s">
        <v>2195</v>
      </c>
      <c r="E2244" s="133" t="str">
        <f t="shared" si="71"/>
        <v>1200000560PUL-51341 CLEAR 30 VN</v>
      </c>
      <c r="F2244" s="133" t="s">
        <v>3511</v>
      </c>
      <c r="G2244" s="133" t="s">
        <v>3882</v>
      </c>
      <c r="H2244" s="133">
        <f>VLOOKUP(G2244,'packing mapping'!A:B,2,0)</f>
        <v>18</v>
      </c>
      <c r="I2244" s="137">
        <v>1482120</v>
      </c>
      <c r="J2244" s="132">
        <f t="shared" si="70"/>
        <v>82340</v>
      </c>
    </row>
    <row r="2245" spans="1:10">
      <c r="A2245" s="115" t="s">
        <v>644</v>
      </c>
      <c r="B2245" s="115" t="s">
        <v>645</v>
      </c>
      <c r="C2245" s="115" t="s">
        <v>1542</v>
      </c>
      <c r="D2245" s="115" t="s">
        <v>1543</v>
      </c>
      <c r="E2245" s="133" t="str">
        <f t="shared" si="71"/>
        <v>1200000560PUL-53306 AC EX CLEAR 05 VN</v>
      </c>
      <c r="F2245" s="133" t="s">
        <v>3211</v>
      </c>
      <c r="G2245" s="133" t="s">
        <v>3879</v>
      </c>
      <c r="H2245" s="133">
        <f>VLOOKUP(G2245,'packing mapping'!A:B,2,0)</f>
        <v>20</v>
      </c>
      <c r="I2245" s="137">
        <v>3481400</v>
      </c>
      <c r="J2245" s="132">
        <f t="shared" si="70"/>
        <v>174070</v>
      </c>
    </row>
    <row r="2246" spans="1:10">
      <c r="A2246" s="115" t="s">
        <v>644</v>
      </c>
      <c r="B2246" s="115" t="s">
        <v>645</v>
      </c>
      <c r="C2246" s="115" t="s">
        <v>1396</v>
      </c>
      <c r="D2246" s="115" t="s">
        <v>1397</v>
      </c>
      <c r="E2246" s="133" t="str">
        <f t="shared" si="71"/>
        <v>1200000560PUL-53306 AC EX CLEAR 10 VN</v>
      </c>
      <c r="F2246" s="133" t="s">
        <v>3148</v>
      </c>
      <c r="G2246" s="133" t="s">
        <v>3879</v>
      </c>
      <c r="H2246" s="133">
        <f>VLOOKUP(G2246,'packing mapping'!A:B,2,0)</f>
        <v>20</v>
      </c>
      <c r="I2246" s="137">
        <v>4243400</v>
      </c>
      <c r="J2246" s="132">
        <f t="shared" si="70"/>
        <v>212170</v>
      </c>
    </row>
    <row r="2247" spans="1:10">
      <c r="A2247" s="115" t="s">
        <v>644</v>
      </c>
      <c r="B2247" s="115" t="s">
        <v>645</v>
      </c>
      <c r="C2247" s="115" t="s">
        <v>1212</v>
      </c>
      <c r="D2247" s="115" t="s">
        <v>1213</v>
      </c>
      <c r="E2247" s="133" t="str">
        <f t="shared" si="71"/>
        <v>1200000560PUL-53306 AC EX CLEAR 20 VN</v>
      </c>
      <c r="F2247" s="133" t="s">
        <v>3060</v>
      </c>
      <c r="G2247" s="133" t="s">
        <v>3879</v>
      </c>
      <c r="H2247" s="133">
        <f>VLOOKUP(G2247,'packing mapping'!A:B,2,0)</f>
        <v>20</v>
      </c>
      <c r="I2247" s="137">
        <v>3304400</v>
      </c>
      <c r="J2247" s="132">
        <f t="shared" si="70"/>
        <v>165220</v>
      </c>
    </row>
    <row r="2248" spans="1:10">
      <c r="A2248" s="115" t="s">
        <v>644</v>
      </c>
      <c r="B2248" s="115" t="s">
        <v>645</v>
      </c>
      <c r="C2248" s="115" t="s">
        <v>1474</v>
      </c>
      <c r="D2248" s="115" t="s">
        <v>1475</v>
      </c>
      <c r="E2248" s="133" t="str">
        <f t="shared" si="71"/>
        <v>1200000560PUL-53306 AC EX CLEAR 30 VN</v>
      </c>
      <c r="F2248" s="133" t="s">
        <v>3183</v>
      </c>
      <c r="G2248" s="133" t="s">
        <v>3879</v>
      </c>
      <c r="H2248" s="133">
        <f>VLOOKUP(G2248,'packing mapping'!A:B,2,0)</f>
        <v>20</v>
      </c>
      <c r="I2248" s="137">
        <v>3670800</v>
      </c>
      <c r="J2248" s="132">
        <f t="shared" si="70"/>
        <v>183540</v>
      </c>
    </row>
    <row r="2249" spans="1:10">
      <c r="A2249" s="115" t="s">
        <v>644</v>
      </c>
      <c r="B2249" s="115" t="s">
        <v>645</v>
      </c>
      <c r="C2249" s="115" t="s">
        <v>1878</v>
      </c>
      <c r="D2249" s="115" t="s">
        <v>1879</v>
      </c>
      <c r="E2249" s="133" t="str">
        <f t="shared" si="71"/>
        <v>1200000560PUL-53306 AC EX CLEAR 40 VN</v>
      </c>
      <c r="F2249" s="133" t="s">
        <v>3362</v>
      </c>
      <c r="G2249" s="133" t="s">
        <v>3879</v>
      </c>
      <c r="H2249" s="133">
        <f>VLOOKUP(G2249,'packing mapping'!A:B,2,0)</f>
        <v>20</v>
      </c>
      <c r="I2249" s="137">
        <v>3662600</v>
      </c>
      <c r="J2249" s="132">
        <f t="shared" si="70"/>
        <v>183130</v>
      </c>
    </row>
    <row r="2250" spans="1:10">
      <c r="A2250" s="115" t="s">
        <v>644</v>
      </c>
      <c r="B2250" s="115" t="s">
        <v>645</v>
      </c>
      <c r="C2250" s="115" t="s">
        <v>1214</v>
      </c>
      <c r="D2250" s="115" t="s">
        <v>1215</v>
      </c>
      <c r="E2250" s="133" t="str">
        <f t="shared" si="71"/>
        <v>1200000560PUL-53306 AC EX CLEAR 50 VN</v>
      </c>
      <c r="F2250" s="133" t="s">
        <v>3061</v>
      </c>
      <c r="G2250" s="133" t="s">
        <v>3879</v>
      </c>
      <c r="H2250" s="133">
        <f>VLOOKUP(G2250,'packing mapping'!A:B,2,0)</f>
        <v>20</v>
      </c>
      <c r="I2250" s="137">
        <v>3350400</v>
      </c>
      <c r="J2250" s="132">
        <f t="shared" si="70"/>
        <v>167520</v>
      </c>
    </row>
    <row r="2251" spans="1:10">
      <c r="A2251" s="115" t="s">
        <v>644</v>
      </c>
      <c r="B2251" s="115" t="s">
        <v>645</v>
      </c>
      <c r="C2251" s="115" t="s">
        <v>1216</v>
      </c>
      <c r="D2251" s="115" t="s">
        <v>1217</v>
      </c>
      <c r="E2251" s="133" t="str">
        <f t="shared" si="71"/>
        <v>1200000560PUL-53306 AC EX CLEAR 90 VN</v>
      </c>
      <c r="F2251" s="133" t="s">
        <v>3062</v>
      </c>
      <c r="G2251" s="133" t="s">
        <v>3879</v>
      </c>
      <c r="H2251" s="133">
        <f>VLOOKUP(G2251,'packing mapping'!A:B,2,0)</f>
        <v>20</v>
      </c>
      <c r="I2251" s="137">
        <v>2902600</v>
      </c>
      <c r="J2251" s="132">
        <f t="shared" si="70"/>
        <v>145130</v>
      </c>
    </row>
    <row r="2252" spans="1:10">
      <c r="A2252" s="115" t="s">
        <v>644</v>
      </c>
      <c r="B2252" s="115" t="s">
        <v>645</v>
      </c>
      <c r="C2252" s="115" t="s">
        <v>1476</v>
      </c>
      <c r="D2252" s="115" t="s">
        <v>1477</v>
      </c>
      <c r="E2252" s="133" t="str">
        <f t="shared" si="71"/>
        <v>1200000560PUP-52141 WHITE 01 VN</v>
      </c>
      <c r="F2252" s="133" t="s">
        <v>3184</v>
      </c>
      <c r="G2252" s="133" t="s">
        <v>3881</v>
      </c>
      <c r="H2252" s="133">
        <f>VLOOKUP(G2252,'packing mapping'!A:B,2,0)</f>
        <v>20</v>
      </c>
      <c r="I2252" s="137">
        <v>1883000</v>
      </c>
      <c r="J2252" s="132">
        <f t="shared" si="70"/>
        <v>94150</v>
      </c>
    </row>
    <row r="2253" spans="1:10">
      <c r="A2253" s="115" t="s">
        <v>644</v>
      </c>
      <c r="B2253" s="115" t="s">
        <v>645</v>
      </c>
      <c r="C2253" s="115" t="s">
        <v>1880</v>
      </c>
      <c r="D2253" s="115" t="s">
        <v>1881</v>
      </c>
      <c r="E2253" s="133" t="str">
        <f t="shared" si="71"/>
        <v>1200000560PUSS-51241 VN</v>
      </c>
      <c r="F2253" s="133" t="s">
        <v>3185</v>
      </c>
      <c r="G2253" s="133" t="s">
        <v>3889</v>
      </c>
      <c r="H2253" s="133">
        <f>VLOOKUP(G2253,'packing mapping'!A:B,2,0)</f>
        <v>200</v>
      </c>
      <c r="I2253" s="137">
        <v>11924000</v>
      </c>
      <c r="J2253" s="132">
        <f t="shared" si="70"/>
        <v>59620</v>
      </c>
    </row>
    <row r="2254" spans="1:10">
      <c r="A2254" s="115" t="s">
        <v>644</v>
      </c>
      <c r="B2254" s="115" t="s">
        <v>645</v>
      </c>
      <c r="C2254" s="115" t="s">
        <v>1218</v>
      </c>
      <c r="D2254" s="115" t="s">
        <v>1219</v>
      </c>
      <c r="E2254" s="133" t="str">
        <f t="shared" si="71"/>
        <v>1200000560PUSS-53206 AC EX VN</v>
      </c>
      <c r="F2254" s="133" t="s">
        <v>3063</v>
      </c>
      <c r="G2254" s="133" t="s">
        <v>3881</v>
      </c>
      <c r="H2254" s="133">
        <f>VLOOKUP(G2254,'packing mapping'!A:B,2,0)</f>
        <v>20</v>
      </c>
      <c r="I2254" s="137">
        <v>3062000</v>
      </c>
      <c r="J2254" s="132">
        <f t="shared" si="70"/>
        <v>153100</v>
      </c>
    </row>
    <row r="2255" spans="1:10">
      <c r="A2255" s="115" t="s">
        <v>644</v>
      </c>
      <c r="B2255" s="115" t="s">
        <v>645</v>
      </c>
      <c r="C2255" s="115" t="s">
        <v>1480</v>
      </c>
      <c r="D2255" s="115" t="s">
        <v>1481</v>
      </c>
      <c r="E2255" s="133" t="str">
        <f t="shared" si="71"/>
        <v>1200000560PUSS-53206 AC EX VN</v>
      </c>
      <c r="F2255" s="133" t="s">
        <v>3063</v>
      </c>
      <c r="G2255" s="133" t="s">
        <v>3889</v>
      </c>
      <c r="H2255" s="133">
        <f>VLOOKUP(G2255,'packing mapping'!A:B,2,0)</f>
        <v>200</v>
      </c>
      <c r="I2255" s="137">
        <v>29790000</v>
      </c>
      <c r="J2255" s="132">
        <f t="shared" si="70"/>
        <v>148950</v>
      </c>
    </row>
    <row r="2256" spans="1:10">
      <c r="A2256" s="115" t="s">
        <v>644</v>
      </c>
      <c r="B2256" s="115" t="s">
        <v>645</v>
      </c>
      <c r="C2256" s="115" t="s">
        <v>1220</v>
      </c>
      <c r="D2256" s="115" t="s">
        <v>1221</v>
      </c>
      <c r="E2256" s="133" t="str">
        <f t="shared" si="71"/>
        <v>1200000560SST-11100 C10 BLACK</v>
      </c>
      <c r="F2256" s="133" t="s">
        <v>3064</v>
      </c>
      <c r="G2256" s="133" t="s">
        <v>3883</v>
      </c>
      <c r="H2256" s="133">
        <f>VLOOKUP(G2256,'packing mapping'!A:B,2,0)</f>
        <v>4</v>
      </c>
      <c r="I2256" s="137">
        <v>1005320</v>
      </c>
      <c r="J2256" s="132">
        <f t="shared" si="70"/>
        <v>251330</v>
      </c>
    </row>
    <row r="2257" spans="1:10">
      <c r="A2257" s="115" t="s">
        <v>644</v>
      </c>
      <c r="B2257" s="115" t="s">
        <v>645</v>
      </c>
      <c r="C2257" s="115" t="s">
        <v>1222</v>
      </c>
      <c r="D2257" s="115" t="s">
        <v>1223</v>
      </c>
      <c r="E2257" s="133" t="str">
        <f t="shared" si="71"/>
        <v>1200000560SST-11100 C10 BLUE</v>
      </c>
      <c r="F2257" s="133" t="s">
        <v>3065</v>
      </c>
      <c r="G2257" s="133" t="s">
        <v>3883</v>
      </c>
      <c r="H2257" s="133">
        <f>VLOOKUP(G2257,'packing mapping'!A:B,2,0)</f>
        <v>4</v>
      </c>
      <c r="I2257" s="137">
        <v>1446840</v>
      </c>
      <c r="J2257" s="132">
        <f t="shared" si="70"/>
        <v>361710</v>
      </c>
    </row>
    <row r="2258" spans="1:10">
      <c r="A2258" s="115" t="s">
        <v>644</v>
      </c>
      <c r="B2258" s="115" t="s">
        <v>645</v>
      </c>
      <c r="C2258" s="115" t="s">
        <v>1226</v>
      </c>
      <c r="D2258" s="115" t="s">
        <v>1227</v>
      </c>
      <c r="E2258" s="133" t="str">
        <f t="shared" si="71"/>
        <v>1200000560SST-11100 C10 RED</v>
      </c>
      <c r="F2258" s="133" t="s">
        <v>3067</v>
      </c>
      <c r="G2258" s="133" t="s">
        <v>3883</v>
      </c>
      <c r="H2258" s="133">
        <f>VLOOKUP(G2258,'packing mapping'!A:B,2,0)</f>
        <v>4</v>
      </c>
      <c r="I2258" s="137">
        <v>1174560</v>
      </c>
      <c r="J2258" s="132">
        <f t="shared" si="70"/>
        <v>293640</v>
      </c>
    </row>
    <row r="2259" spans="1:10">
      <c r="A2259" s="115" t="s">
        <v>644</v>
      </c>
      <c r="B2259" s="115" t="s">
        <v>645</v>
      </c>
      <c r="C2259" s="115" t="s">
        <v>1228</v>
      </c>
      <c r="D2259" s="115" t="s">
        <v>1229</v>
      </c>
      <c r="E2259" s="133" t="str">
        <f t="shared" si="71"/>
        <v>1200000560SST-11100 C10 YELLOW</v>
      </c>
      <c r="F2259" s="133" t="s">
        <v>3068</v>
      </c>
      <c r="G2259" s="133" t="s">
        <v>3883</v>
      </c>
      <c r="H2259" s="133">
        <f>VLOOKUP(G2259,'packing mapping'!A:B,2,0)</f>
        <v>4</v>
      </c>
      <c r="I2259" s="137">
        <v>1012120</v>
      </c>
      <c r="J2259" s="132">
        <f t="shared" si="70"/>
        <v>253030</v>
      </c>
    </row>
    <row r="2260" spans="1:10">
      <c r="A2260" s="115" t="s">
        <v>644</v>
      </c>
      <c r="B2260" s="115" t="s">
        <v>645</v>
      </c>
      <c r="C2260" s="115" t="s">
        <v>1232</v>
      </c>
      <c r="D2260" s="115" t="s">
        <v>1233</v>
      </c>
      <c r="E2260" s="133" t="str">
        <f t="shared" si="71"/>
        <v>1200000560THC-73100-201 VN</v>
      </c>
      <c r="F2260" s="133" t="s">
        <v>3070</v>
      </c>
      <c r="G2260" s="133" t="s">
        <v>3880</v>
      </c>
      <c r="H2260" s="133">
        <f>VLOOKUP(G2260,'packing mapping'!A:B,2,0)</f>
        <v>20</v>
      </c>
      <c r="I2260" s="137">
        <v>1227000</v>
      </c>
      <c r="J2260" s="132">
        <f t="shared" si="70"/>
        <v>61350</v>
      </c>
    </row>
    <row r="2261" spans="1:10">
      <c r="A2261" s="115" t="s">
        <v>644</v>
      </c>
      <c r="B2261" s="115" t="s">
        <v>645</v>
      </c>
      <c r="C2261" s="115" t="s">
        <v>1738</v>
      </c>
      <c r="D2261" s="115" t="s">
        <v>1739</v>
      </c>
      <c r="E2261" s="133" t="str">
        <f t="shared" si="71"/>
        <v>1200000560THC-73100-452 VN</v>
      </c>
      <c r="F2261" s="133" t="s">
        <v>3302</v>
      </c>
      <c r="G2261" s="133" t="s">
        <v>3880</v>
      </c>
      <c r="H2261" s="133">
        <f>VLOOKUP(G2261,'packing mapping'!A:B,2,0)</f>
        <v>20</v>
      </c>
      <c r="I2261" s="137">
        <v>2039200</v>
      </c>
      <c r="J2261" s="132">
        <f t="shared" si="70"/>
        <v>101960</v>
      </c>
    </row>
    <row r="2262" spans="1:10">
      <c r="A2262" s="115" t="s">
        <v>644</v>
      </c>
      <c r="B2262" s="115" t="s">
        <v>645</v>
      </c>
      <c r="C2262" s="115" t="s">
        <v>1240</v>
      </c>
      <c r="D2262" s="115" t="s">
        <v>1241</v>
      </c>
      <c r="E2262" s="133" t="str">
        <f t="shared" si="71"/>
        <v>1200000560THNC-71100 SD VN</v>
      </c>
      <c r="F2262" s="133" t="s">
        <v>3074</v>
      </c>
      <c r="G2262" s="133" t="s">
        <v>3884</v>
      </c>
      <c r="H2262" s="133">
        <f>VLOOKUP(G2262,'packing mapping'!A:B,2,0)</f>
        <v>200</v>
      </c>
      <c r="I2262" s="137">
        <v>10372000</v>
      </c>
      <c r="J2262" s="132">
        <f t="shared" si="70"/>
        <v>51860</v>
      </c>
    </row>
    <row r="2263" spans="1:10">
      <c r="A2263" s="115" t="s">
        <v>644</v>
      </c>
      <c r="B2263" s="115" t="s">
        <v>645</v>
      </c>
      <c r="C2263" s="115" t="s">
        <v>1242</v>
      </c>
      <c r="D2263" s="115" t="s">
        <v>1243</v>
      </c>
      <c r="E2263" s="133" t="str">
        <f t="shared" si="71"/>
        <v>1200000560THPU-71306 ST VN</v>
      </c>
      <c r="F2263" s="133" t="s">
        <v>3039</v>
      </c>
      <c r="G2263" s="133" t="s">
        <v>3884</v>
      </c>
      <c r="H2263" s="133">
        <f>VLOOKUP(G2263,'packing mapping'!A:B,2,0)</f>
        <v>200</v>
      </c>
      <c r="I2263" s="137">
        <v>11442000</v>
      </c>
      <c r="J2263" s="132">
        <f t="shared" si="70"/>
        <v>57210</v>
      </c>
    </row>
    <row r="2264" spans="1:10">
      <c r="A2264" s="115" t="s">
        <v>644</v>
      </c>
      <c r="B2264" s="115" t="s">
        <v>645</v>
      </c>
      <c r="C2264" s="115" t="s">
        <v>1244</v>
      </c>
      <c r="D2264" s="115" t="s">
        <v>1245</v>
      </c>
      <c r="E2264" s="133" t="str">
        <f t="shared" si="71"/>
        <v>1200000560TOL-76114 W VN</v>
      </c>
      <c r="F2264" s="133" t="s">
        <v>3075</v>
      </c>
      <c r="G2264" s="133" t="s">
        <v>3880</v>
      </c>
      <c r="H2264" s="133">
        <f>VLOOKUP(G2264,'packing mapping'!A:B,2,0)</f>
        <v>20</v>
      </c>
      <c r="I2264" s="137">
        <v>1500400</v>
      </c>
      <c r="J2264" s="132">
        <f t="shared" si="70"/>
        <v>75020</v>
      </c>
    </row>
    <row r="2265" spans="1:10">
      <c r="A2265" s="115" t="s">
        <v>644</v>
      </c>
      <c r="B2265" s="115" t="s">
        <v>645</v>
      </c>
      <c r="C2265" s="115" t="s">
        <v>1546</v>
      </c>
      <c r="D2265" s="115" t="s">
        <v>1547</v>
      </c>
      <c r="E2265" s="133" t="str">
        <f t="shared" si="71"/>
        <v>1200000560TOL-76301 N CLEAR BASE VN</v>
      </c>
      <c r="F2265" s="133" t="s">
        <v>3213</v>
      </c>
      <c r="G2265" s="133" t="s">
        <v>3880</v>
      </c>
      <c r="H2265" s="133">
        <f>VLOOKUP(G2265,'packing mapping'!A:B,2,0)</f>
        <v>20</v>
      </c>
      <c r="I2265" s="137">
        <v>2009200</v>
      </c>
      <c r="J2265" s="132">
        <f t="shared" si="70"/>
        <v>100460</v>
      </c>
    </row>
    <row r="2266" spans="1:10">
      <c r="A2266" s="115" t="s">
        <v>644</v>
      </c>
      <c r="B2266" s="115" t="s">
        <v>645</v>
      </c>
      <c r="C2266" s="115" t="s">
        <v>2200</v>
      </c>
      <c r="D2266" s="115" t="s">
        <v>2201</v>
      </c>
      <c r="E2266" s="133" t="str">
        <f t="shared" si="71"/>
        <v>1200000560PUL-51341 CLEAR 50 VN</v>
      </c>
      <c r="F2266" s="133" t="s">
        <v>3514</v>
      </c>
      <c r="G2266" s="133" t="s">
        <v>3882</v>
      </c>
      <c r="H2266" s="133">
        <f>VLOOKUP(G2266,'packing mapping'!A:B,2,0)</f>
        <v>18</v>
      </c>
      <c r="I2266" s="137">
        <v>1710000</v>
      </c>
      <c r="J2266" s="132">
        <f t="shared" si="70"/>
        <v>95000</v>
      </c>
    </row>
    <row r="2267" spans="1:10">
      <c r="A2267" s="115" t="s">
        <v>644</v>
      </c>
      <c r="B2267" s="115" t="s">
        <v>645</v>
      </c>
      <c r="C2267" s="115" t="s">
        <v>1248</v>
      </c>
      <c r="D2267" s="115" t="s">
        <v>1249</v>
      </c>
      <c r="E2267" s="133" t="str">
        <f t="shared" si="71"/>
        <v>1200000560MEPH-12003 PS VN</v>
      </c>
      <c r="F2267" s="133" t="s">
        <v>3077</v>
      </c>
      <c r="G2267" s="133" t="s">
        <v>3887</v>
      </c>
      <c r="H2267" s="133">
        <f>VLOOKUP(G2267,'packing mapping'!A:B,2,0)</f>
        <v>2</v>
      </c>
      <c r="I2267" s="137">
        <v>498600</v>
      </c>
      <c r="J2267" s="132">
        <f t="shared" si="70"/>
        <v>249300</v>
      </c>
    </row>
    <row r="2268" spans="1:10">
      <c r="A2268" s="115" t="s">
        <v>644</v>
      </c>
      <c r="B2268" s="115" t="s">
        <v>645</v>
      </c>
      <c r="C2268" s="115" t="s">
        <v>1890</v>
      </c>
      <c r="D2268" s="115" t="s">
        <v>1891</v>
      </c>
      <c r="E2268" s="133" t="str">
        <f t="shared" si="71"/>
        <v>1200000560PUC-54205 AC WHITE 40 VN</v>
      </c>
      <c r="F2268" s="133" t="s">
        <v>3367</v>
      </c>
      <c r="G2268" s="133" t="s">
        <v>3881</v>
      </c>
      <c r="H2268" s="133">
        <f>VLOOKUP(G2268,'packing mapping'!A:B,2,0)</f>
        <v>20</v>
      </c>
      <c r="I2268" s="137">
        <v>3330600</v>
      </c>
      <c r="J2268" s="132">
        <f t="shared" si="70"/>
        <v>166530</v>
      </c>
    </row>
    <row r="2269" spans="1:10">
      <c r="A2269" s="115" t="s">
        <v>644</v>
      </c>
      <c r="B2269" s="115" t="s">
        <v>645</v>
      </c>
      <c r="C2269" s="115" t="s">
        <v>1258</v>
      </c>
      <c r="D2269" s="115" t="s">
        <v>1259</v>
      </c>
      <c r="E2269" s="133" t="str">
        <f t="shared" si="71"/>
        <v>1200000560DP-12123 LC WHITE 01 VN</v>
      </c>
      <c r="F2269" s="133" t="s">
        <v>3082</v>
      </c>
      <c r="G2269" s="133" t="s">
        <v>3881</v>
      </c>
      <c r="H2269" s="133">
        <f>VLOOKUP(G2269,'packing mapping'!A:B,2,0)</f>
        <v>20</v>
      </c>
      <c r="I2269" s="137">
        <v>2179600</v>
      </c>
      <c r="J2269" s="132">
        <f t="shared" si="70"/>
        <v>108980</v>
      </c>
    </row>
    <row r="2270" spans="1:10">
      <c r="A2270" s="115" t="s">
        <v>644</v>
      </c>
      <c r="B2270" s="115" t="s">
        <v>645</v>
      </c>
      <c r="C2270" s="115" t="s">
        <v>1558</v>
      </c>
      <c r="D2270" s="115" t="s">
        <v>1559</v>
      </c>
      <c r="E2270" s="133" t="str">
        <f t="shared" si="71"/>
        <v>1200000560PUP-54111 AC WHITE VN</v>
      </c>
      <c r="F2270" s="133" t="s">
        <v>3218</v>
      </c>
      <c r="G2270" s="133" t="s">
        <v>3881</v>
      </c>
      <c r="H2270" s="133">
        <f>VLOOKUP(G2270,'packing mapping'!A:B,2,0)</f>
        <v>20</v>
      </c>
      <c r="I2270" s="137">
        <v>2956000</v>
      </c>
      <c r="J2270" s="132">
        <f t="shared" si="70"/>
        <v>147800</v>
      </c>
    </row>
    <row r="2271" spans="1:10">
      <c r="A2271" s="115" t="s">
        <v>644</v>
      </c>
      <c r="B2271" s="115" t="s">
        <v>645</v>
      </c>
      <c r="C2271" s="115" t="s">
        <v>2042</v>
      </c>
      <c r="D2271" s="115" t="s">
        <v>2043</v>
      </c>
      <c r="E2271" s="133" t="str">
        <f t="shared" si="71"/>
        <v>1200000560RD-74106 VN</v>
      </c>
      <c r="F2271" s="133" t="s">
        <v>3099</v>
      </c>
      <c r="G2271" s="133" t="s">
        <v>3884</v>
      </c>
      <c r="H2271" s="133">
        <f>VLOOKUP(G2271,'packing mapping'!A:B,2,0)</f>
        <v>200</v>
      </c>
      <c r="I2271" s="137">
        <v>13870000</v>
      </c>
      <c r="J2271" s="132">
        <f t="shared" si="70"/>
        <v>69350</v>
      </c>
    </row>
    <row r="2272" spans="1:10">
      <c r="A2272" s="115" t="s">
        <v>644</v>
      </c>
      <c r="B2272" s="115" t="s">
        <v>645</v>
      </c>
      <c r="C2272" s="115" t="s">
        <v>1296</v>
      </c>
      <c r="D2272" s="115" t="s">
        <v>1297</v>
      </c>
      <c r="E2272" s="133" t="str">
        <f t="shared" si="71"/>
        <v>1200000560RD-74106 VN</v>
      </c>
      <c r="F2272" s="133" t="s">
        <v>3099</v>
      </c>
      <c r="G2272" s="133" t="s">
        <v>3880</v>
      </c>
      <c r="H2272" s="133">
        <f>VLOOKUP(G2272,'packing mapping'!A:B,2,0)</f>
        <v>20</v>
      </c>
      <c r="I2272" s="137">
        <v>1441800</v>
      </c>
      <c r="J2272" s="132">
        <f t="shared" si="70"/>
        <v>72090</v>
      </c>
    </row>
    <row r="2273" spans="1:10">
      <c r="A2273" s="115" t="s">
        <v>644</v>
      </c>
      <c r="B2273" s="115" t="s">
        <v>645</v>
      </c>
      <c r="C2273" s="115" t="s">
        <v>1304</v>
      </c>
      <c r="D2273" s="115" t="s">
        <v>1305</v>
      </c>
      <c r="E2273" s="133" t="str">
        <f t="shared" si="71"/>
        <v>1200000560GZ-12700 N BLACK VN</v>
      </c>
      <c r="F2273" s="133" t="s">
        <v>3103</v>
      </c>
      <c r="G2273" s="133" t="s">
        <v>3883</v>
      </c>
      <c r="H2273" s="133">
        <f>VLOOKUP(G2273,'packing mapping'!A:B,2,0)</f>
        <v>4</v>
      </c>
      <c r="I2273" s="137">
        <v>1110680</v>
      </c>
      <c r="J2273" s="132">
        <f t="shared" si="70"/>
        <v>277670</v>
      </c>
    </row>
    <row r="2274" spans="1:10">
      <c r="A2274" s="115" t="s">
        <v>644</v>
      </c>
      <c r="B2274" s="115" t="s">
        <v>645</v>
      </c>
      <c r="C2274" s="115" t="s">
        <v>1308</v>
      </c>
      <c r="D2274" s="115" t="s">
        <v>1309</v>
      </c>
      <c r="E2274" s="133" t="str">
        <f t="shared" si="71"/>
        <v>1200000560GZ-12700 N YELLOW</v>
      </c>
      <c r="F2274" s="133" t="s">
        <v>3105</v>
      </c>
      <c r="G2274" s="133" t="s">
        <v>3883</v>
      </c>
      <c r="H2274" s="133">
        <f>VLOOKUP(G2274,'packing mapping'!A:B,2,0)</f>
        <v>4</v>
      </c>
      <c r="I2274" s="137">
        <v>1282880</v>
      </c>
      <c r="J2274" s="132">
        <f t="shared" si="70"/>
        <v>320720</v>
      </c>
    </row>
    <row r="2275" spans="1:10">
      <c r="A2275" s="115" t="s">
        <v>644</v>
      </c>
      <c r="B2275" s="115" t="s">
        <v>645</v>
      </c>
      <c r="C2275" s="115" t="s">
        <v>1798</v>
      </c>
      <c r="D2275" s="115" t="s">
        <v>1799</v>
      </c>
      <c r="E2275" s="133" t="str">
        <f t="shared" si="71"/>
        <v>1200000560GZ-12700 N VAN DYKE BROWN VN</v>
      </c>
      <c r="F2275" s="133" t="s">
        <v>3324</v>
      </c>
      <c r="G2275" s="133" t="s">
        <v>3883</v>
      </c>
      <c r="H2275" s="133">
        <f>VLOOKUP(G2275,'packing mapping'!A:B,2,0)</f>
        <v>4</v>
      </c>
      <c r="I2275" s="137">
        <v>1066160</v>
      </c>
      <c r="J2275" s="132">
        <f t="shared" si="70"/>
        <v>266540</v>
      </c>
    </row>
    <row r="2276" spans="1:10">
      <c r="A2276" s="115" t="s">
        <v>644</v>
      </c>
      <c r="B2276" s="115" t="s">
        <v>645</v>
      </c>
      <c r="C2276" s="115" t="s">
        <v>1906</v>
      </c>
      <c r="D2276" s="115" t="s">
        <v>1907</v>
      </c>
      <c r="E2276" s="133" t="str">
        <f t="shared" si="71"/>
        <v>1200000560PUL-53306 AC EX CLEAR 60 VN</v>
      </c>
      <c r="F2276" s="133" t="s">
        <v>3374</v>
      </c>
      <c r="G2276" s="133" t="s">
        <v>3879</v>
      </c>
      <c r="H2276" s="133">
        <f>VLOOKUP(G2276,'packing mapping'!A:B,2,0)</f>
        <v>20</v>
      </c>
      <c r="I2276" s="137">
        <v>3608000</v>
      </c>
      <c r="J2276" s="132">
        <f t="shared" si="70"/>
        <v>180400</v>
      </c>
    </row>
    <row r="2277" spans="1:10">
      <c r="A2277" s="115" t="s">
        <v>644</v>
      </c>
      <c r="B2277" s="115" t="s">
        <v>645</v>
      </c>
      <c r="C2277" s="115" t="s">
        <v>1496</v>
      </c>
      <c r="D2277" s="115" t="s">
        <v>1497</v>
      </c>
      <c r="E2277" s="133" t="str">
        <f t="shared" si="71"/>
        <v>1200000560PUH-56141 VN</v>
      </c>
      <c r="F2277" s="133" t="s">
        <v>3189</v>
      </c>
      <c r="G2277" s="133" t="s">
        <v>3881</v>
      </c>
      <c r="H2277" s="133">
        <f>VLOOKUP(G2277,'packing mapping'!A:B,2,0)</f>
        <v>20</v>
      </c>
      <c r="I2277" s="137">
        <v>2605600</v>
      </c>
      <c r="J2277" s="132">
        <f t="shared" si="70"/>
        <v>130280</v>
      </c>
    </row>
    <row r="2278" spans="1:10">
      <c r="A2278" s="115" t="s">
        <v>644</v>
      </c>
      <c r="B2278" s="115" t="s">
        <v>645</v>
      </c>
      <c r="C2278" s="115" t="s">
        <v>1498</v>
      </c>
      <c r="D2278" s="115" t="s">
        <v>1499</v>
      </c>
      <c r="E2278" s="133" t="str">
        <f t="shared" si="71"/>
        <v>1200000560GP-98000 GREENISH</v>
      </c>
      <c r="F2278" s="133" t="s">
        <v>3190</v>
      </c>
      <c r="G2278" s="133" t="s">
        <v>3894</v>
      </c>
      <c r="H2278" s="133">
        <f>VLOOKUP(G2278,'packing mapping'!A:B,2,0)</f>
        <v>1</v>
      </c>
      <c r="I2278" s="137">
        <v>2162160</v>
      </c>
      <c r="J2278" s="132">
        <f t="shared" si="70"/>
        <v>2162160</v>
      </c>
    </row>
    <row r="2279" spans="1:10">
      <c r="A2279" s="115" t="s">
        <v>644</v>
      </c>
      <c r="B2279" s="115" t="s">
        <v>645</v>
      </c>
      <c r="C2279" s="115" t="s">
        <v>1334</v>
      </c>
      <c r="D2279" s="115" t="s">
        <v>1335</v>
      </c>
      <c r="E2279" s="133" t="str">
        <f t="shared" si="71"/>
        <v>1200000560MEP-12003 HC VN</v>
      </c>
      <c r="F2279" s="133" t="s">
        <v>3118</v>
      </c>
      <c r="G2279" s="133" t="s">
        <v>3882</v>
      </c>
      <c r="H2279" s="133">
        <f>VLOOKUP(G2279,'packing mapping'!A:B,2,0)</f>
        <v>18</v>
      </c>
      <c r="I2279" s="137">
        <v>2574900</v>
      </c>
      <c r="J2279" s="132">
        <f t="shared" si="70"/>
        <v>143050</v>
      </c>
    </row>
    <row r="2280" spans="1:10">
      <c r="A2280" s="115" t="s">
        <v>644</v>
      </c>
      <c r="B2280" s="115" t="s">
        <v>645</v>
      </c>
      <c r="C2280" s="115" t="s">
        <v>1586</v>
      </c>
      <c r="D2280" s="115" t="s">
        <v>1587</v>
      </c>
      <c r="E2280" s="133" t="str">
        <f t="shared" si="71"/>
        <v>1200000560THPU-71306 01 KD VN</v>
      </c>
      <c r="F2280" s="133" t="s">
        <v>3231</v>
      </c>
      <c r="G2280" s="133" t="s">
        <v>3884</v>
      </c>
      <c r="H2280" s="133">
        <f>VLOOKUP(G2280,'packing mapping'!A:B,2,0)</f>
        <v>200</v>
      </c>
      <c r="I2280" s="137">
        <v>9622000</v>
      </c>
      <c r="J2280" s="132">
        <f t="shared" si="70"/>
        <v>48110</v>
      </c>
    </row>
    <row r="2281" spans="1:10">
      <c r="A2281" s="115" t="s">
        <v>644</v>
      </c>
      <c r="B2281" s="115" t="s">
        <v>645</v>
      </c>
      <c r="C2281" s="115" t="s">
        <v>1936</v>
      </c>
      <c r="D2281" s="115" t="s">
        <v>1937</v>
      </c>
      <c r="E2281" s="133" t="str">
        <f t="shared" si="71"/>
        <v>1200000560AP-98200 170 VN</v>
      </c>
      <c r="F2281" s="133" t="s">
        <v>3389</v>
      </c>
      <c r="G2281" s="133" t="s">
        <v>3894</v>
      </c>
      <c r="H2281" s="133">
        <f>VLOOKUP(G2281,'packing mapping'!A:B,2,0)</f>
        <v>1</v>
      </c>
      <c r="I2281" s="137">
        <v>1701120</v>
      </c>
      <c r="J2281" s="132">
        <f t="shared" si="70"/>
        <v>1701120</v>
      </c>
    </row>
    <row r="2282" spans="1:10">
      <c r="A2282" s="115" t="s">
        <v>644</v>
      </c>
      <c r="B2282" s="115" t="s">
        <v>645</v>
      </c>
      <c r="C2282" s="115" t="s">
        <v>2882</v>
      </c>
      <c r="D2282" s="115" t="s">
        <v>2883</v>
      </c>
      <c r="E2282" s="133" t="str">
        <f t="shared" si="71"/>
        <v>1200000560AP-98200 GOLD 99305 VN</v>
      </c>
      <c r="F2282" s="133" t="s">
        <v>3812</v>
      </c>
      <c r="G2282" s="133" t="s">
        <v>3909</v>
      </c>
      <c r="H2282" s="133">
        <f>VLOOKUP(G2282,'packing mapping'!A:B,2,0)</f>
        <v>25</v>
      </c>
      <c r="I2282" s="137">
        <v>17854200</v>
      </c>
      <c r="J2282" s="132">
        <f t="shared" si="70"/>
        <v>714168</v>
      </c>
    </row>
    <row r="2283" spans="1:10">
      <c r="A2283" s="115" t="s">
        <v>644</v>
      </c>
      <c r="B2283" s="115" t="s">
        <v>645</v>
      </c>
      <c r="C2283" s="115" t="s">
        <v>2884</v>
      </c>
      <c r="D2283" s="115" t="s">
        <v>2885</v>
      </c>
      <c r="E2283" s="133" t="str">
        <f t="shared" si="71"/>
        <v>1200000560AP-98200 GOLD 9315 VN</v>
      </c>
      <c r="F2283" s="133" t="s">
        <v>3813</v>
      </c>
      <c r="G2283" s="133" t="s">
        <v>3909</v>
      </c>
      <c r="H2283" s="133">
        <f>VLOOKUP(G2283,'packing mapping'!A:B,2,0)</f>
        <v>25</v>
      </c>
      <c r="I2283" s="137">
        <v>17854200</v>
      </c>
      <c r="J2283" s="132">
        <f t="shared" si="70"/>
        <v>714168</v>
      </c>
    </row>
    <row r="2284" spans="1:10">
      <c r="A2284" s="115" t="s">
        <v>644</v>
      </c>
      <c r="B2284" s="115" t="s">
        <v>645</v>
      </c>
      <c r="C2284" s="115" t="s">
        <v>2886</v>
      </c>
      <c r="D2284" s="115" t="s">
        <v>2887</v>
      </c>
      <c r="E2284" s="133" t="str">
        <f t="shared" si="71"/>
        <v>1200000560AP-98200 SILVER S9504 VN</v>
      </c>
      <c r="F2284" s="133" t="s">
        <v>3814</v>
      </c>
      <c r="G2284" s="133" t="s">
        <v>3881</v>
      </c>
      <c r="H2284" s="133">
        <f>VLOOKUP(G2284,'packing mapping'!A:B,2,0)</f>
        <v>20</v>
      </c>
      <c r="I2284" s="137">
        <v>11378600</v>
      </c>
      <c r="J2284" s="132">
        <f t="shared" si="70"/>
        <v>568930</v>
      </c>
    </row>
    <row r="2285" spans="1:10">
      <c r="A2285" s="115" t="s">
        <v>644</v>
      </c>
      <c r="B2285" s="115" t="s">
        <v>645</v>
      </c>
      <c r="C2285" s="115" t="s">
        <v>2888</v>
      </c>
      <c r="D2285" s="115" t="s">
        <v>2889</v>
      </c>
      <c r="E2285" s="133" t="str">
        <f t="shared" si="71"/>
        <v>1200000560AP-98200 GOLD 3310 VN</v>
      </c>
      <c r="F2285" s="133" t="s">
        <v>3815</v>
      </c>
      <c r="G2285" s="133" t="s">
        <v>3894</v>
      </c>
      <c r="H2285" s="133">
        <f>VLOOKUP(G2285,'packing mapping'!A:B,2,0)</f>
        <v>1</v>
      </c>
      <c r="I2285" s="137">
        <v>1638000</v>
      </c>
      <c r="J2285" s="132">
        <f t="shared" si="70"/>
        <v>1638000</v>
      </c>
    </row>
    <row r="2286" spans="1:10">
      <c r="A2286" s="115" t="s">
        <v>644</v>
      </c>
      <c r="B2286" s="115" t="s">
        <v>645</v>
      </c>
      <c r="C2286" s="115" t="s">
        <v>2890</v>
      </c>
      <c r="D2286" s="115" t="s">
        <v>2891</v>
      </c>
      <c r="E2286" s="133" t="str">
        <f t="shared" si="71"/>
        <v>1200000560AP-98200 GOLD 3365 VN</v>
      </c>
      <c r="F2286" s="133" t="s">
        <v>3816</v>
      </c>
      <c r="G2286" s="133" t="s">
        <v>3894</v>
      </c>
      <c r="H2286" s="133">
        <f>VLOOKUP(G2286,'packing mapping'!A:B,2,0)</f>
        <v>1</v>
      </c>
      <c r="I2286" s="137">
        <v>1638000</v>
      </c>
      <c r="J2286" s="132">
        <f t="shared" si="70"/>
        <v>1638000</v>
      </c>
    </row>
    <row r="2287" spans="1:10">
      <c r="A2287" s="115" t="s">
        <v>644</v>
      </c>
      <c r="B2287" s="115" t="s">
        <v>645</v>
      </c>
      <c r="C2287" s="115" t="s">
        <v>2892</v>
      </c>
      <c r="D2287" s="115" t="s">
        <v>2893</v>
      </c>
      <c r="E2287" s="133" t="str">
        <f t="shared" si="71"/>
        <v>1200000560AP-98200 SILVER BACDEO VN</v>
      </c>
      <c r="F2287" s="133" t="s">
        <v>3817</v>
      </c>
      <c r="G2287" s="133" t="s">
        <v>3894</v>
      </c>
      <c r="H2287" s="133">
        <f>VLOOKUP(G2287,'packing mapping'!A:B,2,0)</f>
        <v>1</v>
      </c>
      <c r="I2287" s="137">
        <v>559600</v>
      </c>
      <c r="J2287" s="132">
        <f t="shared" si="70"/>
        <v>559600</v>
      </c>
    </row>
    <row r="2288" spans="1:10">
      <c r="A2288" s="115" t="s">
        <v>644</v>
      </c>
      <c r="B2288" s="115" t="s">
        <v>645</v>
      </c>
      <c r="C2288" s="115" t="s">
        <v>2354</v>
      </c>
      <c r="D2288" s="115" t="s">
        <v>2355</v>
      </c>
      <c r="E2288" s="133" t="str">
        <f t="shared" si="71"/>
        <v>1200000560THPU-71306 01 KD VN</v>
      </c>
      <c r="F2288" s="133" t="s">
        <v>3231</v>
      </c>
      <c r="G2288" s="133" t="s">
        <v>3893</v>
      </c>
      <c r="H2288" s="133">
        <f>VLOOKUP(G2288,'packing mapping'!A:B,2,0)</f>
        <v>180</v>
      </c>
      <c r="I2288" s="137">
        <v>8659800</v>
      </c>
      <c r="J2288" s="132">
        <f t="shared" si="70"/>
        <v>48110</v>
      </c>
    </row>
    <row r="2289" spans="1:10">
      <c r="A2289" s="115" t="s">
        <v>644</v>
      </c>
      <c r="B2289" s="115" t="s">
        <v>645</v>
      </c>
      <c r="C2289" s="115" t="s">
        <v>2360</v>
      </c>
      <c r="D2289" s="115" t="s">
        <v>2361</v>
      </c>
      <c r="E2289" s="133" t="str">
        <f t="shared" si="71"/>
        <v>1200000560THGZ-72200 D40 VN</v>
      </c>
      <c r="F2289" s="133" t="s">
        <v>3344</v>
      </c>
      <c r="G2289" s="133" t="s">
        <v>3899</v>
      </c>
      <c r="H2289" s="133">
        <f>VLOOKUP(G2289,'packing mapping'!A:B,2,0)</f>
        <v>160</v>
      </c>
      <c r="I2289" s="137">
        <v>14440000</v>
      </c>
      <c r="J2289" s="132">
        <f t="shared" si="70"/>
        <v>90250</v>
      </c>
    </row>
    <row r="2290" spans="1:10">
      <c r="A2290" s="115" t="s">
        <v>1037</v>
      </c>
      <c r="B2290" s="115" t="s">
        <v>1038</v>
      </c>
      <c r="C2290" s="115" t="s">
        <v>1180</v>
      </c>
      <c r="D2290" s="115" t="s">
        <v>1181</v>
      </c>
      <c r="E2290" s="133" t="str">
        <f t="shared" si="71"/>
        <v>1200001077GZPU-21500 RU BASE VN</v>
      </c>
      <c r="F2290" s="133" t="s">
        <v>3044</v>
      </c>
      <c r="G2290" s="133" t="s">
        <v>3882</v>
      </c>
      <c r="H2290" s="133">
        <f>VLOOKUP(G2290,'packing mapping'!A:B,2,0)</f>
        <v>18</v>
      </c>
      <c r="I2290" s="137">
        <v>3722940</v>
      </c>
      <c r="J2290" s="132">
        <f t="shared" si="70"/>
        <v>206830</v>
      </c>
    </row>
    <row r="2291" spans="1:10">
      <c r="A2291" s="115" t="s">
        <v>1037</v>
      </c>
      <c r="B2291" s="115" t="s">
        <v>1038</v>
      </c>
      <c r="C2291" s="115" t="s">
        <v>1184</v>
      </c>
      <c r="D2291" s="115" t="s">
        <v>1185</v>
      </c>
      <c r="E2291" s="133" t="str">
        <f t="shared" si="71"/>
        <v>1200001077MEP-12003 CLEAR BASE VN</v>
      </c>
      <c r="F2291" s="133" t="s">
        <v>3046</v>
      </c>
      <c r="G2291" s="133" t="s">
        <v>3882</v>
      </c>
      <c r="H2291" s="133">
        <f>VLOOKUP(G2291,'packing mapping'!A:B,2,0)</f>
        <v>18</v>
      </c>
      <c r="I2291" s="137">
        <v>1422900</v>
      </c>
      <c r="J2291" s="132">
        <f t="shared" si="70"/>
        <v>79050</v>
      </c>
    </row>
    <row r="2292" spans="1:10">
      <c r="A2292" s="115" t="s">
        <v>1037</v>
      </c>
      <c r="B2292" s="115" t="s">
        <v>1038</v>
      </c>
      <c r="C2292" s="115" t="s">
        <v>1190</v>
      </c>
      <c r="D2292" s="115" t="s">
        <v>1191</v>
      </c>
      <c r="E2292" s="133" t="str">
        <f t="shared" si="71"/>
        <v>1200001077PCA-31100 WHITE PASTE VN</v>
      </c>
      <c r="F2292" s="133" t="s">
        <v>3049</v>
      </c>
      <c r="G2292" s="133" t="s">
        <v>3883</v>
      </c>
      <c r="H2292" s="133">
        <f>VLOOKUP(G2292,'packing mapping'!A:B,2,0)</f>
        <v>4</v>
      </c>
      <c r="I2292" s="137">
        <v>907160</v>
      </c>
      <c r="J2292" s="132">
        <f t="shared" si="70"/>
        <v>226790</v>
      </c>
    </row>
    <row r="2293" spans="1:10">
      <c r="A2293" s="115" t="s">
        <v>1037</v>
      </c>
      <c r="B2293" s="115" t="s">
        <v>1038</v>
      </c>
      <c r="C2293" s="115" t="s">
        <v>1192</v>
      </c>
      <c r="D2293" s="115" t="s">
        <v>1193</v>
      </c>
      <c r="E2293" s="133" t="str">
        <f t="shared" si="71"/>
        <v>1200001077PCL-31300 BLACK PASTE</v>
      </c>
      <c r="F2293" s="133" t="s">
        <v>3050</v>
      </c>
      <c r="G2293" s="133" t="s">
        <v>3883</v>
      </c>
      <c r="H2293" s="133">
        <f>VLOOKUP(G2293,'packing mapping'!A:B,2,0)</f>
        <v>4</v>
      </c>
      <c r="I2293" s="137">
        <v>2484160</v>
      </c>
      <c r="J2293" s="132">
        <f t="shared" si="70"/>
        <v>621040</v>
      </c>
    </row>
    <row r="2294" spans="1:10">
      <c r="A2294" s="115" t="s">
        <v>1037</v>
      </c>
      <c r="B2294" s="115" t="s">
        <v>1038</v>
      </c>
      <c r="C2294" s="115" t="s">
        <v>1194</v>
      </c>
      <c r="D2294" s="115" t="s">
        <v>1195</v>
      </c>
      <c r="E2294" s="133" t="str">
        <f t="shared" si="71"/>
        <v>1200001077PCL-31300 BLUE OG PASTE</v>
      </c>
      <c r="F2294" s="133" t="s">
        <v>3051</v>
      </c>
      <c r="G2294" s="133" t="s">
        <v>3883</v>
      </c>
      <c r="H2294" s="133">
        <f>VLOOKUP(G2294,'packing mapping'!A:B,2,0)</f>
        <v>4</v>
      </c>
      <c r="I2294" s="137">
        <v>2186480</v>
      </c>
      <c r="J2294" s="132">
        <f t="shared" si="70"/>
        <v>546620</v>
      </c>
    </row>
    <row r="2295" spans="1:10">
      <c r="A2295" s="115" t="s">
        <v>1037</v>
      </c>
      <c r="B2295" s="115" t="s">
        <v>1038</v>
      </c>
      <c r="C2295" s="115" t="s">
        <v>1380</v>
      </c>
      <c r="D2295" s="115" t="s">
        <v>1381</v>
      </c>
      <c r="E2295" s="133" t="str">
        <f t="shared" si="71"/>
        <v>1200001077PCL-31300 OXIDE RED PASTE</v>
      </c>
      <c r="F2295" s="133" t="s">
        <v>3140</v>
      </c>
      <c r="G2295" s="133" t="s">
        <v>3883</v>
      </c>
      <c r="H2295" s="133">
        <f>VLOOKUP(G2295,'packing mapping'!A:B,2,0)</f>
        <v>4</v>
      </c>
      <c r="I2295" s="137">
        <v>2136200</v>
      </c>
      <c r="J2295" s="132">
        <f t="shared" si="70"/>
        <v>534050</v>
      </c>
    </row>
    <row r="2296" spans="1:10">
      <c r="A2296" s="115" t="s">
        <v>1037</v>
      </c>
      <c r="B2296" s="115" t="s">
        <v>1038</v>
      </c>
      <c r="C2296" s="115" t="s">
        <v>1202</v>
      </c>
      <c r="D2296" s="115" t="s">
        <v>1203</v>
      </c>
      <c r="E2296" s="133" t="str">
        <f t="shared" si="71"/>
        <v>1200001077PCL-31300 WHITE PASTE</v>
      </c>
      <c r="F2296" s="133" t="s">
        <v>3055</v>
      </c>
      <c r="G2296" s="133" t="s">
        <v>3883</v>
      </c>
      <c r="H2296" s="133">
        <f>VLOOKUP(G2296,'packing mapping'!A:B,2,0)</f>
        <v>4</v>
      </c>
      <c r="I2296" s="137">
        <v>907160</v>
      </c>
      <c r="J2296" s="132">
        <f t="shared" si="70"/>
        <v>226790</v>
      </c>
    </row>
    <row r="2297" spans="1:10">
      <c r="A2297" s="115" t="s">
        <v>1037</v>
      </c>
      <c r="B2297" s="115" t="s">
        <v>1038</v>
      </c>
      <c r="C2297" s="115" t="s">
        <v>1206</v>
      </c>
      <c r="D2297" s="115" t="s">
        <v>1207</v>
      </c>
      <c r="E2297" s="133" t="str">
        <f t="shared" si="71"/>
        <v>1200001077PCL-31300 YELLOW OKER PASTE</v>
      </c>
      <c r="F2297" s="133" t="s">
        <v>3057</v>
      </c>
      <c r="G2297" s="133" t="s">
        <v>3883</v>
      </c>
      <c r="H2297" s="133">
        <f>VLOOKUP(G2297,'packing mapping'!A:B,2,0)</f>
        <v>4</v>
      </c>
      <c r="I2297" s="137">
        <v>1583640</v>
      </c>
      <c r="J2297" s="132">
        <f t="shared" si="70"/>
        <v>395910</v>
      </c>
    </row>
    <row r="2298" spans="1:10">
      <c r="A2298" s="115" t="s">
        <v>1037</v>
      </c>
      <c r="B2298" s="115" t="s">
        <v>1038</v>
      </c>
      <c r="C2298" s="115" t="s">
        <v>1210</v>
      </c>
      <c r="D2298" s="115" t="s">
        <v>1211</v>
      </c>
      <c r="E2298" s="133" t="str">
        <f t="shared" si="71"/>
        <v>1200001077PUH-56306 LY VN</v>
      </c>
      <c r="F2298" s="133" t="s">
        <v>3059</v>
      </c>
      <c r="G2298" s="133" t="s">
        <v>3879</v>
      </c>
      <c r="H2298" s="133">
        <f>VLOOKUP(G2298,'packing mapping'!A:B,2,0)</f>
        <v>20</v>
      </c>
      <c r="I2298" s="137">
        <v>3271000</v>
      </c>
      <c r="J2298" s="132">
        <f t="shared" si="70"/>
        <v>163550</v>
      </c>
    </row>
    <row r="2299" spans="1:10">
      <c r="A2299" s="115" t="s">
        <v>1037</v>
      </c>
      <c r="B2299" s="115" t="s">
        <v>1038</v>
      </c>
      <c r="C2299" s="115" t="s">
        <v>1542</v>
      </c>
      <c r="D2299" s="115" t="s">
        <v>1543</v>
      </c>
      <c r="E2299" s="133" t="str">
        <f t="shared" si="71"/>
        <v>1200001077PUL-53306 AC EX CLEAR 05 VN</v>
      </c>
      <c r="F2299" s="133" t="s">
        <v>3211</v>
      </c>
      <c r="G2299" s="133" t="s">
        <v>3879</v>
      </c>
      <c r="H2299" s="133">
        <f>VLOOKUP(G2299,'packing mapping'!A:B,2,0)</f>
        <v>20</v>
      </c>
      <c r="I2299" s="137">
        <v>3378000</v>
      </c>
      <c r="J2299" s="132">
        <f t="shared" si="70"/>
        <v>168900</v>
      </c>
    </row>
    <row r="2300" spans="1:10">
      <c r="A2300" s="115" t="s">
        <v>1037</v>
      </c>
      <c r="B2300" s="115" t="s">
        <v>1038</v>
      </c>
      <c r="C2300" s="115" t="s">
        <v>1396</v>
      </c>
      <c r="D2300" s="115" t="s">
        <v>1397</v>
      </c>
      <c r="E2300" s="133" t="str">
        <f t="shared" si="71"/>
        <v>1200001077PUL-53306 AC EX CLEAR 10 VN</v>
      </c>
      <c r="F2300" s="133" t="s">
        <v>3148</v>
      </c>
      <c r="G2300" s="133" t="s">
        <v>3879</v>
      </c>
      <c r="H2300" s="133">
        <f>VLOOKUP(G2300,'packing mapping'!A:B,2,0)</f>
        <v>20</v>
      </c>
      <c r="I2300" s="137">
        <v>3358400</v>
      </c>
      <c r="J2300" s="132">
        <f t="shared" si="70"/>
        <v>167920</v>
      </c>
    </row>
    <row r="2301" spans="1:10">
      <c r="A2301" s="115" t="s">
        <v>1037</v>
      </c>
      <c r="B2301" s="115" t="s">
        <v>1038</v>
      </c>
      <c r="C2301" s="115" t="s">
        <v>1212</v>
      </c>
      <c r="D2301" s="115" t="s">
        <v>1213</v>
      </c>
      <c r="E2301" s="133" t="str">
        <f t="shared" si="71"/>
        <v>1200001077PUL-53306 AC EX CLEAR 20 VN</v>
      </c>
      <c r="F2301" s="133" t="s">
        <v>3060</v>
      </c>
      <c r="G2301" s="133" t="s">
        <v>3879</v>
      </c>
      <c r="H2301" s="133">
        <f>VLOOKUP(G2301,'packing mapping'!A:B,2,0)</f>
        <v>20</v>
      </c>
      <c r="I2301" s="137">
        <v>3285400</v>
      </c>
      <c r="J2301" s="132">
        <f t="shared" si="70"/>
        <v>164270</v>
      </c>
    </row>
    <row r="2302" spans="1:10">
      <c r="A2302" s="115" t="s">
        <v>1037</v>
      </c>
      <c r="B2302" s="115" t="s">
        <v>1038</v>
      </c>
      <c r="C2302" s="115" t="s">
        <v>1218</v>
      </c>
      <c r="D2302" s="115" t="s">
        <v>1219</v>
      </c>
      <c r="E2302" s="133" t="str">
        <f t="shared" si="71"/>
        <v>1200001077PUSS-53206 AC EX VN</v>
      </c>
      <c r="F2302" s="133" t="s">
        <v>3063</v>
      </c>
      <c r="G2302" s="133" t="s">
        <v>3881</v>
      </c>
      <c r="H2302" s="133">
        <f>VLOOKUP(G2302,'packing mapping'!A:B,2,0)</f>
        <v>20</v>
      </c>
      <c r="I2302" s="137">
        <v>2332800</v>
      </c>
      <c r="J2302" s="132">
        <f t="shared" si="70"/>
        <v>116640</v>
      </c>
    </row>
    <row r="2303" spans="1:10">
      <c r="A2303" s="115" t="s">
        <v>1037</v>
      </c>
      <c r="B2303" s="115" t="s">
        <v>1038</v>
      </c>
      <c r="C2303" s="115" t="s">
        <v>1220</v>
      </c>
      <c r="D2303" s="115" t="s">
        <v>1221</v>
      </c>
      <c r="E2303" s="133" t="str">
        <f t="shared" si="71"/>
        <v>1200001077SST-11100 C10 BLACK</v>
      </c>
      <c r="F2303" s="133" t="s">
        <v>3064</v>
      </c>
      <c r="G2303" s="133" t="s">
        <v>3883</v>
      </c>
      <c r="H2303" s="133">
        <f>VLOOKUP(G2303,'packing mapping'!A:B,2,0)</f>
        <v>4</v>
      </c>
      <c r="I2303" s="137">
        <v>810560</v>
      </c>
      <c r="J2303" s="132">
        <f t="shared" si="70"/>
        <v>202640</v>
      </c>
    </row>
    <row r="2304" spans="1:10">
      <c r="A2304" s="115" t="s">
        <v>1037</v>
      </c>
      <c r="B2304" s="115" t="s">
        <v>1038</v>
      </c>
      <c r="C2304" s="115" t="s">
        <v>1226</v>
      </c>
      <c r="D2304" s="115" t="s">
        <v>1227</v>
      </c>
      <c r="E2304" s="133" t="str">
        <f t="shared" si="71"/>
        <v>1200001077SST-11100 C10 RED</v>
      </c>
      <c r="F2304" s="133" t="s">
        <v>3067</v>
      </c>
      <c r="G2304" s="133" t="s">
        <v>3883</v>
      </c>
      <c r="H2304" s="133">
        <f>VLOOKUP(G2304,'packing mapping'!A:B,2,0)</f>
        <v>4</v>
      </c>
      <c r="I2304" s="137">
        <v>843640</v>
      </c>
      <c r="J2304" s="132">
        <f t="shared" si="70"/>
        <v>210910</v>
      </c>
    </row>
    <row r="2305" spans="1:10">
      <c r="A2305" s="115" t="s">
        <v>1037</v>
      </c>
      <c r="B2305" s="115" t="s">
        <v>1038</v>
      </c>
      <c r="C2305" s="115" t="s">
        <v>1228</v>
      </c>
      <c r="D2305" s="115" t="s">
        <v>1229</v>
      </c>
      <c r="E2305" s="133" t="str">
        <f t="shared" si="71"/>
        <v>1200001077SST-11100 C10 YELLOW</v>
      </c>
      <c r="F2305" s="133" t="s">
        <v>3068</v>
      </c>
      <c r="G2305" s="133" t="s">
        <v>3883</v>
      </c>
      <c r="H2305" s="133">
        <f>VLOOKUP(G2305,'packing mapping'!A:B,2,0)</f>
        <v>4</v>
      </c>
      <c r="I2305" s="137">
        <v>724120</v>
      </c>
      <c r="J2305" s="132">
        <f t="shared" si="70"/>
        <v>181030</v>
      </c>
    </row>
    <row r="2306" spans="1:10">
      <c r="A2306" s="115" t="s">
        <v>1037</v>
      </c>
      <c r="B2306" s="115" t="s">
        <v>1038</v>
      </c>
      <c r="C2306" s="115" t="s">
        <v>1402</v>
      </c>
      <c r="D2306" s="115" t="s">
        <v>1403</v>
      </c>
      <c r="E2306" s="133" t="str">
        <f t="shared" si="71"/>
        <v>1200001077THC-73100-007 VN</v>
      </c>
      <c r="F2306" s="133" t="s">
        <v>3150</v>
      </c>
      <c r="G2306" s="133" t="s">
        <v>3880</v>
      </c>
      <c r="H2306" s="133">
        <f>VLOOKUP(G2306,'packing mapping'!A:B,2,0)</f>
        <v>20</v>
      </c>
      <c r="I2306" s="137">
        <v>1474800</v>
      </c>
      <c r="J2306" s="132">
        <f t="shared" ref="J2306:J2369" si="72">I2306/H2306</f>
        <v>73740</v>
      </c>
    </row>
    <row r="2307" spans="1:10">
      <c r="A2307" s="115" t="s">
        <v>1037</v>
      </c>
      <c r="B2307" s="115" t="s">
        <v>1038</v>
      </c>
      <c r="C2307" s="115" t="s">
        <v>1242</v>
      </c>
      <c r="D2307" s="115" t="s">
        <v>1243</v>
      </c>
      <c r="E2307" s="133" t="str">
        <f t="shared" ref="E2307:E2370" si="73">A2307&amp;F2307</f>
        <v>1200001077THPU-71306 ST VN</v>
      </c>
      <c r="F2307" s="133" t="s">
        <v>3039</v>
      </c>
      <c r="G2307" s="133" t="s">
        <v>3884</v>
      </c>
      <c r="H2307" s="133">
        <f>VLOOKUP(G2307,'packing mapping'!A:B,2,0)</f>
        <v>200</v>
      </c>
      <c r="I2307" s="137">
        <v>10682000</v>
      </c>
      <c r="J2307" s="132">
        <f t="shared" si="72"/>
        <v>53410</v>
      </c>
    </row>
    <row r="2308" spans="1:10">
      <c r="A2308" s="115" t="s">
        <v>1037</v>
      </c>
      <c r="B2308" s="115" t="s">
        <v>1038</v>
      </c>
      <c r="C2308" s="115" t="s">
        <v>1170</v>
      </c>
      <c r="D2308" s="115" t="s">
        <v>1171</v>
      </c>
      <c r="E2308" s="133" t="str">
        <f t="shared" si="73"/>
        <v>1200001077THPU-71306 ST VN</v>
      </c>
      <c r="F2308" s="133" t="s">
        <v>3039</v>
      </c>
      <c r="G2308" s="133" t="s">
        <v>3880</v>
      </c>
      <c r="H2308" s="133">
        <f>VLOOKUP(G2308,'packing mapping'!A:B,2,0)</f>
        <v>20</v>
      </c>
      <c r="I2308" s="137">
        <v>1203400</v>
      </c>
      <c r="J2308" s="132">
        <f t="shared" si="72"/>
        <v>60170</v>
      </c>
    </row>
    <row r="2309" spans="1:10">
      <c r="A2309" s="115" t="s">
        <v>1037</v>
      </c>
      <c r="B2309" s="115" t="s">
        <v>1038</v>
      </c>
      <c r="C2309" s="115" t="s">
        <v>1248</v>
      </c>
      <c r="D2309" s="115" t="s">
        <v>1249</v>
      </c>
      <c r="E2309" s="133" t="str">
        <f t="shared" si="73"/>
        <v>1200001077MEPH-12003 PS VN</v>
      </c>
      <c r="F2309" s="133" t="s">
        <v>3077</v>
      </c>
      <c r="G2309" s="133" t="s">
        <v>3887</v>
      </c>
      <c r="H2309" s="133">
        <f>VLOOKUP(G2309,'packing mapping'!A:B,2,0)</f>
        <v>2</v>
      </c>
      <c r="I2309" s="137">
        <v>400420</v>
      </c>
      <c r="J2309" s="132">
        <f t="shared" si="72"/>
        <v>200210</v>
      </c>
    </row>
    <row r="2310" spans="1:10">
      <c r="A2310" s="115" t="s">
        <v>1037</v>
      </c>
      <c r="B2310" s="115" t="s">
        <v>1038</v>
      </c>
      <c r="C2310" s="115" t="s">
        <v>1558</v>
      </c>
      <c r="D2310" s="115" t="s">
        <v>1559</v>
      </c>
      <c r="E2310" s="133" t="str">
        <f t="shared" si="73"/>
        <v>1200001077PUP-54111 AC WHITE VN</v>
      </c>
      <c r="F2310" s="133" t="s">
        <v>3218</v>
      </c>
      <c r="G2310" s="133" t="s">
        <v>3881</v>
      </c>
      <c r="H2310" s="133">
        <f>VLOOKUP(G2310,'packing mapping'!A:B,2,0)</f>
        <v>20</v>
      </c>
      <c r="I2310" s="137">
        <v>2560200</v>
      </c>
      <c r="J2310" s="132">
        <f t="shared" si="72"/>
        <v>128010</v>
      </c>
    </row>
    <row r="2311" spans="1:10">
      <c r="A2311" s="115" t="s">
        <v>1037</v>
      </c>
      <c r="B2311" s="115" t="s">
        <v>1038</v>
      </c>
      <c r="C2311" s="115" t="s">
        <v>1296</v>
      </c>
      <c r="D2311" s="115" t="s">
        <v>1297</v>
      </c>
      <c r="E2311" s="133" t="str">
        <f t="shared" si="73"/>
        <v>1200001077RD-74106 VN</v>
      </c>
      <c r="F2311" s="133" t="s">
        <v>3099</v>
      </c>
      <c r="G2311" s="133" t="s">
        <v>3880</v>
      </c>
      <c r="H2311" s="133">
        <f>VLOOKUP(G2311,'packing mapping'!A:B,2,0)</f>
        <v>20</v>
      </c>
      <c r="I2311" s="137">
        <v>1391000</v>
      </c>
      <c r="J2311" s="132">
        <f t="shared" si="72"/>
        <v>69550</v>
      </c>
    </row>
    <row r="2312" spans="1:10">
      <c r="A2312" s="115" t="s">
        <v>1037</v>
      </c>
      <c r="B2312" s="115" t="s">
        <v>1038</v>
      </c>
      <c r="C2312" s="115" t="s">
        <v>1302</v>
      </c>
      <c r="D2312" s="115" t="s">
        <v>1303</v>
      </c>
      <c r="E2312" s="133" t="str">
        <f t="shared" si="73"/>
        <v>1200001077GZPU-21500 BROWN VN</v>
      </c>
      <c r="F2312" s="133" t="s">
        <v>3102</v>
      </c>
      <c r="G2312" s="133" t="s">
        <v>3883</v>
      </c>
      <c r="H2312" s="133">
        <f>VLOOKUP(G2312,'packing mapping'!A:B,2,0)</f>
        <v>4</v>
      </c>
      <c r="I2312" s="137">
        <v>1437680</v>
      </c>
      <c r="J2312" s="132">
        <f t="shared" si="72"/>
        <v>359420</v>
      </c>
    </row>
    <row r="2313" spans="1:10">
      <c r="A2313" s="115" t="s">
        <v>1037</v>
      </c>
      <c r="B2313" s="115" t="s">
        <v>1038</v>
      </c>
      <c r="C2313" s="115" t="s">
        <v>1906</v>
      </c>
      <c r="D2313" s="115" t="s">
        <v>1907</v>
      </c>
      <c r="E2313" s="133" t="str">
        <f t="shared" si="73"/>
        <v>1200001077PUL-53306 AC EX CLEAR 60 VN</v>
      </c>
      <c r="F2313" s="133" t="s">
        <v>3374</v>
      </c>
      <c r="G2313" s="133" t="s">
        <v>3879</v>
      </c>
      <c r="H2313" s="133">
        <f>VLOOKUP(G2313,'packing mapping'!A:B,2,0)</f>
        <v>20</v>
      </c>
      <c r="I2313" s="137">
        <v>3071600</v>
      </c>
      <c r="J2313" s="132">
        <f t="shared" si="72"/>
        <v>153580</v>
      </c>
    </row>
    <row r="2314" spans="1:10">
      <c r="A2314" s="115" t="s">
        <v>1037</v>
      </c>
      <c r="B2314" s="115" t="s">
        <v>1038</v>
      </c>
      <c r="C2314" s="115" t="s">
        <v>1334</v>
      </c>
      <c r="D2314" s="115" t="s">
        <v>1335</v>
      </c>
      <c r="E2314" s="133" t="str">
        <f t="shared" si="73"/>
        <v>1200001077MEP-12003 HC VN</v>
      </c>
      <c r="F2314" s="133" t="s">
        <v>3118</v>
      </c>
      <c r="G2314" s="133" t="s">
        <v>3882</v>
      </c>
      <c r="H2314" s="133">
        <f>VLOOKUP(G2314,'packing mapping'!A:B,2,0)</f>
        <v>18</v>
      </c>
      <c r="I2314" s="137">
        <v>2034180</v>
      </c>
      <c r="J2314" s="132">
        <f t="shared" si="72"/>
        <v>113010</v>
      </c>
    </row>
    <row r="2315" spans="1:10">
      <c r="A2315" s="115" t="s">
        <v>1045</v>
      </c>
      <c r="B2315" s="115" t="s">
        <v>1046</v>
      </c>
      <c r="C2315" s="115" t="s">
        <v>1192</v>
      </c>
      <c r="D2315" s="115" t="s">
        <v>1193</v>
      </c>
      <c r="E2315" s="133" t="str">
        <f t="shared" si="73"/>
        <v>1200001087PCL-31300 BLACK PASTE</v>
      </c>
      <c r="F2315" s="133" t="s">
        <v>3050</v>
      </c>
      <c r="G2315" s="133" t="s">
        <v>3883</v>
      </c>
      <c r="H2315" s="133">
        <f>VLOOKUP(G2315,'packing mapping'!A:B,2,0)</f>
        <v>4</v>
      </c>
      <c r="I2315" s="137">
        <v>2368320</v>
      </c>
      <c r="J2315" s="132">
        <f t="shared" si="72"/>
        <v>592080</v>
      </c>
    </row>
    <row r="2316" spans="1:10">
      <c r="A2316" s="115" t="s">
        <v>1045</v>
      </c>
      <c r="B2316" s="115" t="s">
        <v>1046</v>
      </c>
      <c r="C2316" s="115" t="s">
        <v>1194</v>
      </c>
      <c r="D2316" s="115" t="s">
        <v>1195</v>
      </c>
      <c r="E2316" s="133" t="str">
        <f t="shared" si="73"/>
        <v>1200001087PCL-31300 BLUE OG PASTE</v>
      </c>
      <c r="F2316" s="133" t="s">
        <v>3051</v>
      </c>
      <c r="G2316" s="133" t="s">
        <v>3883</v>
      </c>
      <c r="H2316" s="133">
        <f>VLOOKUP(G2316,'packing mapping'!A:B,2,0)</f>
        <v>4</v>
      </c>
      <c r="I2316" s="137">
        <v>2084400</v>
      </c>
      <c r="J2316" s="132">
        <f t="shared" si="72"/>
        <v>521100</v>
      </c>
    </row>
    <row r="2317" spans="1:10">
      <c r="A2317" s="115" t="s">
        <v>1045</v>
      </c>
      <c r="B2317" s="115" t="s">
        <v>1046</v>
      </c>
      <c r="C2317" s="115" t="s">
        <v>1988</v>
      </c>
      <c r="D2317" s="115" t="s">
        <v>1989</v>
      </c>
      <c r="E2317" s="133" t="str">
        <f t="shared" si="73"/>
        <v>1200001087PCL-31300 GREEN OB PASTE</v>
      </c>
      <c r="F2317" s="133" t="s">
        <v>3415</v>
      </c>
      <c r="G2317" s="133" t="s">
        <v>3883</v>
      </c>
      <c r="H2317" s="133">
        <f>VLOOKUP(G2317,'packing mapping'!A:B,2,0)</f>
        <v>4</v>
      </c>
      <c r="I2317" s="137">
        <v>2103880</v>
      </c>
      <c r="J2317" s="132">
        <f t="shared" si="72"/>
        <v>525970</v>
      </c>
    </row>
    <row r="2318" spans="1:10">
      <c r="A2318" s="115" t="s">
        <v>1045</v>
      </c>
      <c r="B2318" s="115" t="s">
        <v>1046</v>
      </c>
      <c r="C2318" s="115" t="s">
        <v>1202</v>
      </c>
      <c r="D2318" s="115" t="s">
        <v>1203</v>
      </c>
      <c r="E2318" s="133" t="str">
        <f t="shared" si="73"/>
        <v>1200001087PCL-31300 WHITE PASTE</v>
      </c>
      <c r="F2318" s="133" t="s">
        <v>3055</v>
      </c>
      <c r="G2318" s="133" t="s">
        <v>3883</v>
      </c>
      <c r="H2318" s="133">
        <f>VLOOKUP(G2318,'packing mapping'!A:B,2,0)</f>
        <v>4</v>
      </c>
      <c r="I2318" s="137">
        <v>940000</v>
      </c>
      <c r="J2318" s="132">
        <f t="shared" si="72"/>
        <v>235000</v>
      </c>
    </row>
    <row r="2319" spans="1:10">
      <c r="A2319" s="115" t="s">
        <v>1045</v>
      </c>
      <c r="B2319" s="115" t="s">
        <v>1046</v>
      </c>
      <c r="C2319" s="115" t="s">
        <v>1204</v>
      </c>
      <c r="D2319" s="115" t="s">
        <v>1205</v>
      </c>
      <c r="E2319" s="133" t="str">
        <f t="shared" si="73"/>
        <v>1200001087PCL-31300 YELLOW OG 16 PASTE</v>
      </c>
      <c r="F2319" s="133" t="s">
        <v>3056</v>
      </c>
      <c r="G2319" s="133" t="s">
        <v>3883</v>
      </c>
      <c r="H2319" s="133">
        <f>VLOOKUP(G2319,'packing mapping'!A:B,2,0)</f>
        <v>4</v>
      </c>
      <c r="I2319" s="137">
        <v>4115880</v>
      </c>
      <c r="J2319" s="132">
        <f t="shared" si="72"/>
        <v>1028970</v>
      </c>
    </row>
    <row r="2320" spans="1:10">
      <c r="A2320" s="115" t="s">
        <v>1045</v>
      </c>
      <c r="B2320" s="115" t="s">
        <v>1046</v>
      </c>
      <c r="C2320" s="115" t="s">
        <v>1206</v>
      </c>
      <c r="D2320" s="115" t="s">
        <v>1207</v>
      </c>
      <c r="E2320" s="133" t="str">
        <f t="shared" si="73"/>
        <v>1200001087PCL-31300 YELLOW OKER PASTE</v>
      </c>
      <c r="F2320" s="133" t="s">
        <v>3057</v>
      </c>
      <c r="G2320" s="133" t="s">
        <v>3883</v>
      </c>
      <c r="H2320" s="133">
        <f>VLOOKUP(G2320,'packing mapping'!A:B,2,0)</f>
        <v>4</v>
      </c>
      <c r="I2320" s="137">
        <v>1554960</v>
      </c>
      <c r="J2320" s="132">
        <f t="shared" si="72"/>
        <v>388740</v>
      </c>
    </row>
    <row r="2321" spans="1:10">
      <c r="A2321" s="115" t="s">
        <v>1045</v>
      </c>
      <c r="B2321" s="115" t="s">
        <v>1046</v>
      </c>
      <c r="C2321" s="115" t="s">
        <v>1860</v>
      </c>
      <c r="D2321" s="115" t="s">
        <v>1861</v>
      </c>
      <c r="E2321" s="133" t="str">
        <f t="shared" si="73"/>
        <v>1200001087PCWB-31600 BLACK AY PASTE</v>
      </c>
      <c r="F2321" s="133" t="s">
        <v>3353</v>
      </c>
      <c r="G2321" s="133" t="s">
        <v>3883</v>
      </c>
      <c r="H2321" s="133">
        <f>VLOOKUP(G2321,'packing mapping'!A:B,2,0)</f>
        <v>4</v>
      </c>
      <c r="I2321" s="137">
        <v>1465000</v>
      </c>
      <c r="J2321" s="132">
        <f t="shared" si="72"/>
        <v>366250</v>
      </c>
    </row>
    <row r="2322" spans="1:10">
      <c r="A2322" s="115" t="s">
        <v>1045</v>
      </c>
      <c r="B2322" s="115" t="s">
        <v>1046</v>
      </c>
      <c r="C2322" s="115" t="s">
        <v>1862</v>
      </c>
      <c r="D2322" s="115" t="s">
        <v>1863</v>
      </c>
      <c r="E2322" s="133" t="str">
        <f t="shared" si="73"/>
        <v>1200001087PCWB-31600 RED AB PASTE</v>
      </c>
      <c r="F2322" s="133" t="s">
        <v>3354</v>
      </c>
      <c r="G2322" s="133" t="s">
        <v>3883</v>
      </c>
      <c r="H2322" s="133">
        <f>VLOOKUP(G2322,'packing mapping'!A:B,2,0)</f>
        <v>4</v>
      </c>
      <c r="I2322" s="137">
        <v>1201760</v>
      </c>
      <c r="J2322" s="132">
        <f t="shared" si="72"/>
        <v>300440</v>
      </c>
    </row>
    <row r="2323" spans="1:10">
      <c r="A2323" s="115" t="s">
        <v>1045</v>
      </c>
      <c r="B2323" s="115" t="s">
        <v>1046</v>
      </c>
      <c r="C2323" s="115" t="s">
        <v>1866</v>
      </c>
      <c r="D2323" s="115" t="s">
        <v>1867</v>
      </c>
      <c r="E2323" s="133" t="str">
        <f t="shared" si="73"/>
        <v>1200001087PCWB-31600 WHITE PASTE</v>
      </c>
      <c r="F2323" s="133" t="s">
        <v>3356</v>
      </c>
      <c r="G2323" s="133" t="s">
        <v>3883</v>
      </c>
      <c r="H2323" s="133">
        <f>VLOOKUP(G2323,'packing mapping'!A:B,2,0)</f>
        <v>4</v>
      </c>
      <c r="I2323" s="137">
        <v>828200</v>
      </c>
      <c r="J2323" s="132">
        <f t="shared" si="72"/>
        <v>207050</v>
      </c>
    </row>
    <row r="2324" spans="1:10">
      <c r="A2324" s="115" t="s">
        <v>1045</v>
      </c>
      <c r="B2324" s="115" t="s">
        <v>1046</v>
      </c>
      <c r="C2324" s="115" t="s">
        <v>1868</v>
      </c>
      <c r="D2324" s="115" t="s">
        <v>1869</v>
      </c>
      <c r="E2324" s="133" t="str">
        <f t="shared" si="73"/>
        <v>1200001087PCWB-31600 YELLOW AR PASTE</v>
      </c>
      <c r="F2324" s="133" t="s">
        <v>3357</v>
      </c>
      <c r="G2324" s="133" t="s">
        <v>3883</v>
      </c>
      <c r="H2324" s="133">
        <f>VLOOKUP(G2324,'packing mapping'!A:B,2,0)</f>
        <v>4</v>
      </c>
      <c r="I2324" s="137">
        <v>989200</v>
      </c>
      <c r="J2324" s="132">
        <f t="shared" si="72"/>
        <v>247300</v>
      </c>
    </row>
    <row r="2325" spans="1:10">
      <c r="A2325" s="115" t="s">
        <v>1045</v>
      </c>
      <c r="B2325" s="115" t="s">
        <v>1046</v>
      </c>
      <c r="C2325" s="115" t="s">
        <v>1386</v>
      </c>
      <c r="D2325" s="115" t="s">
        <v>1387</v>
      </c>
      <c r="E2325" s="133" t="str">
        <f t="shared" si="73"/>
        <v>1200001087PUC-54205 AC WHITE 90 VN</v>
      </c>
      <c r="F2325" s="133" t="s">
        <v>3143</v>
      </c>
      <c r="G2325" s="133" t="s">
        <v>3881</v>
      </c>
      <c r="H2325" s="133">
        <f>VLOOKUP(G2325,'packing mapping'!A:B,2,0)</f>
        <v>20</v>
      </c>
      <c r="I2325" s="137">
        <v>3391200</v>
      </c>
      <c r="J2325" s="132">
        <f t="shared" si="72"/>
        <v>169560</v>
      </c>
    </row>
    <row r="2326" spans="1:10">
      <c r="A2326" s="115" t="s">
        <v>1045</v>
      </c>
      <c r="B2326" s="115" t="s">
        <v>1046</v>
      </c>
      <c r="C2326" s="115" t="s">
        <v>1714</v>
      </c>
      <c r="D2326" s="115" t="s">
        <v>1715</v>
      </c>
      <c r="E2326" s="133" t="str">
        <f t="shared" si="73"/>
        <v>1200001087PUC-54205 AC WHITE 08 AA VN</v>
      </c>
      <c r="F2326" s="133" t="s">
        <v>3293</v>
      </c>
      <c r="G2326" s="133" t="s">
        <v>3881</v>
      </c>
      <c r="H2326" s="133">
        <f>VLOOKUP(G2326,'packing mapping'!A:B,2,0)</f>
        <v>20</v>
      </c>
      <c r="I2326" s="137">
        <v>3291200</v>
      </c>
      <c r="J2326" s="132">
        <f t="shared" si="72"/>
        <v>164560</v>
      </c>
    </row>
    <row r="2327" spans="1:10">
      <c r="A2327" s="115" t="s">
        <v>1045</v>
      </c>
      <c r="B2327" s="115" t="s">
        <v>1046</v>
      </c>
      <c r="C2327" s="115" t="s">
        <v>1210</v>
      </c>
      <c r="D2327" s="115" t="s">
        <v>1211</v>
      </c>
      <c r="E2327" s="133" t="str">
        <f t="shared" si="73"/>
        <v>1200001087PUH-56306 LY VN</v>
      </c>
      <c r="F2327" s="133" t="s">
        <v>3059</v>
      </c>
      <c r="G2327" s="133" t="s">
        <v>3879</v>
      </c>
      <c r="H2327" s="133">
        <f>VLOOKUP(G2327,'packing mapping'!A:B,2,0)</f>
        <v>20</v>
      </c>
      <c r="I2327" s="137">
        <v>3151000</v>
      </c>
      <c r="J2327" s="132">
        <f t="shared" si="72"/>
        <v>157550</v>
      </c>
    </row>
    <row r="2328" spans="1:10">
      <c r="A2328" s="115" t="s">
        <v>1045</v>
      </c>
      <c r="B2328" s="115" t="s">
        <v>1046</v>
      </c>
      <c r="C2328" s="115" t="s">
        <v>1542</v>
      </c>
      <c r="D2328" s="115" t="s">
        <v>1543</v>
      </c>
      <c r="E2328" s="133" t="str">
        <f t="shared" si="73"/>
        <v>1200001087PUL-53306 AC EX CLEAR 05 VN</v>
      </c>
      <c r="F2328" s="133" t="s">
        <v>3211</v>
      </c>
      <c r="G2328" s="133" t="s">
        <v>3879</v>
      </c>
      <c r="H2328" s="133">
        <f>VLOOKUP(G2328,'packing mapping'!A:B,2,0)</f>
        <v>20</v>
      </c>
      <c r="I2328" s="137">
        <v>3708200</v>
      </c>
      <c r="J2328" s="132">
        <f t="shared" si="72"/>
        <v>185410</v>
      </c>
    </row>
    <row r="2329" spans="1:10">
      <c r="A2329" s="115" t="s">
        <v>1045</v>
      </c>
      <c r="B2329" s="115" t="s">
        <v>1046</v>
      </c>
      <c r="C2329" s="115" t="s">
        <v>1396</v>
      </c>
      <c r="D2329" s="115" t="s">
        <v>1397</v>
      </c>
      <c r="E2329" s="133" t="str">
        <f t="shared" si="73"/>
        <v>1200001087PUL-53306 AC EX CLEAR 10 VN</v>
      </c>
      <c r="F2329" s="133" t="s">
        <v>3148</v>
      </c>
      <c r="G2329" s="133" t="s">
        <v>3879</v>
      </c>
      <c r="H2329" s="133">
        <f>VLOOKUP(G2329,'packing mapping'!A:B,2,0)</f>
        <v>20</v>
      </c>
      <c r="I2329" s="137">
        <v>3991000</v>
      </c>
      <c r="J2329" s="132">
        <f t="shared" si="72"/>
        <v>199550</v>
      </c>
    </row>
    <row r="2330" spans="1:10">
      <c r="A2330" s="115" t="s">
        <v>1045</v>
      </c>
      <c r="B2330" s="115" t="s">
        <v>1046</v>
      </c>
      <c r="C2330" s="115" t="s">
        <v>1216</v>
      </c>
      <c r="D2330" s="115" t="s">
        <v>1217</v>
      </c>
      <c r="E2330" s="133" t="str">
        <f t="shared" si="73"/>
        <v>1200001087PUL-53306 AC EX CLEAR 90 VN</v>
      </c>
      <c r="F2330" s="133" t="s">
        <v>3062</v>
      </c>
      <c r="G2330" s="133" t="s">
        <v>3879</v>
      </c>
      <c r="H2330" s="133">
        <f>VLOOKUP(G2330,'packing mapping'!A:B,2,0)</f>
        <v>20</v>
      </c>
      <c r="I2330" s="137">
        <v>2594800</v>
      </c>
      <c r="J2330" s="132">
        <f t="shared" si="72"/>
        <v>129740</v>
      </c>
    </row>
    <row r="2331" spans="1:10">
      <c r="A2331" s="115" t="s">
        <v>1045</v>
      </c>
      <c r="B2331" s="115" t="s">
        <v>1046</v>
      </c>
      <c r="C2331" s="115" t="s">
        <v>1476</v>
      </c>
      <c r="D2331" s="115" t="s">
        <v>1477</v>
      </c>
      <c r="E2331" s="133" t="str">
        <f t="shared" si="73"/>
        <v>1200001087PUP-52141 WHITE 01 VN</v>
      </c>
      <c r="F2331" s="133" t="s">
        <v>3184</v>
      </c>
      <c r="G2331" s="133" t="s">
        <v>3881</v>
      </c>
      <c r="H2331" s="133">
        <f>VLOOKUP(G2331,'packing mapping'!A:B,2,0)</f>
        <v>20</v>
      </c>
      <c r="I2331" s="137">
        <v>2157800</v>
      </c>
      <c r="J2331" s="132">
        <f t="shared" si="72"/>
        <v>107890</v>
      </c>
    </row>
    <row r="2332" spans="1:10">
      <c r="A2332" s="115" t="s">
        <v>1045</v>
      </c>
      <c r="B2332" s="115" t="s">
        <v>1046</v>
      </c>
      <c r="C2332" s="115" t="s">
        <v>1478</v>
      </c>
      <c r="D2332" s="115" t="s">
        <v>1479</v>
      </c>
      <c r="E2332" s="133" t="str">
        <f t="shared" si="73"/>
        <v>1200001087PUSS-51241 VN</v>
      </c>
      <c r="F2332" s="133" t="s">
        <v>3185</v>
      </c>
      <c r="G2332" s="133" t="s">
        <v>3881</v>
      </c>
      <c r="H2332" s="133">
        <f>VLOOKUP(G2332,'packing mapping'!A:B,2,0)</f>
        <v>20</v>
      </c>
      <c r="I2332" s="137">
        <v>1749000</v>
      </c>
      <c r="J2332" s="132">
        <f t="shared" si="72"/>
        <v>87450</v>
      </c>
    </row>
    <row r="2333" spans="1:10">
      <c r="A2333" s="115" t="s">
        <v>1045</v>
      </c>
      <c r="B2333" s="115" t="s">
        <v>1046</v>
      </c>
      <c r="C2333" s="115" t="s">
        <v>1218</v>
      </c>
      <c r="D2333" s="115" t="s">
        <v>1219</v>
      </c>
      <c r="E2333" s="133" t="str">
        <f t="shared" si="73"/>
        <v>1200001087PUSS-53206 AC EX VN</v>
      </c>
      <c r="F2333" s="133" t="s">
        <v>3063</v>
      </c>
      <c r="G2333" s="133" t="s">
        <v>3881</v>
      </c>
      <c r="H2333" s="133">
        <f>VLOOKUP(G2333,'packing mapping'!A:B,2,0)</f>
        <v>20</v>
      </c>
      <c r="I2333" s="137">
        <v>2629800</v>
      </c>
      <c r="J2333" s="132">
        <f t="shared" si="72"/>
        <v>131490</v>
      </c>
    </row>
    <row r="2334" spans="1:10">
      <c r="A2334" s="115" t="s">
        <v>1045</v>
      </c>
      <c r="B2334" s="115" t="s">
        <v>1046</v>
      </c>
      <c r="C2334" s="115" t="s">
        <v>2184</v>
      </c>
      <c r="D2334" s="115" t="s">
        <v>2185</v>
      </c>
      <c r="E2334" s="133" t="str">
        <f t="shared" si="73"/>
        <v>1200001087THC-73100-1103 KD VN</v>
      </c>
      <c r="F2334" s="133" t="s">
        <v>3506</v>
      </c>
      <c r="G2334" s="133" t="s">
        <v>3884</v>
      </c>
      <c r="H2334" s="133">
        <f>VLOOKUP(G2334,'packing mapping'!A:B,2,0)</f>
        <v>200</v>
      </c>
      <c r="I2334" s="137">
        <v>6348000</v>
      </c>
      <c r="J2334" s="132">
        <f t="shared" si="72"/>
        <v>31740</v>
      </c>
    </row>
    <row r="2335" spans="1:10">
      <c r="A2335" s="115" t="s">
        <v>1045</v>
      </c>
      <c r="B2335" s="115" t="s">
        <v>1046</v>
      </c>
      <c r="C2335" s="115" t="s">
        <v>1234</v>
      </c>
      <c r="D2335" s="115" t="s">
        <v>1235</v>
      </c>
      <c r="E2335" s="133" t="str">
        <f t="shared" si="73"/>
        <v>1200001087THC-73100-552 VN</v>
      </c>
      <c r="F2335" s="133" t="s">
        <v>3071</v>
      </c>
      <c r="G2335" s="133" t="s">
        <v>3885</v>
      </c>
      <c r="H2335" s="133">
        <f>VLOOKUP(G2335,'packing mapping'!A:B,2,0)</f>
        <v>18</v>
      </c>
      <c r="I2335" s="137">
        <v>1400580</v>
      </c>
      <c r="J2335" s="132">
        <f t="shared" si="72"/>
        <v>77810</v>
      </c>
    </row>
    <row r="2336" spans="1:10">
      <c r="A2336" s="115" t="s">
        <v>1045</v>
      </c>
      <c r="B2336" s="115" t="s">
        <v>1046</v>
      </c>
      <c r="C2336" s="115" t="s">
        <v>1242</v>
      </c>
      <c r="D2336" s="115" t="s">
        <v>1243</v>
      </c>
      <c r="E2336" s="133" t="str">
        <f t="shared" si="73"/>
        <v>1200001087THPU-71306 ST VN</v>
      </c>
      <c r="F2336" s="133" t="s">
        <v>3039</v>
      </c>
      <c r="G2336" s="133" t="s">
        <v>3884</v>
      </c>
      <c r="H2336" s="133">
        <f>VLOOKUP(G2336,'packing mapping'!A:B,2,0)</f>
        <v>200</v>
      </c>
      <c r="I2336" s="137">
        <v>10870000</v>
      </c>
      <c r="J2336" s="132">
        <f t="shared" si="72"/>
        <v>54350</v>
      </c>
    </row>
    <row r="2337" spans="1:10">
      <c r="A2337" s="115" t="s">
        <v>1045</v>
      </c>
      <c r="B2337" s="115" t="s">
        <v>1046</v>
      </c>
      <c r="C2337" s="115" t="s">
        <v>1170</v>
      </c>
      <c r="D2337" s="115" t="s">
        <v>1171</v>
      </c>
      <c r="E2337" s="133" t="str">
        <f t="shared" si="73"/>
        <v>1200001087THPU-71306 ST VN</v>
      </c>
      <c r="F2337" s="133" t="s">
        <v>3039</v>
      </c>
      <c r="G2337" s="133" t="s">
        <v>3880</v>
      </c>
      <c r="H2337" s="133">
        <f>VLOOKUP(G2337,'packing mapping'!A:B,2,0)</f>
        <v>20</v>
      </c>
      <c r="I2337" s="137">
        <v>1226000</v>
      </c>
      <c r="J2337" s="132">
        <f t="shared" si="72"/>
        <v>61300</v>
      </c>
    </row>
    <row r="2338" spans="1:10">
      <c r="A2338" s="115" t="s">
        <v>1045</v>
      </c>
      <c r="B2338" s="115" t="s">
        <v>1046</v>
      </c>
      <c r="C2338" s="115" t="s">
        <v>2244</v>
      </c>
      <c r="D2338" s="115" t="s">
        <v>2245</v>
      </c>
      <c r="E2338" s="133" t="str">
        <f t="shared" si="73"/>
        <v>1200001087THPU-71306</v>
      </c>
      <c r="F2338" s="133" t="s">
        <v>3531</v>
      </c>
      <c r="G2338" s="133" t="s">
        <v>3884</v>
      </c>
      <c r="H2338" s="133">
        <f>VLOOKUP(G2338,'packing mapping'!A:B,2,0)</f>
        <v>200</v>
      </c>
      <c r="I2338" s="137">
        <v>12260000</v>
      </c>
      <c r="J2338" s="132">
        <f t="shared" si="72"/>
        <v>61300</v>
      </c>
    </row>
    <row r="2339" spans="1:10">
      <c r="A2339" s="115" t="s">
        <v>1045</v>
      </c>
      <c r="B2339" s="115" t="s">
        <v>1046</v>
      </c>
      <c r="C2339" s="115" t="s">
        <v>1884</v>
      </c>
      <c r="D2339" s="115" t="s">
        <v>1885</v>
      </c>
      <c r="E2339" s="133" t="str">
        <f t="shared" si="73"/>
        <v>1200001087PCWB-31601 BLUE OR PASTE</v>
      </c>
      <c r="F2339" s="133" t="s">
        <v>3364</v>
      </c>
      <c r="G2339" s="133" t="s">
        <v>3883</v>
      </c>
      <c r="H2339" s="133">
        <f>VLOOKUP(G2339,'packing mapping'!A:B,2,0)</f>
        <v>4</v>
      </c>
      <c r="I2339" s="137">
        <v>2628840</v>
      </c>
      <c r="J2339" s="132">
        <f t="shared" si="72"/>
        <v>657210</v>
      </c>
    </row>
    <row r="2340" spans="1:10">
      <c r="A2340" s="115" t="s">
        <v>1045</v>
      </c>
      <c r="B2340" s="115" t="s">
        <v>1046</v>
      </c>
      <c r="C2340" s="115" t="s">
        <v>1248</v>
      </c>
      <c r="D2340" s="115" t="s">
        <v>1249</v>
      </c>
      <c r="E2340" s="133" t="str">
        <f t="shared" si="73"/>
        <v>1200001087MEPH-12003 PS VN</v>
      </c>
      <c r="F2340" s="133" t="s">
        <v>3077</v>
      </c>
      <c r="G2340" s="133" t="s">
        <v>3887</v>
      </c>
      <c r="H2340" s="133">
        <f>VLOOKUP(G2340,'packing mapping'!A:B,2,0)</f>
        <v>2</v>
      </c>
      <c r="I2340" s="137">
        <v>410160</v>
      </c>
      <c r="J2340" s="132">
        <f t="shared" si="72"/>
        <v>205080</v>
      </c>
    </row>
    <row r="2341" spans="1:10">
      <c r="A2341" s="115" t="s">
        <v>1045</v>
      </c>
      <c r="B2341" s="115" t="s">
        <v>1046</v>
      </c>
      <c r="C2341" s="115" t="s">
        <v>1558</v>
      </c>
      <c r="D2341" s="115" t="s">
        <v>1559</v>
      </c>
      <c r="E2341" s="133" t="str">
        <f t="shared" si="73"/>
        <v>1200001087PUP-54111 AC WHITE VN</v>
      </c>
      <c r="F2341" s="133" t="s">
        <v>3218</v>
      </c>
      <c r="G2341" s="133" t="s">
        <v>3881</v>
      </c>
      <c r="H2341" s="133">
        <f>VLOOKUP(G2341,'packing mapping'!A:B,2,0)</f>
        <v>20</v>
      </c>
      <c r="I2341" s="137">
        <v>2403600</v>
      </c>
      <c r="J2341" s="132">
        <f t="shared" si="72"/>
        <v>120180</v>
      </c>
    </row>
    <row r="2342" spans="1:10">
      <c r="A2342" s="115" t="s">
        <v>1045</v>
      </c>
      <c r="B2342" s="115" t="s">
        <v>1046</v>
      </c>
      <c r="C2342" s="115" t="s">
        <v>1296</v>
      </c>
      <c r="D2342" s="115" t="s">
        <v>1297</v>
      </c>
      <c r="E2342" s="133" t="str">
        <f t="shared" si="73"/>
        <v>1200001087RD-74106 VN</v>
      </c>
      <c r="F2342" s="133" t="s">
        <v>3099</v>
      </c>
      <c r="G2342" s="133" t="s">
        <v>3880</v>
      </c>
      <c r="H2342" s="133">
        <f>VLOOKUP(G2342,'packing mapping'!A:B,2,0)</f>
        <v>20</v>
      </c>
      <c r="I2342" s="137">
        <v>1400400</v>
      </c>
      <c r="J2342" s="132">
        <f t="shared" si="72"/>
        <v>70020</v>
      </c>
    </row>
    <row r="2343" spans="1:10">
      <c r="A2343" s="115" t="s">
        <v>1045</v>
      </c>
      <c r="B2343" s="115" t="s">
        <v>1046</v>
      </c>
      <c r="C2343" s="115" t="s">
        <v>1298</v>
      </c>
      <c r="D2343" s="115" t="s">
        <v>1299</v>
      </c>
      <c r="E2343" s="133" t="str">
        <f t="shared" si="73"/>
        <v>1200001087PUP-52122 PUTTY VN</v>
      </c>
      <c r="F2343" s="133" t="s">
        <v>3100</v>
      </c>
      <c r="G2343" s="133" t="s">
        <v>3883</v>
      </c>
      <c r="H2343" s="133">
        <f>VLOOKUP(G2343,'packing mapping'!A:B,2,0)</f>
        <v>4</v>
      </c>
      <c r="I2343" s="137">
        <v>727640</v>
      </c>
      <c r="J2343" s="132">
        <f t="shared" si="72"/>
        <v>181910</v>
      </c>
    </row>
    <row r="2344" spans="1:10">
      <c r="A2344" s="115" t="s">
        <v>1045</v>
      </c>
      <c r="B2344" s="115" t="s">
        <v>1046</v>
      </c>
      <c r="C2344" s="115" t="s">
        <v>2894</v>
      </c>
      <c r="D2344" s="115" t="s">
        <v>2895</v>
      </c>
      <c r="E2344" s="133" t="str">
        <f t="shared" si="73"/>
        <v>1200001087PUP-52122 PUTTY</v>
      </c>
      <c r="F2344" s="133" t="s">
        <v>3818</v>
      </c>
      <c r="G2344" s="133" t="s">
        <v>3883</v>
      </c>
      <c r="H2344" s="133">
        <f>VLOOKUP(G2344,'packing mapping'!A:B,2,0)</f>
        <v>4</v>
      </c>
      <c r="I2344" s="137">
        <v>922160</v>
      </c>
      <c r="J2344" s="132">
        <f t="shared" si="72"/>
        <v>230540</v>
      </c>
    </row>
    <row r="2345" spans="1:10">
      <c r="A2345" s="115" t="s">
        <v>1045</v>
      </c>
      <c r="B2345" s="115" t="s">
        <v>1046</v>
      </c>
      <c r="C2345" s="115" t="s">
        <v>1314</v>
      </c>
      <c r="D2345" s="115" t="s">
        <v>1315</v>
      </c>
      <c r="E2345" s="133" t="str">
        <f t="shared" si="73"/>
        <v>1200001087PCL-31300 RED 31701 PASTE</v>
      </c>
      <c r="F2345" s="133" t="s">
        <v>3108</v>
      </c>
      <c r="G2345" s="133" t="s">
        <v>3883</v>
      </c>
      <c r="H2345" s="133">
        <f>VLOOKUP(G2345,'packing mapping'!A:B,2,0)</f>
        <v>4</v>
      </c>
      <c r="I2345" s="137">
        <v>3373160</v>
      </c>
      <c r="J2345" s="132">
        <f t="shared" si="72"/>
        <v>843290</v>
      </c>
    </row>
    <row r="2346" spans="1:10">
      <c r="A2346" s="115" t="s">
        <v>1045</v>
      </c>
      <c r="B2346" s="115" t="s">
        <v>1046</v>
      </c>
      <c r="C2346" s="115" t="s">
        <v>1316</v>
      </c>
      <c r="D2346" s="115" t="s">
        <v>1317</v>
      </c>
      <c r="E2346" s="133" t="str">
        <f t="shared" si="73"/>
        <v>1200001087PCL-31300 YELLOW 170 HR PASTE</v>
      </c>
      <c r="F2346" s="133" t="s">
        <v>3109</v>
      </c>
      <c r="G2346" s="133" t="s">
        <v>3883</v>
      </c>
      <c r="H2346" s="133">
        <f>VLOOKUP(G2346,'packing mapping'!A:B,2,0)</f>
        <v>4</v>
      </c>
      <c r="I2346" s="137">
        <v>2389960</v>
      </c>
      <c r="J2346" s="132">
        <f t="shared" si="72"/>
        <v>597490</v>
      </c>
    </row>
    <row r="2347" spans="1:10">
      <c r="A2347" s="115" t="s">
        <v>1045</v>
      </c>
      <c r="B2347" s="115" t="s">
        <v>1046</v>
      </c>
      <c r="C2347" s="115" t="s">
        <v>1496</v>
      </c>
      <c r="D2347" s="115" t="s">
        <v>1497</v>
      </c>
      <c r="E2347" s="133" t="str">
        <f t="shared" si="73"/>
        <v>1200001087PUH-56141 VN</v>
      </c>
      <c r="F2347" s="133" t="s">
        <v>3189</v>
      </c>
      <c r="G2347" s="133" t="s">
        <v>3881</v>
      </c>
      <c r="H2347" s="133">
        <f>VLOOKUP(G2347,'packing mapping'!A:B,2,0)</f>
        <v>20</v>
      </c>
      <c r="I2347" s="137">
        <v>2254600</v>
      </c>
      <c r="J2347" s="132">
        <f t="shared" si="72"/>
        <v>112730</v>
      </c>
    </row>
    <row r="2348" spans="1:10">
      <c r="A2348" s="115" t="s">
        <v>1045</v>
      </c>
      <c r="B2348" s="115" t="s">
        <v>1046</v>
      </c>
      <c r="C2348" s="115" t="s">
        <v>1780</v>
      </c>
      <c r="D2348" s="115" t="s">
        <v>1781</v>
      </c>
      <c r="E2348" s="133" t="str">
        <f t="shared" si="73"/>
        <v>1200001087MEP-12003 GLASS VN</v>
      </c>
      <c r="F2348" s="133" t="s">
        <v>3318</v>
      </c>
      <c r="G2348" s="133" t="s">
        <v>3882</v>
      </c>
      <c r="H2348" s="133">
        <f>VLOOKUP(G2348,'packing mapping'!A:B,2,0)</f>
        <v>18</v>
      </c>
      <c r="I2348" s="137">
        <v>2202840</v>
      </c>
      <c r="J2348" s="132">
        <f t="shared" si="72"/>
        <v>122380</v>
      </c>
    </row>
    <row r="2349" spans="1:10">
      <c r="A2349" s="115" t="s">
        <v>1045</v>
      </c>
      <c r="B2349" s="115" t="s">
        <v>1046</v>
      </c>
      <c r="C2349" s="115" t="s">
        <v>2896</v>
      </c>
      <c r="D2349" s="115" t="s">
        <v>2897</v>
      </c>
      <c r="E2349" s="133" t="str">
        <f t="shared" si="73"/>
        <v>1200001087WBL-63215 EX CLEAR 20 VN</v>
      </c>
      <c r="F2349" s="133" t="s">
        <v>3819</v>
      </c>
      <c r="G2349" s="133" t="s">
        <v>3881</v>
      </c>
      <c r="H2349" s="133">
        <f>VLOOKUP(G2349,'packing mapping'!A:B,2,0)</f>
        <v>20</v>
      </c>
      <c r="I2349" s="137">
        <v>4132200</v>
      </c>
      <c r="J2349" s="132">
        <f t="shared" si="72"/>
        <v>206610</v>
      </c>
    </row>
    <row r="2350" spans="1:10">
      <c r="A2350" s="115" t="s">
        <v>1045</v>
      </c>
      <c r="B2350" s="115" t="s">
        <v>1046</v>
      </c>
      <c r="C2350" s="115" t="s">
        <v>2898</v>
      </c>
      <c r="D2350" s="115" t="s">
        <v>2899</v>
      </c>
      <c r="E2350" s="133" t="str">
        <f t="shared" si="73"/>
        <v>1200001087MEP-12003 WHITE GLASS VN</v>
      </c>
      <c r="F2350" s="133" t="s">
        <v>3820</v>
      </c>
      <c r="G2350" s="133" t="s">
        <v>3890</v>
      </c>
      <c r="H2350" s="133">
        <f>VLOOKUP(G2350,'packing mapping'!A:B,2,0)</f>
        <v>16</v>
      </c>
      <c r="I2350" s="137">
        <v>1929760</v>
      </c>
      <c r="J2350" s="132">
        <f t="shared" si="72"/>
        <v>120610</v>
      </c>
    </row>
    <row r="2351" spans="1:10">
      <c r="A2351" s="115" t="s">
        <v>1045</v>
      </c>
      <c r="B2351" s="115" t="s">
        <v>1046</v>
      </c>
      <c r="C2351" s="115" t="s">
        <v>1586</v>
      </c>
      <c r="D2351" s="115" t="s">
        <v>1587</v>
      </c>
      <c r="E2351" s="133" t="str">
        <f t="shared" si="73"/>
        <v>1200001087THPU-71306 01 KD VN</v>
      </c>
      <c r="F2351" s="133" t="s">
        <v>3231</v>
      </c>
      <c r="G2351" s="133" t="s">
        <v>3884</v>
      </c>
      <c r="H2351" s="133">
        <f>VLOOKUP(G2351,'packing mapping'!A:B,2,0)</f>
        <v>200</v>
      </c>
      <c r="I2351" s="137">
        <v>9454000</v>
      </c>
      <c r="J2351" s="132">
        <f t="shared" si="72"/>
        <v>47270</v>
      </c>
    </row>
    <row r="2352" spans="1:10">
      <c r="A2352" s="115" t="s">
        <v>1045</v>
      </c>
      <c r="B2352" s="115" t="s">
        <v>1046</v>
      </c>
      <c r="C2352" s="115" t="s">
        <v>1428</v>
      </c>
      <c r="D2352" s="115" t="s">
        <v>1429</v>
      </c>
      <c r="E2352" s="133" t="str">
        <f t="shared" si="73"/>
        <v>1200001087PCWB-31600 WHITE 02196 PASTE VN</v>
      </c>
      <c r="F2352" s="133" t="s">
        <v>3162</v>
      </c>
      <c r="G2352" s="133" t="s">
        <v>3883</v>
      </c>
      <c r="H2352" s="133">
        <f>VLOOKUP(G2352,'packing mapping'!A:B,2,0)</f>
        <v>4</v>
      </c>
      <c r="I2352" s="137">
        <v>1049200</v>
      </c>
      <c r="J2352" s="132">
        <f t="shared" si="72"/>
        <v>262300</v>
      </c>
    </row>
    <row r="2353" spans="1:10">
      <c r="A2353" s="115" t="s">
        <v>1045</v>
      </c>
      <c r="B2353" s="115" t="s">
        <v>1046</v>
      </c>
      <c r="C2353" s="115" t="s">
        <v>1606</v>
      </c>
      <c r="D2353" s="115" t="s">
        <v>1607</v>
      </c>
      <c r="E2353" s="133" t="str">
        <f t="shared" si="73"/>
        <v>1200001087PCWB-31600 BLACK 90400 R PASTE VN</v>
      </c>
      <c r="F2353" s="133" t="s">
        <v>3241</v>
      </c>
      <c r="G2353" s="133" t="s">
        <v>3883</v>
      </c>
      <c r="H2353" s="133">
        <f>VLOOKUP(G2353,'packing mapping'!A:B,2,0)</f>
        <v>4</v>
      </c>
      <c r="I2353" s="137">
        <v>1400000</v>
      </c>
      <c r="J2353" s="132">
        <f t="shared" si="72"/>
        <v>350000</v>
      </c>
    </row>
    <row r="2354" spans="1:10">
      <c r="A2354" s="115" t="s">
        <v>1045</v>
      </c>
      <c r="B2354" s="115" t="s">
        <v>1046</v>
      </c>
      <c r="C2354" s="115" t="s">
        <v>1608</v>
      </c>
      <c r="D2354" s="115" t="s">
        <v>1609</v>
      </c>
      <c r="E2354" s="133" t="str">
        <f t="shared" si="73"/>
        <v>1200001087PCWB-31600 RED 34597 PASTE VN</v>
      </c>
      <c r="F2354" s="133" t="s">
        <v>3242</v>
      </c>
      <c r="G2354" s="133" t="s">
        <v>3883</v>
      </c>
      <c r="H2354" s="133">
        <f>VLOOKUP(G2354,'packing mapping'!A:B,2,0)</f>
        <v>4</v>
      </c>
      <c r="I2354" s="137">
        <v>1620800</v>
      </c>
      <c r="J2354" s="132">
        <f t="shared" si="72"/>
        <v>405200</v>
      </c>
    </row>
    <row r="2355" spans="1:10">
      <c r="A2355" s="115" t="s">
        <v>1045</v>
      </c>
      <c r="B2355" s="115" t="s">
        <v>1046</v>
      </c>
      <c r="C2355" s="115" t="s">
        <v>1610</v>
      </c>
      <c r="D2355" s="115" t="s">
        <v>1611</v>
      </c>
      <c r="E2355" s="133" t="str">
        <f t="shared" si="73"/>
        <v>1200001087PCWB-31600 YELLOW 10313 PASTE VN</v>
      </c>
      <c r="F2355" s="133" t="s">
        <v>3243</v>
      </c>
      <c r="G2355" s="133" t="s">
        <v>3883</v>
      </c>
      <c r="H2355" s="133">
        <f>VLOOKUP(G2355,'packing mapping'!A:B,2,0)</f>
        <v>4</v>
      </c>
      <c r="I2355" s="137">
        <v>1182000</v>
      </c>
      <c r="J2355" s="132">
        <f t="shared" si="72"/>
        <v>295500</v>
      </c>
    </row>
    <row r="2356" spans="1:10">
      <c r="A2356" s="115" t="s">
        <v>1045</v>
      </c>
      <c r="B2356" s="115" t="s">
        <v>1046</v>
      </c>
      <c r="C2356" s="115" t="s">
        <v>1612</v>
      </c>
      <c r="D2356" s="115" t="s">
        <v>1613</v>
      </c>
      <c r="E2356" s="133" t="str">
        <f t="shared" si="73"/>
        <v>1200001087PCWB-31600 BROWN 645 PASTE VN</v>
      </c>
      <c r="F2356" s="133" t="s">
        <v>3244</v>
      </c>
      <c r="G2356" s="133" t="s">
        <v>3883</v>
      </c>
      <c r="H2356" s="133">
        <f>VLOOKUP(G2356,'packing mapping'!A:B,2,0)</f>
        <v>4</v>
      </c>
      <c r="I2356" s="137">
        <v>1315600</v>
      </c>
      <c r="J2356" s="132">
        <f t="shared" si="72"/>
        <v>328900</v>
      </c>
    </row>
    <row r="2357" spans="1:10">
      <c r="A2357" s="115" t="s">
        <v>1045</v>
      </c>
      <c r="B2357" s="115" t="s">
        <v>1046</v>
      </c>
      <c r="C2357" s="115" t="s">
        <v>2900</v>
      </c>
      <c r="D2357" s="115" t="s">
        <v>2901</v>
      </c>
      <c r="E2357" s="133" t="str">
        <f t="shared" si="73"/>
        <v>1200001087PUC-54205 AC KEM 01 90 SR VN</v>
      </c>
      <c r="F2357" s="133" t="s">
        <v>3821</v>
      </c>
      <c r="G2357" s="133" t="s">
        <v>3881</v>
      </c>
      <c r="H2357" s="133">
        <f>VLOOKUP(G2357,'packing mapping'!A:B,2,0)</f>
        <v>20</v>
      </c>
      <c r="I2357" s="137">
        <v>3391200</v>
      </c>
      <c r="J2357" s="132">
        <f t="shared" si="72"/>
        <v>169560</v>
      </c>
    </row>
    <row r="2358" spans="1:10">
      <c r="A2358" s="115" t="s">
        <v>1045</v>
      </c>
      <c r="B2358" s="115" t="s">
        <v>1046</v>
      </c>
      <c r="C2358" s="115" t="s">
        <v>2902</v>
      </c>
      <c r="D2358" s="115" t="s">
        <v>2903</v>
      </c>
      <c r="E2358" s="133" t="str">
        <f t="shared" si="73"/>
        <v>1200001087PUH-56306 LY SR VN</v>
      </c>
      <c r="F2358" s="133" t="s">
        <v>3822</v>
      </c>
      <c r="G2358" s="133" t="s">
        <v>3879</v>
      </c>
      <c r="H2358" s="133">
        <f>VLOOKUP(G2358,'packing mapping'!A:B,2,0)</f>
        <v>20</v>
      </c>
      <c r="I2358" s="137">
        <v>2748000</v>
      </c>
      <c r="J2358" s="132">
        <f t="shared" si="72"/>
        <v>137400</v>
      </c>
    </row>
    <row r="2359" spans="1:10">
      <c r="A2359" s="115" t="s">
        <v>1045</v>
      </c>
      <c r="B2359" s="115" t="s">
        <v>1046</v>
      </c>
      <c r="C2359" s="115" t="s">
        <v>2904</v>
      </c>
      <c r="D2359" s="115" t="s">
        <v>2905</v>
      </c>
      <c r="E2359" s="133" t="str">
        <f t="shared" si="73"/>
        <v>1200001087PUH-56306 LY SR VN</v>
      </c>
      <c r="F2359" s="133" t="s">
        <v>3822</v>
      </c>
      <c r="G2359" s="133" t="s">
        <v>3888</v>
      </c>
      <c r="H2359" s="133">
        <f>VLOOKUP(G2359,'packing mapping'!A:B,2,0)</f>
        <v>4</v>
      </c>
      <c r="I2359" s="137">
        <v>603840</v>
      </c>
      <c r="J2359" s="132">
        <f t="shared" si="72"/>
        <v>150960</v>
      </c>
    </row>
    <row r="2360" spans="1:10">
      <c r="A2360" s="115" t="s">
        <v>1045</v>
      </c>
      <c r="B2360" s="115" t="s">
        <v>1046</v>
      </c>
      <c r="C2360" s="115" t="s">
        <v>2906</v>
      </c>
      <c r="D2360" s="115" t="s">
        <v>2907</v>
      </c>
      <c r="E2360" s="133" t="str">
        <f t="shared" si="73"/>
        <v>1200001087PUC-54205 AC WHT KVHOME 90 SR VN</v>
      </c>
      <c r="F2360" s="133" t="s">
        <v>3823</v>
      </c>
      <c r="G2360" s="133" t="s">
        <v>3881</v>
      </c>
      <c r="H2360" s="133">
        <f>VLOOKUP(G2360,'packing mapping'!A:B,2,0)</f>
        <v>20</v>
      </c>
      <c r="I2360" s="137">
        <v>3391200</v>
      </c>
      <c r="J2360" s="132">
        <f t="shared" si="72"/>
        <v>169560</v>
      </c>
    </row>
    <row r="2361" spans="1:10">
      <c r="A2361" s="115" t="s">
        <v>1045</v>
      </c>
      <c r="B2361" s="115" t="s">
        <v>1046</v>
      </c>
      <c r="C2361" s="115" t="s">
        <v>2908</v>
      </c>
      <c r="D2361" s="115" t="s">
        <v>2909</v>
      </c>
      <c r="E2361" s="133" t="str">
        <f t="shared" si="73"/>
        <v>1200001087PUP-54111 AC GRN KAKIHOME SR VN</v>
      </c>
      <c r="F2361" s="133" t="s">
        <v>3824</v>
      </c>
      <c r="G2361" s="133" t="s">
        <v>3881</v>
      </c>
      <c r="H2361" s="133">
        <f>VLOOKUP(G2361,'packing mapping'!A:B,2,0)</f>
        <v>20</v>
      </c>
      <c r="I2361" s="137">
        <v>3500800</v>
      </c>
      <c r="J2361" s="132">
        <f t="shared" si="72"/>
        <v>175040</v>
      </c>
    </row>
    <row r="2362" spans="1:10">
      <c r="A2362" s="115" t="s">
        <v>1045</v>
      </c>
      <c r="B2362" s="115" t="s">
        <v>1046</v>
      </c>
      <c r="C2362" s="115" t="s">
        <v>2910</v>
      </c>
      <c r="D2362" s="115" t="s">
        <v>2911</v>
      </c>
      <c r="E2362" s="133" t="str">
        <f t="shared" si="73"/>
        <v>1200001087PUC-54206 AC EX GRNKAKI 90 SR VN</v>
      </c>
      <c r="F2362" s="133" t="s">
        <v>3825</v>
      </c>
      <c r="G2362" s="133" t="s">
        <v>3882</v>
      </c>
      <c r="H2362" s="133">
        <f>VLOOKUP(G2362,'packing mapping'!A:B,2,0)</f>
        <v>18</v>
      </c>
      <c r="I2362" s="137">
        <v>3735900</v>
      </c>
      <c r="J2362" s="132">
        <f t="shared" si="72"/>
        <v>207550</v>
      </c>
    </row>
    <row r="2363" spans="1:10">
      <c r="A2363" s="115" t="s">
        <v>1045</v>
      </c>
      <c r="B2363" s="115" t="s">
        <v>1046</v>
      </c>
      <c r="C2363" s="115" t="s">
        <v>2912</v>
      </c>
      <c r="D2363" s="115" t="s">
        <v>2913</v>
      </c>
      <c r="E2363" s="133" t="str">
        <f t="shared" si="73"/>
        <v>1200001087PUC-54205 AC WHT OVAL T 08 SR VN</v>
      </c>
      <c r="F2363" s="133" t="s">
        <v>3826</v>
      </c>
      <c r="G2363" s="133" t="s">
        <v>3881</v>
      </c>
      <c r="H2363" s="133">
        <f>VLOOKUP(G2363,'packing mapping'!A:B,2,0)</f>
        <v>20</v>
      </c>
      <c r="I2363" s="137">
        <v>3695200</v>
      </c>
      <c r="J2363" s="132">
        <f t="shared" si="72"/>
        <v>184760</v>
      </c>
    </row>
    <row r="2364" spans="1:10">
      <c r="A2364" s="115" t="s">
        <v>1045</v>
      </c>
      <c r="B2364" s="115" t="s">
        <v>1046</v>
      </c>
      <c r="C2364" s="115" t="s">
        <v>2914</v>
      </c>
      <c r="D2364" s="115" t="s">
        <v>2915</v>
      </c>
      <c r="E2364" s="133" t="str">
        <f t="shared" si="73"/>
        <v>1200001087PUC-54205 AC WHT TITO 08 SR VN</v>
      </c>
      <c r="F2364" s="133" t="s">
        <v>3827</v>
      </c>
      <c r="G2364" s="133" t="s">
        <v>3881</v>
      </c>
      <c r="H2364" s="133">
        <f>VLOOKUP(G2364,'packing mapping'!A:B,2,0)</f>
        <v>20</v>
      </c>
      <c r="I2364" s="137">
        <v>3737600</v>
      </c>
      <c r="J2364" s="132">
        <f t="shared" si="72"/>
        <v>186880</v>
      </c>
    </row>
    <row r="2365" spans="1:10">
      <c r="A2365" s="115" t="s">
        <v>1045</v>
      </c>
      <c r="B2365" s="115" t="s">
        <v>1046</v>
      </c>
      <c r="C2365" s="115" t="s">
        <v>2916</v>
      </c>
      <c r="D2365" s="115" t="s">
        <v>2917</v>
      </c>
      <c r="E2365" s="133" t="str">
        <f t="shared" si="73"/>
        <v>1200001087PUC-54206 AC EX YEL MN 05 SR VN</v>
      </c>
      <c r="F2365" s="133" t="s">
        <v>3828</v>
      </c>
      <c r="G2365" s="133" t="s">
        <v>3882</v>
      </c>
      <c r="H2365" s="133">
        <f>VLOOKUP(G2365,'packing mapping'!A:B,2,0)</f>
        <v>18</v>
      </c>
      <c r="I2365" s="137">
        <v>4213260</v>
      </c>
      <c r="J2365" s="132">
        <f t="shared" si="72"/>
        <v>234070</v>
      </c>
    </row>
    <row r="2366" spans="1:10">
      <c r="A2366" s="115" t="s">
        <v>1045</v>
      </c>
      <c r="B2366" s="115" t="s">
        <v>1046</v>
      </c>
      <c r="C2366" s="115" t="s">
        <v>2918</v>
      </c>
      <c r="D2366" s="115" t="s">
        <v>2919</v>
      </c>
      <c r="E2366" s="133" t="str">
        <f t="shared" si="73"/>
        <v>1200001087PUC-54206 AC EX GRN MN 05 SR VN</v>
      </c>
      <c r="F2366" s="133" t="s">
        <v>3829</v>
      </c>
      <c r="G2366" s="133" t="s">
        <v>3882</v>
      </c>
      <c r="H2366" s="133">
        <f>VLOOKUP(G2366,'packing mapping'!A:B,2,0)</f>
        <v>18</v>
      </c>
      <c r="I2366" s="137">
        <v>4109940</v>
      </c>
      <c r="J2366" s="132">
        <f t="shared" si="72"/>
        <v>228330</v>
      </c>
    </row>
    <row r="2367" spans="1:10">
      <c r="A2367" s="115" t="s">
        <v>1045</v>
      </c>
      <c r="B2367" s="115" t="s">
        <v>1046</v>
      </c>
      <c r="C2367" s="115" t="s">
        <v>2920</v>
      </c>
      <c r="D2367" s="115" t="s">
        <v>2921</v>
      </c>
      <c r="E2367" s="133" t="str">
        <f t="shared" si="73"/>
        <v>1200001087PUC-54205 AC WHT TIMESD 90 SR VN</v>
      </c>
      <c r="F2367" s="133" t="s">
        <v>3830</v>
      </c>
      <c r="G2367" s="133" t="s">
        <v>3881</v>
      </c>
      <c r="H2367" s="133">
        <f>VLOOKUP(G2367,'packing mapping'!A:B,2,0)</f>
        <v>20</v>
      </c>
      <c r="I2367" s="137">
        <v>3777200</v>
      </c>
      <c r="J2367" s="132">
        <f t="shared" si="72"/>
        <v>188860</v>
      </c>
    </row>
    <row r="2368" spans="1:10">
      <c r="A2368" s="115" t="s">
        <v>1045</v>
      </c>
      <c r="B2368" s="115" t="s">
        <v>1046</v>
      </c>
      <c r="C2368" s="115" t="s">
        <v>2922</v>
      </c>
      <c r="D2368" s="115" t="s">
        <v>2923</v>
      </c>
      <c r="E2368" s="133" t="str">
        <f t="shared" si="73"/>
        <v>1200001087PUC-54206 AC EX XAMOLVR 90 SR VN</v>
      </c>
      <c r="F2368" s="133" t="s">
        <v>3831</v>
      </c>
      <c r="G2368" s="133" t="s">
        <v>3882</v>
      </c>
      <c r="H2368" s="133">
        <f>VLOOKUP(G2368,'packing mapping'!A:B,2,0)</f>
        <v>18</v>
      </c>
      <c r="I2368" s="137">
        <v>3760740</v>
      </c>
      <c r="J2368" s="132">
        <f t="shared" si="72"/>
        <v>208930</v>
      </c>
    </row>
    <row r="2369" spans="1:10">
      <c r="A2369" s="115" t="s">
        <v>1045</v>
      </c>
      <c r="B2369" s="115" t="s">
        <v>1046</v>
      </c>
      <c r="C2369" s="115" t="s">
        <v>2924</v>
      </c>
      <c r="D2369" s="115" t="s">
        <v>2925</v>
      </c>
      <c r="E2369" s="133" t="str">
        <f t="shared" si="73"/>
        <v>1200001087PUC-54206 AC EX GRN DV 90 SR VN</v>
      </c>
      <c r="F2369" s="133" t="s">
        <v>3832</v>
      </c>
      <c r="G2369" s="133" t="s">
        <v>3882</v>
      </c>
      <c r="H2369" s="133">
        <f>VLOOKUP(G2369,'packing mapping'!A:B,2,0)</f>
        <v>18</v>
      </c>
      <c r="I2369" s="137">
        <v>3266460</v>
      </c>
      <c r="J2369" s="132">
        <f t="shared" si="72"/>
        <v>181470</v>
      </c>
    </row>
    <row r="2370" spans="1:10">
      <c r="A2370" s="115" t="s">
        <v>1045</v>
      </c>
      <c r="B2370" s="115" t="s">
        <v>1046</v>
      </c>
      <c r="C2370" s="115" t="s">
        <v>1516</v>
      </c>
      <c r="D2370" s="115" t="s">
        <v>1517</v>
      </c>
      <c r="E2370" s="133" t="str">
        <f t="shared" si="73"/>
        <v>1200001087PUL-53306 AC EX SUPER MATT VN</v>
      </c>
      <c r="F2370" s="133" t="s">
        <v>3198</v>
      </c>
      <c r="G2370" s="133" t="s">
        <v>3882</v>
      </c>
      <c r="H2370" s="133">
        <f>VLOOKUP(G2370,'packing mapping'!A:B,2,0)</f>
        <v>18</v>
      </c>
      <c r="I2370" s="137">
        <v>4842180</v>
      </c>
      <c r="J2370" s="132">
        <f t="shared" ref="J2370:J2433" si="74">I2370/H2370</f>
        <v>269010</v>
      </c>
    </row>
    <row r="2371" spans="1:10">
      <c r="A2371" s="115" t="s">
        <v>1045</v>
      </c>
      <c r="B2371" s="115" t="s">
        <v>1046</v>
      </c>
      <c r="C2371" s="115" t="s">
        <v>2926</v>
      </c>
      <c r="D2371" s="115" t="s">
        <v>2927</v>
      </c>
      <c r="E2371" s="133" t="str">
        <f t="shared" ref="E2371:E2434" si="75">A2371&amp;F2371</f>
        <v>1200001087PUC-54205 AC AMALIE 90 SR VN</v>
      </c>
      <c r="F2371" s="133" t="s">
        <v>3833</v>
      </c>
      <c r="G2371" s="133" t="s">
        <v>3881</v>
      </c>
      <c r="H2371" s="133">
        <f>VLOOKUP(G2371,'packing mapping'!A:B,2,0)</f>
        <v>20</v>
      </c>
      <c r="I2371" s="137">
        <v>3863200</v>
      </c>
      <c r="J2371" s="132">
        <f t="shared" si="74"/>
        <v>193160</v>
      </c>
    </row>
    <row r="2372" spans="1:10">
      <c r="A2372" s="115" t="s">
        <v>1045</v>
      </c>
      <c r="B2372" s="115" t="s">
        <v>1046</v>
      </c>
      <c r="C2372" s="115" t="s">
        <v>2928</v>
      </c>
      <c r="D2372" s="115" t="s">
        <v>2929</v>
      </c>
      <c r="E2372" s="133" t="str">
        <f t="shared" si="75"/>
        <v>1200001087PUC-54205 AC ASYM 90 SR VN</v>
      </c>
      <c r="F2372" s="133" t="s">
        <v>3834</v>
      </c>
      <c r="G2372" s="133" t="s">
        <v>3881</v>
      </c>
      <c r="H2372" s="133">
        <f>VLOOKUP(G2372,'packing mapping'!A:B,2,0)</f>
        <v>20</v>
      </c>
      <c r="I2372" s="137">
        <v>3852200</v>
      </c>
      <c r="J2372" s="132">
        <f t="shared" si="74"/>
        <v>192610</v>
      </c>
    </row>
    <row r="2373" spans="1:10">
      <c r="A2373" s="115" t="s">
        <v>1045</v>
      </c>
      <c r="B2373" s="115" t="s">
        <v>1046</v>
      </c>
      <c r="C2373" s="115" t="s">
        <v>2930</v>
      </c>
      <c r="D2373" s="115" t="s">
        <v>2931</v>
      </c>
      <c r="E2373" s="133" t="str">
        <f t="shared" si="75"/>
        <v>1200001087PUP-54111 AC BROWN LANA SR VN</v>
      </c>
      <c r="F2373" s="133" t="s">
        <v>3835</v>
      </c>
      <c r="G2373" s="133" t="s">
        <v>3881</v>
      </c>
      <c r="H2373" s="133">
        <f>VLOOKUP(G2373,'packing mapping'!A:B,2,0)</f>
        <v>20</v>
      </c>
      <c r="I2373" s="137">
        <v>3303000</v>
      </c>
      <c r="J2373" s="132">
        <f t="shared" si="74"/>
        <v>165150</v>
      </c>
    </row>
    <row r="2374" spans="1:10">
      <c r="A2374" s="115" t="s">
        <v>1045</v>
      </c>
      <c r="B2374" s="115" t="s">
        <v>1046</v>
      </c>
      <c r="C2374" s="115" t="s">
        <v>2932</v>
      </c>
      <c r="D2374" s="115" t="s">
        <v>2933</v>
      </c>
      <c r="E2374" s="133" t="str">
        <f t="shared" si="75"/>
        <v>1200001087PUP-54106 AC EX BROWN FAMI SR VN</v>
      </c>
      <c r="F2374" s="133" t="s">
        <v>3836</v>
      </c>
      <c r="G2374" s="133" t="s">
        <v>3881</v>
      </c>
      <c r="H2374" s="133">
        <f>VLOOKUP(G2374,'packing mapping'!A:B,2,0)</f>
        <v>20</v>
      </c>
      <c r="I2374" s="137">
        <v>3724400</v>
      </c>
      <c r="J2374" s="132">
        <f t="shared" si="74"/>
        <v>186220</v>
      </c>
    </row>
    <row r="2375" spans="1:10">
      <c r="A2375" s="115" t="s">
        <v>1045</v>
      </c>
      <c r="B2375" s="115" t="s">
        <v>1046</v>
      </c>
      <c r="C2375" s="115" t="s">
        <v>2934</v>
      </c>
      <c r="D2375" s="115" t="s">
        <v>2935</v>
      </c>
      <c r="E2375" s="133" t="str">
        <f t="shared" si="75"/>
        <v>1200001087PS-15100 BASE SRF VN</v>
      </c>
      <c r="F2375" s="133" t="s">
        <v>3837</v>
      </c>
      <c r="G2375" s="133" t="s">
        <v>3881</v>
      </c>
      <c r="H2375" s="133">
        <f>VLOOKUP(G2375,'packing mapping'!A:B,2,0)</f>
        <v>20</v>
      </c>
      <c r="I2375" s="137">
        <v>718800</v>
      </c>
      <c r="J2375" s="132">
        <f t="shared" si="74"/>
        <v>35940</v>
      </c>
    </row>
    <row r="2376" spans="1:10">
      <c r="A2376" s="115" t="s">
        <v>1045</v>
      </c>
      <c r="B2376" s="115" t="s">
        <v>1046</v>
      </c>
      <c r="C2376" s="115" t="s">
        <v>2936</v>
      </c>
      <c r="D2376" s="115" t="s">
        <v>2937</v>
      </c>
      <c r="E2376" s="133" t="str">
        <f t="shared" si="75"/>
        <v>1200001087PCWB-31600 BLUE 50 NCF PASTE VN</v>
      </c>
      <c r="F2376" s="133" t="s">
        <v>3838</v>
      </c>
      <c r="G2376" s="133" t="s">
        <v>3883</v>
      </c>
      <c r="H2376" s="133">
        <f>VLOOKUP(G2376,'packing mapping'!A:B,2,0)</f>
        <v>4</v>
      </c>
      <c r="I2376" s="137">
        <v>2080000</v>
      </c>
      <c r="J2376" s="132">
        <f t="shared" si="74"/>
        <v>520000</v>
      </c>
    </row>
    <row r="2377" spans="1:10">
      <c r="A2377" s="115" t="s">
        <v>792</v>
      </c>
      <c r="B2377" s="115" t="s">
        <v>793</v>
      </c>
      <c r="C2377" s="115" t="s">
        <v>1180</v>
      </c>
      <c r="D2377" s="115" t="s">
        <v>1181</v>
      </c>
      <c r="E2377" s="133" t="str">
        <f t="shared" si="75"/>
        <v>1200000786GZPU-21500 RU BASE VN</v>
      </c>
      <c r="F2377" s="133" t="s">
        <v>3044</v>
      </c>
      <c r="G2377" s="133" t="s">
        <v>3882</v>
      </c>
      <c r="H2377" s="133">
        <f>VLOOKUP(G2377,'packing mapping'!A:B,2,0)</f>
        <v>18</v>
      </c>
      <c r="I2377" s="137">
        <v>2426760</v>
      </c>
      <c r="J2377" s="132">
        <f t="shared" si="74"/>
        <v>134820</v>
      </c>
    </row>
    <row r="2378" spans="1:10">
      <c r="A2378" s="115" t="s">
        <v>792</v>
      </c>
      <c r="B2378" s="115" t="s">
        <v>793</v>
      </c>
      <c r="C2378" s="115" t="s">
        <v>1182</v>
      </c>
      <c r="D2378" s="115" t="s">
        <v>1183</v>
      </c>
      <c r="E2378" s="133" t="str">
        <f t="shared" si="75"/>
        <v>1200000786MEP-12003 BROWN KI VN</v>
      </c>
      <c r="F2378" s="133" t="s">
        <v>3045</v>
      </c>
      <c r="G2378" s="133" t="s">
        <v>3882</v>
      </c>
      <c r="H2378" s="133">
        <f>VLOOKUP(G2378,'packing mapping'!A:B,2,0)</f>
        <v>18</v>
      </c>
      <c r="I2378" s="137">
        <v>1479960</v>
      </c>
      <c r="J2378" s="132">
        <f t="shared" si="74"/>
        <v>82220</v>
      </c>
    </row>
    <row r="2379" spans="1:10">
      <c r="A2379" s="115" t="s">
        <v>792</v>
      </c>
      <c r="B2379" s="115" t="s">
        <v>793</v>
      </c>
      <c r="C2379" s="115" t="s">
        <v>1192</v>
      </c>
      <c r="D2379" s="115" t="s">
        <v>1193</v>
      </c>
      <c r="E2379" s="133" t="str">
        <f t="shared" si="75"/>
        <v>1200000786PCL-31300 BLACK PASTE</v>
      </c>
      <c r="F2379" s="133" t="s">
        <v>3050</v>
      </c>
      <c r="G2379" s="133" t="s">
        <v>3883</v>
      </c>
      <c r="H2379" s="133">
        <f>VLOOKUP(G2379,'packing mapping'!A:B,2,0)</f>
        <v>4</v>
      </c>
      <c r="I2379" s="137">
        <v>2088680</v>
      </c>
      <c r="J2379" s="132">
        <f t="shared" si="74"/>
        <v>522170</v>
      </c>
    </row>
    <row r="2380" spans="1:10">
      <c r="A2380" s="115" t="s">
        <v>792</v>
      </c>
      <c r="B2380" s="115" t="s">
        <v>793</v>
      </c>
      <c r="C2380" s="115" t="s">
        <v>1194</v>
      </c>
      <c r="D2380" s="115" t="s">
        <v>1195</v>
      </c>
      <c r="E2380" s="133" t="str">
        <f t="shared" si="75"/>
        <v>1200000786PCL-31300 BLUE OG PASTE</v>
      </c>
      <c r="F2380" s="133" t="s">
        <v>3051</v>
      </c>
      <c r="G2380" s="133" t="s">
        <v>3883</v>
      </c>
      <c r="H2380" s="133">
        <f>VLOOKUP(G2380,'packing mapping'!A:B,2,0)</f>
        <v>4</v>
      </c>
      <c r="I2380" s="137">
        <v>1673280</v>
      </c>
      <c r="J2380" s="132">
        <f t="shared" si="74"/>
        <v>418320</v>
      </c>
    </row>
    <row r="2381" spans="1:10">
      <c r="A2381" s="115" t="s">
        <v>792</v>
      </c>
      <c r="B2381" s="115" t="s">
        <v>793</v>
      </c>
      <c r="C2381" s="115" t="s">
        <v>1988</v>
      </c>
      <c r="D2381" s="115" t="s">
        <v>1989</v>
      </c>
      <c r="E2381" s="133" t="str">
        <f t="shared" si="75"/>
        <v>1200000786PCL-31300 GREEN OB PASTE</v>
      </c>
      <c r="F2381" s="133" t="s">
        <v>3415</v>
      </c>
      <c r="G2381" s="133" t="s">
        <v>3883</v>
      </c>
      <c r="H2381" s="133">
        <f>VLOOKUP(G2381,'packing mapping'!A:B,2,0)</f>
        <v>4</v>
      </c>
      <c r="I2381" s="137">
        <v>1798040</v>
      </c>
      <c r="J2381" s="132">
        <f t="shared" si="74"/>
        <v>449510</v>
      </c>
    </row>
    <row r="2382" spans="1:10">
      <c r="A2382" s="115" t="s">
        <v>792</v>
      </c>
      <c r="B2382" s="115" t="s">
        <v>793</v>
      </c>
      <c r="C2382" s="115" t="s">
        <v>1380</v>
      </c>
      <c r="D2382" s="115" t="s">
        <v>1381</v>
      </c>
      <c r="E2382" s="133" t="str">
        <f t="shared" si="75"/>
        <v>1200000786PCL-31300 OXIDE RED PASTE</v>
      </c>
      <c r="F2382" s="133" t="s">
        <v>3140</v>
      </c>
      <c r="G2382" s="133" t="s">
        <v>3883</v>
      </c>
      <c r="H2382" s="133">
        <f>VLOOKUP(G2382,'packing mapping'!A:B,2,0)</f>
        <v>4</v>
      </c>
      <c r="I2382" s="137">
        <v>1397360</v>
      </c>
      <c r="J2382" s="132">
        <f t="shared" si="74"/>
        <v>349340</v>
      </c>
    </row>
    <row r="2383" spans="1:10">
      <c r="A2383" s="115" t="s">
        <v>792</v>
      </c>
      <c r="B2383" s="115" t="s">
        <v>793</v>
      </c>
      <c r="C2383" s="115" t="s">
        <v>1200</v>
      </c>
      <c r="D2383" s="115" t="s">
        <v>1201</v>
      </c>
      <c r="E2383" s="133" t="str">
        <f t="shared" si="75"/>
        <v>1200000786PCL-31300 RED OB 35 PASTE</v>
      </c>
      <c r="F2383" s="133" t="s">
        <v>3054</v>
      </c>
      <c r="G2383" s="133" t="s">
        <v>3883</v>
      </c>
      <c r="H2383" s="133">
        <f>VLOOKUP(G2383,'packing mapping'!A:B,2,0)</f>
        <v>4</v>
      </c>
      <c r="I2383" s="137">
        <v>1294040</v>
      </c>
      <c r="J2383" s="132">
        <f t="shared" si="74"/>
        <v>323510</v>
      </c>
    </row>
    <row r="2384" spans="1:10">
      <c r="A2384" s="115" t="s">
        <v>792</v>
      </c>
      <c r="B2384" s="115" t="s">
        <v>793</v>
      </c>
      <c r="C2384" s="115" t="s">
        <v>1384</v>
      </c>
      <c r="D2384" s="115" t="s">
        <v>1385</v>
      </c>
      <c r="E2384" s="133" t="str">
        <f t="shared" si="75"/>
        <v>1200000786PCL-31300 VIOLET PASTE</v>
      </c>
      <c r="F2384" s="133" t="s">
        <v>3142</v>
      </c>
      <c r="G2384" s="133" t="s">
        <v>3883</v>
      </c>
      <c r="H2384" s="133">
        <f>VLOOKUP(G2384,'packing mapping'!A:B,2,0)</f>
        <v>4</v>
      </c>
      <c r="I2384" s="137">
        <v>2175600</v>
      </c>
      <c r="J2384" s="132">
        <f t="shared" si="74"/>
        <v>543900</v>
      </c>
    </row>
    <row r="2385" spans="1:10">
      <c r="A2385" s="115" t="s">
        <v>792</v>
      </c>
      <c r="B2385" s="115" t="s">
        <v>793</v>
      </c>
      <c r="C2385" s="115" t="s">
        <v>1202</v>
      </c>
      <c r="D2385" s="115" t="s">
        <v>1203</v>
      </c>
      <c r="E2385" s="133" t="str">
        <f t="shared" si="75"/>
        <v>1200000786PCL-31300 WHITE PASTE</v>
      </c>
      <c r="F2385" s="133" t="s">
        <v>3055</v>
      </c>
      <c r="G2385" s="133" t="s">
        <v>3883</v>
      </c>
      <c r="H2385" s="133">
        <f>VLOOKUP(G2385,'packing mapping'!A:B,2,0)</f>
        <v>4</v>
      </c>
      <c r="I2385" s="137">
        <v>939560</v>
      </c>
      <c r="J2385" s="132">
        <f t="shared" si="74"/>
        <v>234890</v>
      </c>
    </row>
    <row r="2386" spans="1:10">
      <c r="A2386" s="115" t="s">
        <v>792</v>
      </c>
      <c r="B2386" s="115" t="s">
        <v>793</v>
      </c>
      <c r="C2386" s="115" t="s">
        <v>1204</v>
      </c>
      <c r="D2386" s="115" t="s">
        <v>1205</v>
      </c>
      <c r="E2386" s="133" t="str">
        <f t="shared" si="75"/>
        <v>1200000786PCL-31300 YELLOW OG 16 PASTE</v>
      </c>
      <c r="F2386" s="133" t="s">
        <v>3056</v>
      </c>
      <c r="G2386" s="133" t="s">
        <v>3883</v>
      </c>
      <c r="H2386" s="133">
        <f>VLOOKUP(G2386,'packing mapping'!A:B,2,0)</f>
        <v>4</v>
      </c>
      <c r="I2386" s="137">
        <v>3138680</v>
      </c>
      <c r="J2386" s="132">
        <f t="shared" si="74"/>
        <v>784670</v>
      </c>
    </row>
    <row r="2387" spans="1:10">
      <c r="A2387" s="115" t="s">
        <v>792</v>
      </c>
      <c r="B2387" s="115" t="s">
        <v>793</v>
      </c>
      <c r="C2387" s="115" t="s">
        <v>1206</v>
      </c>
      <c r="D2387" s="115" t="s">
        <v>1207</v>
      </c>
      <c r="E2387" s="133" t="str">
        <f t="shared" si="75"/>
        <v>1200000786PCL-31300 YELLOW OKER PASTE</v>
      </c>
      <c r="F2387" s="133" t="s">
        <v>3057</v>
      </c>
      <c r="G2387" s="133" t="s">
        <v>3883</v>
      </c>
      <c r="H2387" s="133">
        <f>VLOOKUP(G2387,'packing mapping'!A:B,2,0)</f>
        <v>4</v>
      </c>
      <c r="I2387" s="137">
        <v>1338960</v>
      </c>
      <c r="J2387" s="132">
        <f t="shared" si="74"/>
        <v>334740</v>
      </c>
    </row>
    <row r="2388" spans="1:10">
      <c r="A2388" s="115" t="s">
        <v>792</v>
      </c>
      <c r="B2388" s="115" t="s">
        <v>793</v>
      </c>
      <c r="C2388" s="115" t="s">
        <v>1388</v>
      </c>
      <c r="D2388" s="115" t="s">
        <v>1389</v>
      </c>
      <c r="E2388" s="133" t="str">
        <f t="shared" si="75"/>
        <v>1200000786PUC-54205 AC WHITE 10 VN</v>
      </c>
      <c r="F2388" s="133" t="s">
        <v>3144</v>
      </c>
      <c r="G2388" s="133" t="s">
        <v>3881</v>
      </c>
      <c r="H2388" s="133">
        <f>VLOOKUP(G2388,'packing mapping'!A:B,2,0)</f>
        <v>20</v>
      </c>
      <c r="I2388" s="137">
        <v>3257200</v>
      </c>
      <c r="J2388" s="132">
        <f t="shared" si="74"/>
        <v>162860</v>
      </c>
    </row>
    <row r="2389" spans="1:10">
      <c r="A2389" s="115" t="s">
        <v>792</v>
      </c>
      <c r="B2389" s="115" t="s">
        <v>793</v>
      </c>
      <c r="C2389" s="115" t="s">
        <v>1210</v>
      </c>
      <c r="D2389" s="115" t="s">
        <v>1211</v>
      </c>
      <c r="E2389" s="133" t="str">
        <f t="shared" si="75"/>
        <v>1200000786PUH-56306 LY VN</v>
      </c>
      <c r="F2389" s="133" t="s">
        <v>3059</v>
      </c>
      <c r="G2389" s="133" t="s">
        <v>3879</v>
      </c>
      <c r="H2389" s="133">
        <f>VLOOKUP(G2389,'packing mapping'!A:B,2,0)</f>
        <v>20</v>
      </c>
      <c r="I2389" s="137">
        <v>4359200</v>
      </c>
      <c r="J2389" s="132">
        <f t="shared" si="74"/>
        <v>217960</v>
      </c>
    </row>
    <row r="2390" spans="1:10">
      <c r="A2390" s="115" t="s">
        <v>792</v>
      </c>
      <c r="B2390" s="115" t="s">
        <v>793</v>
      </c>
      <c r="C2390" s="115" t="s">
        <v>1718</v>
      </c>
      <c r="D2390" s="115" t="s">
        <v>1719</v>
      </c>
      <c r="E2390" s="133" t="str">
        <f t="shared" si="75"/>
        <v>1200000786PUL-51341 CLEAR 10 VN</v>
      </c>
      <c r="F2390" s="133" t="s">
        <v>3294</v>
      </c>
      <c r="G2390" s="133" t="s">
        <v>3882</v>
      </c>
      <c r="H2390" s="133">
        <f>VLOOKUP(G2390,'packing mapping'!A:B,2,0)</f>
        <v>18</v>
      </c>
      <c r="I2390" s="137">
        <v>2016720</v>
      </c>
      <c r="J2390" s="132">
        <f t="shared" si="74"/>
        <v>112040</v>
      </c>
    </row>
    <row r="2391" spans="1:10">
      <c r="A2391" s="115" t="s">
        <v>792</v>
      </c>
      <c r="B2391" s="115" t="s">
        <v>793</v>
      </c>
      <c r="C2391" s="115" t="s">
        <v>1396</v>
      </c>
      <c r="D2391" s="115" t="s">
        <v>1397</v>
      </c>
      <c r="E2391" s="133" t="str">
        <f t="shared" si="75"/>
        <v>1200000786PUL-53306 AC EX CLEAR 10 VN</v>
      </c>
      <c r="F2391" s="133" t="s">
        <v>3148</v>
      </c>
      <c r="G2391" s="133" t="s">
        <v>3879</v>
      </c>
      <c r="H2391" s="133">
        <f>VLOOKUP(G2391,'packing mapping'!A:B,2,0)</f>
        <v>20</v>
      </c>
      <c r="I2391" s="137">
        <v>3355800</v>
      </c>
      <c r="J2391" s="132">
        <f t="shared" si="74"/>
        <v>167790</v>
      </c>
    </row>
    <row r="2392" spans="1:10">
      <c r="A2392" s="115" t="s">
        <v>792</v>
      </c>
      <c r="B2392" s="115" t="s">
        <v>793</v>
      </c>
      <c r="C2392" s="115" t="s">
        <v>1216</v>
      </c>
      <c r="D2392" s="115" t="s">
        <v>1217</v>
      </c>
      <c r="E2392" s="133" t="str">
        <f t="shared" si="75"/>
        <v>1200000786PUL-53306 AC EX CLEAR 90 VN</v>
      </c>
      <c r="F2392" s="133" t="s">
        <v>3062</v>
      </c>
      <c r="G2392" s="133" t="s">
        <v>3879</v>
      </c>
      <c r="H2392" s="133">
        <f>VLOOKUP(G2392,'packing mapping'!A:B,2,0)</f>
        <v>20</v>
      </c>
      <c r="I2392" s="137">
        <v>2438200</v>
      </c>
      <c r="J2392" s="132">
        <f t="shared" si="74"/>
        <v>121910</v>
      </c>
    </row>
    <row r="2393" spans="1:10">
      <c r="A2393" s="115" t="s">
        <v>792</v>
      </c>
      <c r="B2393" s="115" t="s">
        <v>793</v>
      </c>
      <c r="C2393" s="115" t="s">
        <v>1478</v>
      </c>
      <c r="D2393" s="115" t="s">
        <v>1479</v>
      </c>
      <c r="E2393" s="133" t="str">
        <f t="shared" si="75"/>
        <v>1200000786PUSS-51241 VN</v>
      </c>
      <c r="F2393" s="133" t="s">
        <v>3185</v>
      </c>
      <c r="G2393" s="133" t="s">
        <v>3881</v>
      </c>
      <c r="H2393" s="133">
        <f>VLOOKUP(G2393,'packing mapping'!A:B,2,0)</f>
        <v>20</v>
      </c>
      <c r="I2393" s="137">
        <v>1741000</v>
      </c>
      <c r="J2393" s="132">
        <f t="shared" si="74"/>
        <v>87050</v>
      </c>
    </row>
    <row r="2394" spans="1:10">
      <c r="A2394" s="115" t="s">
        <v>792</v>
      </c>
      <c r="B2394" s="115" t="s">
        <v>793</v>
      </c>
      <c r="C2394" s="115" t="s">
        <v>1218</v>
      </c>
      <c r="D2394" s="115" t="s">
        <v>1219</v>
      </c>
      <c r="E2394" s="133" t="str">
        <f t="shared" si="75"/>
        <v>1200000786PUSS-53206 AC EX VN</v>
      </c>
      <c r="F2394" s="133" t="s">
        <v>3063</v>
      </c>
      <c r="G2394" s="133" t="s">
        <v>3881</v>
      </c>
      <c r="H2394" s="133">
        <f>VLOOKUP(G2394,'packing mapping'!A:B,2,0)</f>
        <v>20</v>
      </c>
      <c r="I2394" s="137">
        <v>2371000</v>
      </c>
      <c r="J2394" s="132">
        <f t="shared" si="74"/>
        <v>118550</v>
      </c>
    </row>
    <row r="2395" spans="1:10">
      <c r="A2395" s="115" t="s">
        <v>792</v>
      </c>
      <c r="B2395" s="115" t="s">
        <v>793</v>
      </c>
      <c r="C2395" s="115" t="s">
        <v>1220</v>
      </c>
      <c r="D2395" s="115" t="s">
        <v>1221</v>
      </c>
      <c r="E2395" s="133" t="str">
        <f t="shared" si="75"/>
        <v>1200000786SST-11100 C10 BLACK</v>
      </c>
      <c r="F2395" s="133" t="s">
        <v>3064</v>
      </c>
      <c r="G2395" s="133" t="s">
        <v>3883</v>
      </c>
      <c r="H2395" s="133">
        <f>VLOOKUP(G2395,'packing mapping'!A:B,2,0)</f>
        <v>4</v>
      </c>
      <c r="I2395" s="137">
        <v>1039000</v>
      </c>
      <c r="J2395" s="132">
        <f t="shared" si="74"/>
        <v>259750</v>
      </c>
    </row>
    <row r="2396" spans="1:10">
      <c r="A2396" s="115" t="s">
        <v>792</v>
      </c>
      <c r="B2396" s="115" t="s">
        <v>793</v>
      </c>
      <c r="C2396" s="115" t="s">
        <v>1222</v>
      </c>
      <c r="D2396" s="115" t="s">
        <v>1223</v>
      </c>
      <c r="E2396" s="133" t="str">
        <f t="shared" si="75"/>
        <v>1200000786SST-11100 C10 BLUE</v>
      </c>
      <c r="F2396" s="133" t="s">
        <v>3065</v>
      </c>
      <c r="G2396" s="133" t="s">
        <v>3883</v>
      </c>
      <c r="H2396" s="133">
        <f>VLOOKUP(G2396,'packing mapping'!A:B,2,0)</f>
        <v>4</v>
      </c>
      <c r="I2396" s="137">
        <v>2336200</v>
      </c>
      <c r="J2396" s="132">
        <f t="shared" si="74"/>
        <v>584050</v>
      </c>
    </row>
    <row r="2397" spans="1:10">
      <c r="A2397" s="115" t="s">
        <v>792</v>
      </c>
      <c r="B2397" s="115" t="s">
        <v>793</v>
      </c>
      <c r="C2397" s="115" t="s">
        <v>1402</v>
      </c>
      <c r="D2397" s="115" t="s">
        <v>1403</v>
      </c>
      <c r="E2397" s="133" t="str">
        <f t="shared" si="75"/>
        <v>1200000786THC-73100-007 VN</v>
      </c>
      <c r="F2397" s="133" t="s">
        <v>3150</v>
      </c>
      <c r="G2397" s="133" t="s">
        <v>3880</v>
      </c>
      <c r="H2397" s="133">
        <f>VLOOKUP(G2397,'packing mapping'!A:B,2,0)</f>
        <v>20</v>
      </c>
      <c r="I2397" s="137">
        <v>1430800</v>
      </c>
      <c r="J2397" s="132">
        <f t="shared" si="74"/>
        <v>71540</v>
      </c>
    </row>
    <row r="2398" spans="1:10">
      <c r="A2398" s="115" t="s">
        <v>792</v>
      </c>
      <c r="B2398" s="115" t="s">
        <v>793</v>
      </c>
      <c r="C2398" s="115" t="s">
        <v>1242</v>
      </c>
      <c r="D2398" s="115" t="s">
        <v>1243</v>
      </c>
      <c r="E2398" s="133" t="str">
        <f t="shared" si="75"/>
        <v>1200000786THPU-71306 ST VN</v>
      </c>
      <c r="F2398" s="133" t="s">
        <v>3039</v>
      </c>
      <c r="G2398" s="133" t="s">
        <v>3884</v>
      </c>
      <c r="H2398" s="133">
        <f>VLOOKUP(G2398,'packing mapping'!A:B,2,0)</f>
        <v>200</v>
      </c>
      <c r="I2398" s="137">
        <v>10680000</v>
      </c>
      <c r="J2398" s="132">
        <f t="shared" si="74"/>
        <v>53400</v>
      </c>
    </row>
    <row r="2399" spans="1:10">
      <c r="A2399" s="115" t="s">
        <v>792</v>
      </c>
      <c r="B2399" s="115" t="s">
        <v>793</v>
      </c>
      <c r="C2399" s="115" t="s">
        <v>1244</v>
      </c>
      <c r="D2399" s="115" t="s">
        <v>1245</v>
      </c>
      <c r="E2399" s="133" t="str">
        <f t="shared" si="75"/>
        <v>1200000786TOL-76114 W VN</v>
      </c>
      <c r="F2399" s="133" t="s">
        <v>3075</v>
      </c>
      <c r="G2399" s="133" t="s">
        <v>3880</v>
      </c>
      <c r="H2399" s="133">
        <f>VLOOKUP(G2399,'packing mapping'!A:B,2,0)</f>
        <v>20</v>
      </c>
      <c r="I2399" s="137">
        <v>1660600</v>
      </c>
      <c r="J2399" s="132">
        <f t="shared" si="74"/>
        <v>83030</v>
      </c>
    </row>
    <row r="2400" spans="1:10">
      <c r="A2400" s="115" t="s">
        <v>792</v>
      </c>
      <c r="B2400" s="115" t="s">
        <v>793</v>
      </c>
      <c r="C2400" s="115" t="s">
        <v>2938</v>
      </c>
      <c r="D2400" s="115" t="s">
        <v>2939</v>
      </c>
      <c r="E2400" s="133" t="str">
        <f t="shared" si="75"/>
        <v>1200000786EL-501 NATURAL DOF 0014 VN</v>
      </c>
      <c r="F2400" s="133" t="s">
        <v>3839</v>
      </c>
      <c r="G2400" s="133" t="s">
        <v>3888</v>
      </c>
      <c r="H2400" s="133">
        <f>VLOOKUP(G2400,'packing mapping'!A:B,2,0)</f>
        <v>4</v>
      </c>
      <c r="I2400" s="137">
        <v>892592</v>
      </c>
      <c r="J2400" s="132">
        <f t="shared" si="74"/>
        <v>223148</v>
      </c>
    </row>
    <row r="2401" spans="1:10">
      <c r="A2401" s="115" t="s">
        <v>792</v>
      </c>
      <c r="B2401" s="115" t="s">
        <v>793</v>
      </c>
      <c r="C2401" s="115" t="s">
        <v>2940</v>
      </c>
      <c r="D2401" s="115" t="s">
        <v>2941</v>
      </c>
      <c r="E2401" s="133" t="str">
        <f t="shared" si="75"/>
        <v>1200000786EL-501 LS CANDY BROWN 1002 VN</v>
      </c>
      <c r="F2401" s="133" t="s">
        <v>3840</v>
      </c>
      <c r="G2401" s="133" t="s">
        <v>3888</v>
      </c>
      <c r="H2401" s="133">
        <f>VLOOKUP(G2401,'packing mapping'!A:B,2,0)</f>
        <v>4</v>
      </c>
      <c r="I2401" s="137">
        <v>892592</v>
      </c>
      <c r="J2401" s="132">
        <f t="shared" si="74"/>
        <v>223148</v>
      </c>
    </row>
    <row r="2402" spans="1:10">
      <c r="A2402" s="115" t="s">
        <v>792</v>
      </c>
      <c r="B2402" s="115" t="s">
        <v>793</v>
      </c>
      <c r="C2402" s="115" t="s">
        <v>1248</v>
      </c>
      <c r="D2402" s="115" t="s">
        <v>1249</v>
      </c>
      <c r="E2402" s="133" t="str">
        <f t="shared" si="75"/>
        <v>1200000786MEPH-12003 PS VN</v>
      </c>
      <c r="F2402" s="133" t="s">
        <v>3077</v>
      </c>
      <c r="G2402" s="133" t="s">
        <v>3887</v>
      </c>
      <c r="H2402" s="133">
        <f>VLOOKUP(G2402,'packing mapping'!A:B,2,0)</f>
        <v>2</v>
      </c>
      <c r="I2402" s="137">
        <v>1479960</v>
      </c>
      <c r="J2402" s="132">
        <f t="shared" si="74"/>
        <v>739980</v>
      </c>
    </row>
    <row r="2403" spans="1:10">
      <c r="A2403" s="115" t="s">
        <v>792</v>
      </c>
      <c r="B2403" s="115" t="s">
        <v>793</v>
      </c>
      <c r="C2403" s="115" t="s">
        <v>1254</v>
      </c>
      <c r="D2403" s="115" t="s">
        <v>1255</v>
      </c>
      <c r="E2403" s="133" t="str">
        <f t="shared" si="75"/>
        <v>1200000786MEP-12003 BLACK VN</v>
      </c>
      <c r="F2403" s="133" t="s">
        <v>3080</v>
      </c>
      <c r="G2403" s="133" t="s">
        <v>3882</v>
      </c>
      <c r="H2403" s="133">
        <f>VLOOKUP(G2403,'packing mapping'!A:B,2,0)</f>
        <v>18</v>
      </c>
      <c r="I2403" s="137">
        <v>2661120</v>
      </c>
      <c r="J2403" s="132">
        <f t="shared" si="74"/>
        <v>147840</v>
      </c>
    </row>
    <row r="2404" spans="1:10">
      <c r="A2404" s="115" t="s">
        <v>792</v>
      </c>
      <c r="B2404" s="115" t="s">
        <v>793</v>
      </c>
      <c r="C2404" s="115" t="s">
        <v>1558</v>
      </c>
      <c r="D2404" s="115" t="s">
        <v>1559</v>
      </c>
      <c r="E2404" s="133" t="str">
        <f t="shared" si="75"/>
        <v>1200000786PUP-54111 AC WHITE VN</v>
      </c>
      <c r="F2404" s="133" t="s">
        <v>3218</v>
      </c>
      <c r="G2404" s="133" t="s">
        <v>3881</v>
      </c>
      <c r="H2404" s="133">
        <f>VLOOKUP(G2404,'packing mapping'!A:B,2,0)</f>
        <v>20</v>
      </c>
      <c r="I2404" s="137">
        <v>2602000</v>
      </c>
      <c r="J2404" s="132">
        <f t="shared" si="74"/>
        <v>130100</v>
      </c>
    </row>
    <row r="2405" spans="1:10">
      <c r="A2405" s="115" t="s">
        <v>792</v>
      </c>
      <c r="B2405" s="115" t="s">
        <v>793</v>
      </c>
      <c r="C2405" s="115" t="s">
        <v>1296</v>
      </c>
      <c r="D2405" s="115" t="s">
        <v>1297</v>
      </c>
      <c r="E2405" s="133" t="str">
        <f t="shared" si="75"/>
        <v>1200000786RD-74106 VN</v>
      </c>
      <c r="F2405" s="133" t="s">
        <v>3099</v>
      </c>
      <c r="G2405" s="133" t="s">
        <v>3880</v>
      </c>
      <c r="H2405" s="133">
        <f>VLOOKUP(G2405,'packing mapping'!A:B,2,0)</f>
        <v>20</v>
      </c>
      <c r="I2405" s="137">
        <v>1233600</v>
      </c>
      <c r="J2405" s="132">
        <f t="shared" si="74"/>
        <v>61680</v>
      </c>
    </row>
    <row r="2406" spans="1:10">
      <c r="A2406" s="115" t="s">
        <v>792</v>
      </c>
      <c r="B2406" s="115" t="s">
        <v>793</v>
      </c>
      <c r="C2406" s="115" t="s">
        <v>1300</v>
      </c>
      <c r="D2406" s="115" t="s">
        <v>1301</v>
      </c>
      <c r="E2406" s="133" t="str">
        <f t="shared" si="75"/>
        <v>1200000786GZPU-21500 BLACK VN</v>
      </c>
      <c r="F2406" s="133" t="s">
        <v>3101</v>
      </c>
      <c r="G2406" s="133" t="s">
        <v>3883</v>
      </c>
      <c r="H2406" s="133">
        <f>VLOOKUP(G2406,'packing mapping'!A:B,2,0)</f>
        <v>4</v>
      </c>
      <c r="I2406" s="137">
        <v>1223480</v>
      </c>
      <c r="J2406" s="132">
        <f t="shared" si="74"/>
        <v>305870</v>
      </c>
    </row>
    <row r="2407" spans="1:10">
      <c r="A2407" s="115" t="s">
        <v>792</v>
      </c>
      <c r="B2407" s="115" t="s">
        <v>793</v>
      </c>
      <c r="C2407" s="115" t="s">
        <v>1302</v>
      </c>
      <c r="D2407" s="115" t="s">
        <v>1303</v>
      </c>
      <c r="E2407" s="133" t="str">
        <f t="shared" si="75"/>
        <v>1200000786GZPU-21500 BROWN VN</v>
      </c>
      <c r="F2407" s="133" t="s">
        <v>3102</v>
      </c>
      <c r="G2407" s="133" t="s">
        <v>3883</v>
      </c>
      <c r="H2407" s="133">
        <f>VLOOKUP(G2407,'packing mapping'!A:B,2,0)</f>
        <v>4</v>
      </c>
      <c r="I2407" s="137">
        <v>1103760</v>
      </c>
      <c r="J2407" s="132">
        <f t="shared" si="74"/>
        <v>275940</v>
      </c>
    </row>
    <row r="2408" spans="1:10">
      <c r="A2408" s="115" t="s">
        <v>792</v>
      </c>
      <c r="B2408" s="115" t="s">
        <v>793</v>
      </c>
      <c r="C2408" s="115" t="s">
        <v>1314</v>
      </c>
      <c r="D2408" s="115" t="s">
        <v>1315</v>
      </c>
      <c r="E2408" s="133" t="str">
        <f t="shared" si="75"/>
        <v>1200000786PCL-31300 RED 31701 PASTE</v>
      </c>
      <c r="F2408" s="133" t="s">
        <v>3108</v>
      </c>
      <c r="G2408" s="133" t="s">
        <v>3883</v>
      </c>
      <c r="H2408" s="133">
        <f>VLOOKUP(G2408,'packing mapping'!A:B,2,0)</f>
        <v>4</v>
      </c>
      <c r="I2408" s="137">
        <v>2597720</v>
      </c>
      <c r="J2408" s="132">
        <f t="shared" si="74"/>
        <v>649430</v>
      </c>
    </row>
    <row r="2409" spans="1:10">
      <c r="A2409" s="115" t="s">
        <v>792</v>
      </c>
      <c r="B2409" s="115" t="s">
        <v>793</v>
      </c>
      <c r="C2409" s="115" t="s">
        <v>1318</v>
      </c>
      <c r="D2409" s="115" t="s">
        <v>1319</v>
      </c>
      <c r="E2409" s="133" t="str">
        <f t="shared" si="75"/>
        <v>1200000786GZPU-21500 WHITE VN</v>
      </c>
      <c r="F2409" s="133" t="s">
        <v>3110</v>
      </c>
      <c r="G2409" s="133" t="s">
        <v>3883</v>
      </c>
      <c r="H2409" s="133">
        <f>VLOOKUP(G2409,'packing mapping'!A:B,2,0)</f>
        <v>4</v>
      </c>
      <c r="I2409" s="137">
        <v>876960</v>
      </c>
      <c r="J2409" s="132">
        <f t="shared" si="74"/>
        <v>219240</v>
      </c>
    </row>
    <row r="2410" spans="1:10">
      <c r="A2410" s="115" t="s">
        <v>792</v>
      </c>
      <c r="B2410" s="115" t="s">
        <v>793</v>
      </c>
      <c r="C2410" s="115" t="s">
        <v>1496</v>
      </c>
      <c r="D2410" s="115" t="s">
        <v>1497</v>
      </c>
      <c r="E2410" s="133" t="str">
        <f t="shared" si="75"/>
        <v>1200000786PUH-56141 VN</v>
      </c>
      <c r="F2410" s="133" t="s">
        <v>3189</v>
      </c>
      <c r="G2410" s="133" t="s">
        <v>3881</v>
      </c>
      <c r="H2410" s="133">
        <f>VLOOKUP(G2410,'packing mapping'!A:B,2,0)</f>
        <v>20</v>
      </c>
      <c r="I2410" s="137">
        <v>2406400</v>
      </c>
      <c r="J2410" s="132">
        <f t="shared" si="74"/>
        <v>120320</v>
      </c>
    </row>
    <row r="2411" spans="1:10">
      <c r="A2411" s="115" t="s">
        <v>792</v>
      </c>
      <c r="B2411" s="115" t="s">
        <v>793</v>
      </c>
      <c r="C2411" s="115" t="s">
        <v>2942</v>
      </c>
      <c r="D2411" s="115" t="s">
        <v>2943</v>
      </c>
      <c r="E2411" s="133" t="str">
        <f t="shared" si="75"/>
        <v>1200000786PCL-31300 BROWN TP35 T5 VN</v>
      </c>
      <c r="F2411" s="133" t="s">
        <v>3841</v>
      </c>
      <c r="G2411" s="133" t="s">
        <v>3895</v>
      </c>
      <c r="H2411" s="133">
        <f>VLOOKUP(G2411,'packing mapping'!A:B,2,0)</f>
        <v>16</v>
      </c>
      <c r="I2411" s="137">
        <v>6292800</v>
      </c>
      <c r="J2411" s="132">
        <f t="shared" si="74"/>
        <v>393300</v>
      </c>
    </row>
    <row r="2412" spans="1:10">
      <c r="A2412" s="115" t="s">
        <v>1053</v>
      </c>
      <c r="B2412" s="115" t="s">
        <v>1054</v>
      </c>
      <c r="C2412" s="115" t="s">
        <v>1210</v>
      </c>
      <c r="D2412" s="115" t="s">
        <v>1211</v>
      </c>
      <c r="E2412" s="133" t="str">
        <f t="shared" si="75"/>
        <v>1200001094PUH-56306 LY VN</v>
      </c>
      <c r="F2412" s="133" t="s">
        <v>3059</v>
      </c>
      <c r="G2412" s="133" t="s">
        <v>3879</v>
      </c>
      <c r="H2412" s="133">
        <f>VLOOKUP(G2412,'packing mapping'!A:B,2,0)</f>
        <v>20</v>
      </c>
      <c r="I2412" s="137">
        <v>4240800</v>
      </c>
      <c r="J2412" s="132">
        <f t="shared" si="74"/>
        <v>212040</v>
      </c>
    </row>
    <row r="2413" spans="1:10">
      <c r="A2413" s="115" t="s">
        <v>1053</v>
      </c>
      <c r="B2413" s="115" t="s">
        <v>1054</v>
      </c>
      <c r="C2413" s="115" t="s">
        <v>1172</v>
      </c>
      <c r="D2413" s="115" t="s">
        <v>1173</v>
      </c>
      <c r="E2413" s="133" t="str">
        <f t="shared" si="75"/>
        <v>1200001094PUH-56135 S VN</v>
      </c>
      <c r="F2413" s="133" t="s">
        <v>3040</v>
      </c>
      <c r="G2413" s="133" t="s">
        <v>3881</v>
      </c>
      <c r="H2413" s="133">
        <f>VLOOKUP(G2413,'packing mapping'!A:B,2,0)</f>
        <v>20</v>
      </c>
      <c r="I2413" s="137">
        <v>2640800</v>
      </c>
      <c r="J2413" s="132">
        <f t="shared" si="74"/>
        <v>132040</v>
      </c>
    </row>
    <row r="2414" spans="1:10">
      <c r="A2414" s="115" t="s">
        <v>1053</v>
      </c>
      <c r="B2414" s="115" t="s">
        <v>1054</v>
      </c>
      <c r="C2414" s="115" t="s">
        <v>1174</v>
      </c>
      <c r="D2414" s="115" t="s">
        <v>1175</v>
      </c>
      <c r="E2414" s="133" t="str">
        <f t="shared" si="75"/>
        <v>1200001094PUH-56139 VN</v>
      </c>
      <c r="F2414" s="133" t="s">
        <v>3041</v>
      </c>
      <c r="G2414" s="133" t="s">
        <v>3881</v>
      </c>
      <c r="H2414" s="133">
        <f>VLOOKUP(G2414,'packing mapping'!A:B,2,0)</f>
        <v>20</v>
      </c>
      <c r="I2414" s="137">
        <v>2685400</v>
      </c>
      <c r="J2414" s="132">
        <f t="shared" si="74"/>
        <v>134270</v>
      </c>
    </row>
    <row r="2415" spans="1:10">
      <c r="A2415" s="115" t="s">
        <v>982</v>
      </c>
      <c r="B2415" s="115" t="s">
        <v>983</v>
      </c>
      <c r="C2415" s="115" t="s">
        <v>1188</v>
      </c>
      <c r="D2415" s="115" t="s">
        <v>1189</v>
      </c>
      <c r="E2415" s="133" t="str">
        <f t="shared" si="75"/>
        <v>1200001027PCA-31100 BLACK PASTE VN</v>
      </c>
      <c r="F2415" s="133" t="s">
        <v>3048</v>
      </c>
      <c r="G2415" s="133" t="s">
        <v>3883</v>
      </c>
      <c r="H2415" s="133">
        <f>VLOOKUP(G2415,'packing mapping'!A:B,2,0)</f>
        <v>4</v>
      </c>
      <c r="I2415" s="137">
        <v>1472520</v>
      </c>
      <c r="J2415" s="132">
        <f t="shared" si="74"/>
        <v>368130</v>
      </c>
    </row>
    <row r="2416" spans="1:10">
      <c r="A2416" s="115" t="s">
        <v>982</v>
      </c>
      <c r="B2416" s="115" t="s">
        <v>983</v>
      </c>
      <c r="C2416" s="115" t="s">
        <v>1726</v>
      </c>
      <c r="D2416" s="115" t="s">
        <v>1727</v>
      </c>
      <c r="E2416" s="133" t="str">
        <f t="shared" si="75"/>
        <v>1200001027PCA-31100 BROWN 645 PASTE VN</v>
      </c>
      <c r="F2416" s="133" t="s">
        <v>3298</v>
      </c>
      <c r="G2416" s="133" t="s">
        <v>3883</v>
      </c>
      <c r="H2416" s="133">
        <f>VLOOKUP(G2416,'packing mapping'!A:B,2,0)</f>
        <v>4</v>
      </c>
      <c r="I2416" s="137">
        <v>1342880</v>
      </c>
      <c r="J2416" s="132">
        <f t="shared" si="74"/>
        <v>335720</v>
      </c>
    </row>
    <row r="2417" spans="1:10">
      <c r="A2417" s="115" t="s">
        <v>982</v>
      </c>
      <c r="B2417" s="115" t="s">
        <v>983</v>
      </c>
      <c r="C2417" s="115" t="s">
        <v>1220</v>
      </c>
      <c r="D2417" s="115" t="s">
        <v>1221</v>
      </c>
      <c r="E2417" s="133" t="str">
        <f t="shared" si="75"/>
        <v>1200001027SST-11100 C10 BLACK</v>
      </c>
      <c r="F2417" s="133" t="s">
        <v>3064</v>
      </c>
      <c r="G2417" s="133" t="s">
        <v>3883</v>
      </c>
      <c r="H2417" s="133">
        <f>VLOOKUP(G2417,'packing mapping'!A:B,2,0)</f>
        <v>4</v>
      </c>
      <c r="I2417" s="137">
        <v>973720</v>
      </c>
      <c r="J2417" s="132">
        <f t="shared" si="74"/>
        <v>243430</v>
      </c>
    </row>
    <row r="2418" spans="1:10">
      <c r="A2418" s="115" t="s">
        <v>982</v>
      </c>
      <c r="B2418" s="115" t="s">
        <v>983</v>
      </c>
      <c r="C2418" s="115" t="s">
        <v>1222</v>
      </c>
      <c r="D2418" s="115" t="s">
        <v>1223</v>
      </c>
      <c r="E2418" s="133" t="str">
        <f t="shared" si="75"/>
        <v>1200001027SST-11100 C10 BLUE</v>
      </c>
      <c r="F2418" s="133" t="s">
        <v>3065</v>
      </c>
      <c r="G2418" s="133" t="s">
        <v>3883</v>
      </c>
      <c r="H2418" s="133">
        <f>VLOOKUP(G2418,'packing mapping'!A:B,2,0)</f>
        <v>4</v>
      </c>
      <c r="I2418" s="137">
        <v>1986720</v>
      </c>
      <c r="J2418" s="132">
        <f t="shared" si="74"/>
        <v>496680</v>
      </c>
    </row>
    <row r="2419" spans="1:10">
      <c r="A2419" s="115" t="s">
        <v>982</v>
      </c>
      <c r="B2419" s="115" t="s">
        <v>983</v>
      </c>
      <c r="C2419" s="115" t="s">
        <v>1226</v>
      </c>
      <c r="D2419" s="115" t="s">
        <v>1227</v>
      </c>
      <c r="E2419" s="133" t="str">
        <f t="shared" si="75"/>
        <v>1200001027SST-11100 C10 RED</v>
      </c>
      <c r="F2419" s="133" t="s">
        <v>3067</v>
      </c>
      <c r="G2419" s="133" t="s">
        <v>3883</v>
      </c>
      <c r="H2419" s="133">
        <f>VLOOKUP(G2419,'packing mapping'!A:B,2,0)</f>
        <v>4</v>
      </c>
      <c r="I2419" s="137">
        <v>1162480</v>
      </c>
      <c r="J2419" s="132">
        <f t="shared" si="74"/>
        <v>290620</v>
      </c>
    </row>
    <row r="2420" spans="1:10">
      <c r="A2420" s="115" t="s">
        <v>982</v>
      </c>
      <c r="B2420" s="115" t="s">
        <v>983</v>
      </c>
      <c r="C2420" s="115" t="s">
        <v>1228</v>
      </c>
      <c r="D2420" s="115" t="s">
        <v>1229</v>
      </c>
      <c r="E2420" s="133" t="str">
        <f t="shared" si="75"/>
        <v>1200001027SST-11100 C10 YELLOW</v>
      </c>
      <c r="F2420" s="133" t="s">
        <v>3068</v>
      </c>
      <c r="G2420" s="133" t="s">
        <v>3883</v>
      </c>
      <c r="H2420" s="133">
        <f>VLOOKUP(G2420,'packing mapping'!A:B,2,0)</f>
        <v>4</v>
      </c>
      <c r="I2420" s="137">
        <v>864360</v>
      </c>
      <c r="J2420" s="132">
        <f t="shared" si="74"/>
        <v>216090</v>
      </c>
    </row>
    <row r="2421" spans="1:10">
      <c r="A2421" s="115" t="s">
        <v>982</v>
      </c>
      <c r="B2421" s="115" t="s">
        <v>983</v>
      </c>
      <c r="C2421" s="115" t="s">
        <v>1240</v>
      </c>
      <c r="D2421" s="115" t="s">
        <v>1241</v>
      </c>
      <c r="E2421" s="133" t="str">
        <f t="shared" si="75"/>
        <v>1200001027THNC-71100 SD VN</v>
      </c>
      <c r="F2421" s="133" t="s">
        <v>3074</v>
      </c>
      <c r="G2421" s="133" t="s">
        <v>3884</v>
      </c>
      <c r="H2421" s="133">
        <f>VLOOKUP(G2421,'packing mapping'!A:B,2,0)</f>
        <v>200</v>
      </c>
      <c r="I2421" s="137">
        <v>11426000</v>
      </c>
      <c r="J2421" s="132">
        <f t="shared" si="74"/>
        <v>57130</v>
      </c>
    </row>
    <row r="2422" spans="1:10">
      <c r="A2422" s="115" t="s">
        <v>982</v>
      </c>
      <c r="B2422" s="115" t="s">
        <v>983</v>
      </c>
      <c r="C2422" s="115" t="s">
        <v>1482</v>
      </c>
      <c r="D2422" s="115" t="s">
        <v>1483</v>
      </c>
      <c r="E2422" s="133" t="str">
        <f t="shared" si="75"/>
        <v>1200001027THNC-71100 SD VN</v>
      </c>
      <c r="F2422" s="133" t="s">
        <v>3074</v>
      </c>
      <c r="G2422" s="133" t="s">
        <v>3880</v>
      </c>
      <c r="H2422" s="133">
        <f>VLOOKUP(G2422,'packing mapping'!A:B,2,0)</f>
        <v>20</v>
      </c>
      <c r="I2422" s="137">
        <v>1192400</v>
      </c>
      <c r="J2422" s="132">
        <f t="shared" si="74"/>
        <v>59620</v>
      </c>
    </row>
    <row r="2423" spans="1:10">
      <c r="A2423" s="115" t="s">
        <v>982</v>
      </c>
      <c r="B2423" s="115" t="s">
        <v>983</v>
      </c>
      <c r="C2423" s="115" t="s">
        <v>1244</v>
      </c>
      <c r="D2423" s="115" t="s">
        <v>1245</v>
      </c>
      <c r="E2423" s="133" t="str">
        <f t="shared" si="75"/>
        <v>1200001027TOL-76114 W VN</v>
      </c>
      <c r="F2423" s="133" t="s">
        <v>3075</v>
      </c>
      <c r="G2423" s="133" t="s">
        <v>3880</v>
      </c>
      <c r="H2423" s="133">
        <f>VLOOKUP(G2423,'packing mapping'!A:B,2,0)</f>
        <v>20</v>
      </c>
      <c r="I2423" s="137">
        <v>1916800</v>
      </c>
      <c r="J2423" s="132">
        <f t="shared" si="74"/>
        <v>95840</v>
      </c>
    </row>
    <row r="2424" spans="1:10">
      <c r="A2424" s="115" t="s">
        <v>982</v>
      </c>
      <c r="B2424" s="115" t="s">
        <v>983</v>
      </c>
      <c r="C2424" s="115" t="s">
        <v>1260</v>
      </c>
      <c r="D2424" s="115" t="s">
        <v>1261</v>
      </c>
      <c r="E2424" s="133" t="str">
        <f t="shared" si="75"/>
        <v>1200001027NCL-11329 LC CLEAR 05 VN</v>
      </c>
      <c r="F2424" s="133" t="s">
        <v>3083</v>
      </c>
      <c r="G2424" s="133" t="s">
        <v>3879</v>
      </c>
      <c r="H2424" s="133">
        <f>VLOOKUP(G2424,'packing mapping'!A:B,2,0)</f>
        <v>20</v>
      </c>
      <c r="I2424" s="137">
        <v>2319600</v>
      </c>
      <c r="J2424" s="132">
        <f t="shared" si="74"/>
        <v>115980</v>
      </c>
    </row>
    <row r="2425" spans="1:10">
      <c r="A2425" s="115" t="s">
        <v>982</v>
      </c>
      <c r="B2425" s="115" t="s">
        <v>983</v>
      </c>
      <c r="C2425" s="115" t="s">
        <v>1264</v>
      </c>
      <c r="D2425" s="115" t="s">
        <v>1265</v>
      </c>
      <c r="E2425" s="133" t="str">
        <f t="shared" si="75"/>
        <v>1200001027NCL-11329 LC CLEAR 20 VN</v>
      </c>
      <c r="F2425" s="133" t="s">
        <v>3085</v>
      </c>
      <c r="G2425" s="133" t="s">
        <v>3879</v>
      </c>
      <c r="H2425" s="133">
        <f>VLOOKUP(G2425,'packing mapping'!A:B,2,0)</f>
        <v>20</v>
      </c>
      <c r="I2425" s="137">
        <v>2079400</v>
      </c>
      <c r="J2425" s="132">
        <f t="shared" si="74"/>
        <v>103970</v>
      </c>
    </row>
    <row r="2426" spans="1:10">
      <c r="A2426" s="115" t="s">
        <v>982</v>
      </c>
      <c r="B2426" s="115" t="s">
        <v>983</v>
      </c>
      <c r="C2426" s="115" t="s">
        <v>1272</v>
      </c>
      <c r="D2426" s="115" t="s">
        <v>1273</v>
      </c>
      <c r="E2426" s="133" t="str">
        <f t="shared" si="75"/>
        <v>1200001027NCSS-11229 LC VN</v>
      </c>
      <c r="F2426" s="133" t="s">
        <v>3089</v>
      </c>
      <c r="G2426" s="133" t="s">
        <v>3879</v>
      </c>
      <c r="H2426" s="133">
        <f>VLOOKUP(G2426,'packing mapping'!A:B,2,0)</f>
        <v>20</v>
      </c>
      <c r="I2426" s="137">
        <v>2028600</v>
      </c>
      <c r="J2426" s="132">
        <f t="shared" si="74"/>
        <v>101430</v>
      </c>
    </row>
    <row r="2427" spans="1:10">
      <c r="A2427" s="115" t="s">
        <v>982</v>
      </c>
      <c r="B2427" s="115" t="s">
        <v>983</v>
      </c>
      <c r="C2427" s="115" t="s">
        <v>1330</v>
      </c>
      <c r="D2427" s="115" t="s">
        <v>1331</v>
      </c>
      <c r="E2427" s="133" t="str">
        <f t="shared" si="75"/>
        <v>1200001027SST-11100 BROWN AA VN</v>
      </c>
      <c r="F2427" s="133" t="s">
        <v>3116</v>
      </c>
      <c r="G2427" s="133" t="s">
        <v>3883</v>
      </c>
      <c r="H2427" s="133">
        <f>VLOOKUP(G2427,'packing mapping'!A:B,2,0)</f>
        <v>4</v>
      </c>
      <c r="I2427" s="137">
        <v>575080</v>
      </c>
      <c r="J2427" s="132">
        <f t="shared" si="74"/>
        <v>143770</v>
      </c>
    </row>
    <row r="2428" spans="1:10">
      <c r="A2428" s="115" t="s">
        <v>1103</v>
      </c>
      <c r="B2428" s="115" t="s">
        <v>1104</v>
      </c>
      <c r="C2428" s="115" t="s">
        <v>1192</v>
      </c>
      <c r="D2428" s="115" t="s">
        <v>1193</v>
      </c>
      <c r="E2428" s="133" t="str">
        <f t="shared" si="75"/>
        <v>1200001148PCL-31300 BLACK PASTE</v>
      </c>
      <c r="F2428" s="133" t="s">
        <v>3050</v>
      </c>
      <c r="G2428" s="133" t="s">
        <v>3883</v>
      </c>
      <c r="H2428" s="133">
        <f>VLOOKUP(G2428,'packing mapping'!A:B,2,0)</f>
        <v>4</v>
      </c>
      <c r="I2428" s="137">
        <v>2077760</v>
      </c>
      <c r="J2428" s="132">
        <f t="shared" si="74"/>
        <v>519440</v>
      </c>
    </row>
    <row r="2429" spans="1:10">
      <c r="A2429" s="115" t="s">
        <v>1103</v>
      </c>
      <c r="B2429" s="115" t="s">
        <v>1104</v>
      </c>
      <c r="C2429" s="115" t="s">
        <v>1200</v>
      </c>
      <c r="D2429" s="115" t="s">
        <v>1201</v>
      </c>
      <c r="E2429" s="133" t="str">
        <f t="shared" si="75"/>
        <v>1200001148PCL-31300 RED OB 35 PASTE</v>
      </c>
      <c r="F2429" s="133" t="s">
        <v>3054</v>
      </c>
      <c r="G2429" s="133" t="s">
        <v>3883</v>
      </c>
      <c r="H2429" s="133">
        <f>VLOOKUP(G2429,'packing mapping'!A:B,2,0)</f>
        <v>4</v>
      </c>
      <c r="I2429" s="137">
        <v>1562000</v>
      </c>
      <c r="J2429" s="132">
        <f t="shared" si="74"/>
        <v>390500</v>
      </c>
    </row>
    <row r="2430" spans="1:10">
      <c r="A2430" s="115" t="s">
        <v>1103</v>
      </c>
      <c r="B2430" s="115" t="s">
        <v>1104</v>
      </c>
      <c r="C2430" s="115" t="s">
        <v>1202</v>
      </c>
      <c r="D2430" s="115" t="s">
        <v>1203</v>
      </c>
      <c r="E2430" s="133" t="str">
        <f t="shared" si="75"/>
        <v>1200001148PCL-31300 WHITE PASTE</v>
      </c>
      <c r="F2430" s="133" t="s">
        <v>3055</v>
      </c>
      <c r="G2430" s="133" t="s">
        <v>3883</v>
      </c>
      <c r="H2430" s="133">
        <f>VLOOKUP(G2430,'packing mapping'!A:B,2,0)</f>
        <v>4</v>
      </c>
      <c r="I2430" s="137">
        <v>978600</v>
      </c>
      <c r="J2430" s="132">
        <f t="shared" si="74"/>
        <v>244650</v>
      </c>
    </row>
    <row r="2431" spans="1:10">
      <c r="A2431" s="115" t="s">
        <v>1103</v>
      </c>
      <c r="B2431" s="115" t="s">
        <v>1104</v>
      </c>
      <c r="C2431" s="115" t="s">
        <v>1204</v>
      </c>
      <c r="D2431" s="115" t="s">
        <v>1205</v>
      </c>
      <c r="E2431" s="133" t="str">
        <f t="shared" si="75"/>
        <v>1200001148PCL-31300 YELLOW OG 16 PASTE</v>
      </c>
      <c r="F2431" s="133" t="s">
        <v>3056</v>
      </c>
      <c r="G2431" s="133" t="s">
        <v>3883</v>
      </c>
      <c r="H2431" s="133">
        <f>VLOOKUP(G2431,'packing mapping'!A:B,2,0)</f>
        <v>4</v>
      </c>
      <c r="I2431" s="137">
        <v>3563280</v>
      </c>
      <c r="J2431" s="132">
        <f t="shared" si="74"/>
        <v>890820</v>
      </c>
    </row>
    <row r="2432" spans="1:10">
      <c r="A2432" s="115" t="s">
        <v>1103</v>
      </c>
      <c r="B2432" s="115" t="s">
        <v>1104</v>
      </c>
      <c r="C2432" s="115" t="s">
        <v>1714</v>
      </c>
      <c r="D2432" s="115" t="s">
        <v>1715</v>
      </c>
      <c r="E2432" s="133" t="str">
        <f t="shared" si="75"/>
        <v>1200001148PUC-54205 AC WHITE 08 AA VN</v>
      </c>
      <c r="F2432" s="133" t="s">
        <v>3293</v>
      </c>
      <c r="G2432" s="133" t="s">
        <v>3881</v>
      </c>
      <c r="H2432" s="133">
        <f>VLOOKUP(G2432,'packing mapping'!A:B,2,0)</f>
        <v>20</v>
      </c>
      <c r="I2432" s="137">
        <v>3832600</v>
      </c>
      <c r="J2432" s="132">
        <f t="shared" si="74"/>
        <v>191630</v>
      </c>
    </row>
    <row r="2433" spans="1:10">
      <c r="A2433" s="115" t="s">
        <v>1103</v>
      </c>
      <c r="B2433" s="115" t="s">
        <v>1104</v>
      </c>
      <c r="C2433" s="115" t="s">
        <v>1388</v>
      </c>
      <c r="D2433" s="115" t="s">
        <v>1389</v>
      </c>
      <c r="E2433" s="133" t="str">
        <f t="shared" si="75"/>
        <v>1200001148PUC-54205 AC WHITE 10 VN</v>
      </c>
      <c r="F2433" s="133" t="s">
        <v>3144</v>
      </c>
      <c r="G2433" s="133" t="s">
        <v>3881</v>
      </c>
      <c r="H2433" s="133">
        <f>VLOOKUP(G2433,'packing mapping'!A:B,2,0)</f>
        <v>20</v>
      </c>
      <c r="I2433" s="137">
        <v>3773800</v>
      </c>
      <c r="J2433" s="132">
        <f t="shared" si="74"/>
        <v>188690</v>
      </c>
    </row>
    <row r="2434" spans="1:10">
      <c r="A2434" s="115" t="s">
        <v>1103</v>
      </c>
      <c r="B2434" s="115" t="s">
        <v>1104</v>
      </c>
      <c r="C2434" s="115" t="s">
        <v>1210</v>
      </c>
      <c r="D2434" s="115" t="s">
        <v>1211</v>
      </c>
      <c r="E2434" s="133" t="str">
        <f t="shared" si="75"/>
        <v>1200001148PUH-56306 LY VN</v>
      </c>
      <c r="F2434" s="133" t="s">
        <v>3059</v>
      </c>
      <c r="G2434" s="133" t="s">
        <v>3879</v>
      </c>
      <c r="H2434" s="133">
        <f>VLOOKUP(G2434,'packing mapping'!A:B,2,0)</f>
        <v>20</v>
      </c>
      <c r="I2434" s="137">
        <v>4372200</v>
      </c>
      <c r="J2434" s="132">
        <f t="shared" ref="J2434:J2497" si="76">I2434/H2434</f>
        <v>218610</v>
      </c>
    </row>
    <row r="2435" spans="1:10">
      <c r="A2435" s="115" t="s">
        <v>1103</v>
      </c>
      <c r="B2435" s="115" t="s">
        <v>1104</v>
      </c>
      <c r="C2435" s="115" t="s">
        <v>1718</v>
      </c>
      <c r="D2435" s="115" t="s">
        <v>1719</v>
      </c>
      <c r="E2435" s="133" t="str">
        <f t="shared" ref="E2435:E2498" si="77">A2435&amp;F2435</f>
        <v>1200001148PUL-51341 CLEAR 10 VN</v>
      </c>
      <c r="F2435" s="133" t="s">
        <v>3294</v>
      </c>
      <c r="G2435" s="133" t="s">
        <v>3882</v>
      </c>
      <c r="H2435" s="133">
        <f>VLOOKUP(G2435,'packing mapping'!A:B,2,0)</f>
        <v>18</v>
      </c>
      <c r="I2435" s="137">
        <v>2266200</v>
      </c>
      <c r="J2435" s="132">
        <f t="shared" si="76"/>
        <v>125900</v>
      </c>
    </row>
    <row r="2436" spans="1:10">
      <c r="A2436" s="115" t="s">
        <v>1103</v>
      </c>
      <c r="B2436" s="115" t="s">
        <v>1104</v>
      </c>
      <c r="C2436" s="115" t="s">
        <v>1542</v>
      </c>
      <c r="D2436" s="115" t="s">
        <v>1543</v>
      </c>
      <c r="E2436" s="133" t="str">
        <f t="shared" si="77"/>
        <v>1200001148PUL-53306 AC EX CLEAR 05 VN</v>
      </c>
      <c r="F2436" s="133" t="s">
        <v>3211</v>
      </c>
      <c r="G2436" s="133" t="s">
        <v>3879</v>
      </c>
      <c r="H2436" s="133">
        <f>VLOOKUP(G2436,'packing mapping'!A:B,2,0)</f>
        <v>20</v>
      </c>
      <c r="I2436" s="137">
        <v>4103400</v>
      </c>
      <c r="J2436" s="132">
        <f t="shared" si="76"/>
        <v>205170</v>
      </c>
    </row>
    <row r="2437" spans="1:10">
      <c r="A2437" s="115" t="s">
        <v>1103</v>
      </c>
      <c r="B2437" s="115" t="s">
        <v>1104</v>
      </c>
      <c r="C2437" s="115" t="s">
        <v>1396</v>
      </c>
      <c r="D2437" s="115" t="s">
        <v>1397</v>
      </c>
      <c r="E2437" s="133" t="str">
        <f t="shared" si="77"/>
        <v>1200001148PUL-53306 AC EX CLEAR 10 VN</v>
      </c>
      <c r="F2437" s="133" t="s">
        <v>3148</v>
      </c>
      <c r="G2437" s="133" t="s">
        <v>3879</v>
      </c>
      <c r="H2437" s="133">
        <f>VLOOKUP(G2437,'packing mapping'!A:B,2,0)</f>
        <v>20</v>
      </c>
      <c r="I2437" s="137">
        <v>3601600</v>
      </c>
      <c r="J2437" s="132">
        <f t="shared" si="76"/>
        <v>180080</v>
      </c>
    </row>
    <row r="2438" spans="1:10">
      <c r="A2438" s="115" t="s">
        <v>1103</v>
      </c>
      <c r="B2438" s="115" t="s">
        <v>1104</v>
      </c>
      <c r="C2438" s="115" t="s">
        <v>1216</v>
      </c>
      <c r="D2438" s="115" t="s">
        <v>1217</v>
      </c>
      <c r="E2438" s="133" t="str">
        <f t="shared" si="77"/>
        <v>1200001148PUL-53306 AC EX CLEAR 90 VN</v>
      </c>
      <c r="F2438" s="133" t="s">
        <v>3062</v>
      </c>
      <c r="G2438" s="133" t="s">
        <v>3879</v>
      </c>
      <c r="H2438" s="133">
        <f>VLOOKUP(G2438,'packing mapping'!A:B,2,0)</f>
        <v>20</v>
      </c>
      <c r="I2438" s="137">
        <v>3691800</v>
      </c>
      <c r="J2438" s="132">
        <f t="shared" si="76"/>
        <v>184590</v>
      </c>
    </row>
    <row r="2439" spans="1:10">
      <c r="A2439" s="115" t="s">
        <v>1103</v>
      </c>
      <c r="B2439" s="115" t="s">
        <v>1104</v>
      </c>
      <c r="C2439" s="115" t="s">
        <v>1476</v>
      </c>
      <c r="D2439" s="115" t="s">
        <v>1477</v>
      </c>
      <c r="E2439" s="133" t="str">
        <f t="shared" si="77"/>
        <v>1200001148PUP-52141 WHITE 01 VN</v>
      </c>
      <c r="F2439" s="133" t="s">
        <v>3184</v>
      </c>
      <c r="G2439" s="133" t="s">
        <v>3881</v>
      </c>
      <c r="H2439" s="133">
        <f>VLOOKUP(G2439,'packing mapping'!A:B,2,0)</f>
        <v>20</v>
      </c>
      <c r="I2439" s="137">
        <v>2230200</v>
      </c>
      <c r="J2439" s="132">
        <f t="shared" si="76"/>
        <v>111510</v>
      </c>
    </row>
    <row r="2440" spans="1:10">
      <c r="A2440" s="115" t="s">
        <v>1103</v>
      </c>
      <c r="B2440" s="115" t="s">
        <v>1104</v>
      </c>
      <c r="C2440" s="115" t="s">
        <v>1478</v>
      </c>
      <c r="D2440" s="115" t="s">
        <v>1479</v>
      </c>
      <c r="E2440" s="133" t="str">
        <f t="shared" si="77"/>
        <v>1200001148PUSS-51241 VN</v>
      </c>
      <c r="F2440" s="133" t="s">
        <v>3185</v>
      </c>
      <c r="G2440" s="133" t="s">
        <v>3881</v>
      </c>
      <c r="H2440" s="133">
        <f>VLOOKUP(G2440,'packing mapping'!A:B,2,0)</f>
        <v>20</v>
      </c>
      <c r="I2440" s="137">
        <v>1768200</v>
      </c>
      <c r="J2440" s="132">
        <f t="shared" si="76"/>
        <v>88410</v>
      </c>
    </row>
    <row r="2441" spans="1:10">
      <c r="A2441" s="115" t="s">
        <v>1103</v>
      </c>
      <c r="B2441" s="115" t="s">
        <v>1104</v>
      </c>
      <c r="C2441" s="115" t="s">
        <v>1242</v>
      </c>
      <c r="D2441" s="115" t="s">
        <v>1243</v>
      </c>
      <c r="E2441" s="133" t="str">
        <f t="shared" si="77"/>
        <v>1200001148THPU-71306 ST VN</v>
      </c>
      <c r="F2441" s="133" t="s">
        <v>3039</v>
      </c>
      <c r="G2441" s="133" t="s">
        <v>3884</v>
      </c>
      <c r="H2441" s="133">
        <f>VLOOKUP(G2441,'packing mapping'!A:B,2,0)</f>
        <v>200</v>
      </c>
      <c r="I2441" s="137">
        <v>11712000</v>
      </c>
      <c r="J2441" s="132">
        <f t="shared" si="76"/>
        <v>58560</v>
      </c>
    </row>
    <row r="2442" spans="1:10">
      <c r="A2442" s="115" t="s">
        <v>1103</v>
      </c>
      <c r="B2442" s="115" t="s">
        <v>1104</v>
      </c>
      <c r="C2442" s="115" t="s">
        <v>1170</v>
      </c>
      <c r="D2442" s="115" t="s">
        <v>1171</v>
      </c>
      <c r="E2442" s="133" t="str">
        <f t="shared" si="77"/>
        <v>1200001148THPU-71306 ST VN</v>
      </c>
      <c r="F2442" s="133" t="s">
        <v>3039</v>
      </c>
      <c r="G2442" s="133" t="s">
        <v>3880</v>
      </c>
      <c r="H2442" s="133">
        <f>VLOOKUP(G2442,'packing mapping'!A:B,2,0)</f>
        <v>20</v>
      </c>
      <c r="I2442" s="137">
        <v>1288800</v>
      </c>
      <c r="J2442" s="132">
        <f t="shared" si="76"/>
        <v>64440</v>
      </c>
    </row>
    <row r="2443" spans="1:10">
      <c r="A2443" s="115" t="s">
        <v>1103</v>
      </c>
      <c r="B2443" s="115" t="s">
        <v>1104</v>
      </c>
      <c r="C2443" s="115" t="s">
        <v>1292</v>
      </c>
      <c r="D2443" s="115" t="s">
        <v>1293</v>
      </c>
      <c r="E2443" s="133" t="str">
        <f t="shared" si="77"/>
        <v>1200001148PUP-52135 WHITE VN</v>
      </c>
      <c r="F2443" s="133" t="s">
        <v>3098</v>
      </c>
      <c r="G2443" s="133" t="s">
        <v>3881</v>
      </c>
      <c r="H2443" s="133">
        <f>VLOOKUP(G2443,'packing mapping'!A:B,2,0)</f>
        <v>20</v>
      </c>
      <c r="I2443" s="137">
        <v>2368800</v>
      </c>
      <c r="J2443" s="132">
        <f t="shared" si="76"/>
        <v>118440</v>
      </c>
    </row>
    <row r="2444" spans="1:10">
      <c r="A2444" s="115" t="s">
        <v>1103</v>
      </c>
      <c r="B2444" s="115" t="s">
        <v>1104</v>
      </c>
      <c r="C2444" s="115" t="s">
        <v>1496</v>
      </c>
      <c r="D2444" s="115" t="s">
        <v>1497</v>
      </c>
      <c r="E2444" s="133" t="str">
        <f t="shared" si="77"/>
        <v>1200001148PUH-56141 VN</v>
      </c>
      <c r="F2444" s="133" t="s">
        <v>3189</v>
      </c>
      <c r="G2444" s="133" t="s">
        <v>3881</v>
      </c>
      <c r="H2444" s="133">
        <f>VLOOKUP(G2444,'packing mapping'!A:B,2,0)</f>
        <v>20</v>
      </c>
      <c r="I2444" s="137">
        <v>2637600</v>
      </c>
      <c r="J2444" s="132">
        <f t="shared" si="76"/>
        <v>131880</v>
      </c>
    </row>
    <row r="2445" spans="1:10">
      <c r="A2445" s="115" t="s">
        <v>2944</v>
      </c>
      <c r="B2445" s="115" t="s">
        <v>2945</v>
      </c>
      <c r="C2445" s="115" t="s">
        <v>2946</v>
      </c>
      <c r="D2445" s="115" t="s">
        <v>2947</v>
      </c>
      <c r="E2445" s="133" t="str">
        <f t="shared" si="77"/>
        <v>1200000882MX-94 LIGHT GREY VN</v>
      </c>
      <c r="F2445" s="133" t="s">
        <v>3842</v>
      </c>
      <c r="G2445" s="133" t="s">
        <v>3910</v>
      </c>
      <c r="H2445" s="133">
        <f>VLOOKUP(G2445,'packing mapping'!A:B,2,0)</f>
        <v>20</v>
      </c>
      <c r="I2445" s="137">
        <v>2300000</v>
      </c>
      <c r="J2445" s="132">
        <f t="shared" si="76"/>
        <v>115000</v>
      </c>
    </row>
    <row r="2446" spans="1:10">
      <c r="A2446" s="115" t="s">
        <v>2944</v>
      </c>
      <c r="B2446" s="115" t="s">
        <v>2945</v>
      </c>
      <c r="C2446" s="115" t="s">
        <v>2948</v>
      </c>
      <c r="D2446" s="115" t="s">
        <v>2949</v>
      </c>
      <c r="E2446" s="133" t="str">
        <f t="shared" si="77"/>
        <v>1200000882MX-94 LIGHT BLUE VN</v>
      </c>
      <c r="F2446" s="133" t="s">
        <v>3843</v>
      </c>
      <c r="G2446" s="133" t="s">
        <v>3910</v>
      </c>
      <c r="H2446" s="133">
        <f>VLOOKUP(G2446,'packing mapping'!A:B,2,0)</f>
        <v>20</v>
      </c>
      <c r="I2446" s="137">
        <v>2300000</v>
      </c>
      <c r="J2446" s="132">
        <f t="shared" si="76"/>
        <v>115000</v>
      </c>
    </row>
    <row r="2447" spans="1:10">
      <c r="A2447" s="115" t="s">
        <v>1065</v>
      </c>
      <c r="B2447" s="115" t="s">
        <v>1066</v>
      </c>
      <c r="C2447" s="115" t="s">
        <v>1244</v>
      </c>
      <c r="D2447" s="115" t="s">
        <v>1245</v>
      </c>
      <c r="E2447" s="133" t="str">
        <f t="shared" si="77"/>
        <v>1200001106TOL-76114 W VN</v>
      </c>
      <c r="F2447" s="133" t="s">
        <v>3075</v>
      </c>
      <c r="G2447" s="133" t="s">
        <v>3880</v>
      </c>
      <c r="H2447" s="133">
        <f>VLOOKUP(G2447,'packing mapping'!A:B,2,0)</f>
        <v>20</v>
      </c>
      <c r="I2447" s="137">
        <v>1635400</v>
      </c>
      <c r="J2447" s="132">
        <f t="shared" si="76"/>
        <v>81770</v>
      </c>
    </row>
    <row r="2448" spans="1:10">
      <c r="A2448" s="115" t="s">
        <v>1065</v>
      </c>
      <c r="B2448" s="115" t="s">
        <v>1066</v>
      </c>
      <c r="C2448" s="115" t="s">
        <v>2950</v>
      </c>
      <c r="D2448" s="115" t="s">
        <v>2951</v>
      </c>
      <c r="E2448" s="133" t="str">
        <f t="shared" si="77"/>
        <v>1200001106TOL-76114 W VN</v>
      </c>
      <c r="F2448" s="133" t="s">
        <v>3075</v>
      </c>
      <c r="G2448" s="133" t="s">
        <v>3884</v>
      </c>
      <c r="H2448" s="133">
        <f>VLOOKUP(G2448,'packing mapping'!A:B,2,0)</f>
        <v>200</v>
      </c>
      <c r="I2448" s="137">
        <v>16146000</v>
      </c>
      <c r="J2448" s="132">
        <f t="shared" si="76"/>
        <v>80730</v>
      </c>
    </row>
    <row r="2449" spans="1:10">
      <c r="A2449" s="115" t="s">
        <v>1065</v>
      </c>
      <c r="B2449" s="115" t="s">
        <v>1066</v>
      </c>
      <c r="C2449" s="115" t="s">
        <v>2952</v>
      </c>
      <c r="D2449" s="115" t="s">
        <v>2953</v>
      </c>
      <c r="E2449" s="133" t="str">
        <f t="shared" si="77"/>
        <v>1200001106TOL-76301 N CLEAR BASE VN</v>
      </c>
      <c r="F2449" s="133" t="s">
        <v>3213</v>
      </c>
      <c r="G2449" s="133" t="s">
        <v>3884</v>
      </c>
      <c r="H2449" s="133">
        <f>VLOOKUP(G2449,'packing mapping'!A:B,2,0)</f>
        <v>200</v>
      </c>
      <c r="I2449" s="137">
        <v>17368000</v>
      </c>
      <c r="J2449" s="132">
        <f t="shared" si="76"/>
        <v>86840</v>
      </c>
    </row>
    <row r="2450" spans="1:10">
      <c r="A2450" s="115" t="s">
        <v>1065</v>
      </c>
      <c r="B2450" s="115" t="s">
        <v>1066</v>
      </c>
      <c r="C2450" s="115" t="s">
        <v>1546</v>
      </c>
      <c r="D2450" s="115" t="s">
        <v>1547</v>
      </c>
      <c r="E2450" s="133" t="str">
        <f t="shared" si="77"/>
        <v>1200001106TOL-76301 N CLEAR BASE VN</v>
      </c>
      <c r="F2450" s="133" t="s">
        <v>3213</v>
      </c>
      <c r="G2450" s="133" t="s">
        <v>3880</v>
      </c>
      <c r="H2450" s="133">
        <f>VLOOKUP(G2450,'packing mapping'!A:B,2,0)</f>
        <v>20</v>
      </c>
      <c r="I2450" s="137">
        <v>1931800</v>
      </c>
      <c r="J2450" s="132">
        <f t="shared" si="76"/>
        <v>96590</v>
      </c>
    </row>
    <row r="2451" spans="1:10">
      <c r="A2451" s="115" t="s">
        <v>1065</v>
      </c>
      <c r="B2451" s="115" t="s">
        <v>1066</v>
      </c>
      <c r="C2451" s="115" t="s">
        <v>1554</v>
      </c>
      <c r="D2451" s="115" t="s">
        <v>1555</v>
      </c>
      <c r="E2451" s="133" t="str">
        <f t="shared" si="77"/>
        <v>1200001106EQ-10200 MTT 01 TM VN</v>
      </c>
      <c r="F2451" s="133" t="s">
        <v>3217</v>
      </c>
      <c r="G2451" s="133" t="s">
        <v>3880</v>
      </c>
      <c r="H2451" s="133">
        <f>VLOOKUP(G2451,'packing mapping'!A:B,2,0)</f>
        <v>20</v>
      </c>
      <c r="I2451" s="137">
        <v>2379000</v>
      </c>
      <c r="J2451" s="132">
        <f t="shared" si="76"/>
        <v>118950</v>
      </c>
    </row>
    <row r="2452" spans="1:10">
      <c r="A2452" s="115" t="s">
        <v>1065</v>
      </c>
      <c r="B2452" s="115" t="s">
        <v>1066</v>
      </c>
      <c r="C2452" s="115" t="s">
        <v>2954</v>
      </c>
      <c r="D2452" s="115" t="s">
        <v>2955</v>
      </c>
      <c r="E2452" s="133" t="str">
        <f t="shared" si="77"/>
        <v>1200001106TOL-76301 N YEL VEN HLP VN</v>
      </c>
      <c r="F2452" s="133" t="s">
        <v>3844</v>
      </c>
      <c r="G2452" s="133" t="s">
        <v>3899</v>
      </c>
      <c r="H2452" s="133">
        <f>VLOOKUP(G2452,'packing mapping'!A:B,2,0)</f>
        <v>160</v>
      </c>
      <c r="I2452" s="137">
        <v>18262400</v>
      </c>
      <c r="J2452" s="132">
        <f t="shared" si="76"/>
        <v>114140</v>
      </c>
    </row>
    <row r="2453" spans="1:10">
      <c r="A2453" s="115" t="s">
        <v>871</v>
      </c>
      <c r="B2453" s="115" t="s">
        <v>872</v>
      </c>
      <c r="C2453" s="115" t="s">
        <v>1188</v>
      </c>
      <c r="D2453" s="115" t="s">
        <v>1189</v>
      </c>
      <c r="E2453" s="133" t="str">
        <f t="shared" si="77"/>
        <v>1200000922PCA-31100 BLACK PASTE VN</v>
      </c>
      <c r="F2453" s="133" t="s">
        <v>3048</v>
      </c>
      <c r="G2453" s="133" t="s">
        <v>3883</v>
      </c>
      <c r="H2453" s="133">
        <f>VLOOKUP(G2453,'packing mapping'!A:B,2,0)</f>
        <v>4</v>
      </c>
      <c r="I2453" s="137">
        <v>1262600</v>
      </c>
      <c r="J2453" s="132">
        <f t="shared" si="76"/>
        <v>315650</v>
      </c>
    </row>
    <row r="2454" spans="1:10">
      <c r="A2454" s="115" t="s">
        <v>871</v>
      </c>
      <c r="B2454" s="115" t="s">
        <v>872</v>
      </c>
      <c r="C2454" s="115" t="s">
        <v>1520</v>
      </c>
      <c r="D2454" s="115" t="s">
        <v>1521</v>
      </c>
      <c r="E2454" s="133" t="str">
        <f t="shared" si="77"/>
        <v>1200000922PCA-31100 GREEN OB PASTE VN</v>
      </c>
      <c r="F2454" s="133" t="s">
        <v>3200</v>
      </c>
      <c r="G2454" s="133" t="s">
        <v>3883</v>
      </c>
      <c r="H2454" s="133">
        <f>VLOOKUP(G2454,'packing mapping'!A:B,2,0)</f>
        <v>4</v>
      </c>
      <c r="I2454" s="137">
        <v>1310640</v>
      </c>
      <c r="J2454" s="132">
        <f t="shared" si="76"/>
        <v>327660</v>
      </c>
    </row>
    <row r="2455" spans="1:10">
      <c r="A2455" s="115" t="s">
        <v>871</v>
      </c>
      <c r="B2455" s="115" t="s">
        <v>872</v>
      </c>
      <c r="C2455" s="115" t="s">
        <v>1374</v>
      </c>
      <c r="D2455" s="115" t="s">
        <v>1375</v>
      </c>
      <c r="E2455" s="133" t="str">
        <f t="shared" si="77"/>
        <v>1200000922PCA-31100 RED OB 35 PASTE VN</v>
      </c>
      <c r="F2455" s="133" t="s">
        <v>3137</v>
      </c>
      <c r="G2455" s="133" t="s">
        <v>3883</v>
      </c>
      <c r="H2455" s="133">
        <f>VLOOKUP(G2455,'packing mapping'!A:B,2,0)</f>
        <v>4</v>
      </c>
      <c r="I2455" s="137">
        <v>2006120</v>
      </c>
      <c r="J2455" s="132">
        <f t="shared" si="76"/>
        <v>501530</v>
      </c>
    </row>
    <row r="2456" spans="1:10">
      <c r="A2456" s="115" t="s">
        <v>871</v>
      </c>
      <c r="B2456" s="115" t="s">
        <v>872</v>
      </c>
      <c r="C2456" s="115" t="s">
        <v>1378</v>
      </c>
      <c r="D2456" s="115" t="s">
        <v>1379</v>
      </c>
      <c r="E2456" s="133" t="str">
        <f t="shared" si="77"/>
        <v>1200000922PCA-31100 YELLOW OKER PASTE VN</v>
      </c>
      <c r="F2456" s="133" t="s">
        <v>3139</v>
      </c>
      <c r="G2456" s="133" t="s">
        <v>3883</v>
      </c>
      <c r="H2456" s="133">
        <f>VLOOKUP(G2456,'packing mapping'!A:B,2,0)</f>
        <v>4</v>
      </c>
      <c r="I2456" s="137">
        <v>891720</v>
      </c>
      <c r="J2456" s="132">
        <f t="shared" si="76"/>
        <v>222930</v>
      </c>
    </row>
    <row r="2457" spans="1:10">
      <c r="A2457" s="115" t="s">
        <v>871</v>
      </c>
      <c r="B2457" s="115" t="s">
        <v>872</v>
      </c>
      <c r="C2457" s="115" t="s">
        <v>1192</v>
      </c>
      <c r="D2457" s="115" t="s">
        <v>1193</v>
      </c>
      <c r="E2457" s="133" t="str">
        <f t="shared" si="77"/>
        <v>1200000922PCL-31300 BLACK PASTE</v>
      </c>
      <c r="F2457" s="133" t="s">
        <v>3050</v>
      </c>
      <c r="G2457" s="133" t="s">
        <v>3883</v>
      </c>
      <c r="H2457" s="133">
        <f>VLOOKUP(G2457,'packing mapping'!A:B,2,0)</f>
        <v>4</v>
      </c>
      <c r="I2457" s="137">
        <v>2362680</v>
      </c>
      <c r="J2457" s="132">
        <f t="shared" si="76"/>
        <v>590670</v>
      </c>
    </row>
    <row r="2458" spans="1:10">
      <c r="A2458" s="115" t="s">
        <v>871</v>
      </c>
      <c r="B2458" s="115" t="s">
        <v>872</v>
      </c>
      <c r="C2458" s="115" t="s">
        <v>1168</v>
      </c>
      <c r="D2458" s="115" t="s">
        <v>1169</v>
      </c>
      <c r="E2458" s="133" t="str">
        <f t="shared" si="77"/>
        <v>1200000922PUL-51339 CLEAR 10 VN</v>
      </c>
      <c r="F2458" s="133" t="s">
        <v>3038</v>
      </c>
      <c r="G2458" s="133" t="s">
        <v>3879</v>
      </c>
      <c r="H2458" s="133">
        <f>VLOOKUP(G2458,'packing mapping'!A:B,2,0)</f>
        <v>20</v>
      </c>
      <c r="I2458" s="137">
        <v>2449800</v>
      </c>
      <c r="J2458" s="132">
        <f t="shared" si="76"/>
        <v>122490</v>
      </c>
    </row>
    <row r="2459" spans="1:10">
      <c r="A2459" s="115" t="s">
        <v>871</v>
      </c>
      <c r="B2459" s="115" t="s">
        <v>872</v>
      </c>
      <c r="C2459" s="115" t="s">
        <v>1170</v>
      </c>
      <c r="D2459" s="115" t="s">
        <v>1171</v>
      </c>
      <c r="E2459" s="133" t="str">
        <f t="shared" si="77"/>
        <v>1200000922THPU-71306 ST VN</v>
      </c>
      <c r="F2459" s="133" t="s">
        <v>3039</v>
      </c>
      <c r="G2459" s="133" t="s">
        <v>3880</v>
      </c>
      <c r="H2459" s="133">
        <f>VLOOKUP(G2459,'packing mapping'!A:B,2,0)</f>
        <v>20</v>
      </c>
      <c r="I2459" s="137">
        <v>1645000</v>
      </c>
      <c r="J2459" s="132">
        <f t="shared" si="76"/>
        <v>82250</v>
      </c>
    </row>
    <row r="2460" spans="1:10">
      <c r="A2460" s="115" t="s">
        <v>871</v>
      </c>
      <c r="B2460" s="115" t="s">
        <v>872</v>
      </c>
      <c r="C2460" s="115" t="s">
        <v>1892</v>
      </c>
      <c r="D2460" s="115" t="s">
        <v>1893</v>
      </c>
      <c r="E2460" s="133" t="str">
        <f t="shared" si="77"/>
        <v>1200000922PUC-52239 WHITE 10 VN</v>
      </c>
      <c r="F2460" s="133" t="s">
        <v>3368</v>
      </c>
      <c r="G2460" s="133" t="s">
        <v>3881</v>
      </c>
      <c r="H2460" s="133">
        <f>VLOOKUP(G2460,'packing mapping'!A:B,2,0)</f>
        <v>20</v>
      </c>
      <c r="I2460" s="137">
        <v>3279000</v>
      </c>
      <c r="J2460" s="132">
        <f t="shared" si="76"/>
        <v>163950</v>
      </c>
    </row>
    <row r="2461" spans="1:10">
      <c r="A2461" s="115" t="s">
        <v>871</v>
      </c>
      <c r="B2461" s="115" t="s">
        <v>872</v>
      </c>
      <c r="C2461" s="115" t="s">
        <v>1796</v>
      </c>
      <c r="D2461" s="115" t="s">
        <v>1797</v>
      </c>
      <c r="E2461" s="133" t="str">
        <f t="shared" si="77"/>
        <v>1200000922PUC-52239 WHITE 20 VN</v>
      </c>
      <c r="F2461" s="133" t="s">
        <v>3323</v>
      </c>
      <c r="G2461" s="133" t="s">
        <v>3881</v>
      </c>
      <c r="H2461" s="133">
        <f>VLOOKUP(G2461,'packing mapping'!A:B,2,0)</f>
        <v>20</v>
      </c>
      <c r="I2461" s="137">
        <v>3007600</v>
      </c>
      <c r="J2461" s="132">
        <f t="shared" si="76"/>
        <v>150380</v>
      </c>
    </row>
    <row r="2462" spans="1:10">
      <c r="A2462" s="115" t="s">
        <v>871</v>
      </c>
      <c r="B2462" s="115" t="s">
        <v>872</v>
      </c>
      <c r="C2462" s="115" t="s">
        <v>1896</v>
      </c>
      <c r="D2462" s="115" t="s">
        <v>1897</v>
      </c>
      <c r="E2462" s="133" t="str">
        <f t="shared" si="77"/>
        <v>1200000922PUC-52239 WHITE 50 VN</v>
      </c>
      <c r="F2462" s="133" t="s">
        <v>3370</v>
      </c>
      <c r="G2462" s="133" t="s">
        <v>3881</v>
      </c>
      <c r="H2462" s="133">
        <f>VLOOKUP(G2462,'packing mapping'!A:B,2,0)</f>
        <v>20</v>
      </c>
      <c r="I2462" s="137">
        <v>2686000</v>
      </c>
      <c r="J2462" s="132">
        <f t="shared" si="76"/>
        <v>134300</v>
      </c>
    </row>
    <row r="2463" spans="1:10">
      <c r="A2463" s="115" t="s">
        <v>871</v>
      </c>
      <c r="B2463" s="115" t="s">
        <v>872</v>
      </c>
      <c r="C2463" s="115" t="s">
        <v>1174</v>
      </c>
      <c r="D2463" s="115" t="s">
        <v>1175</v>
      </c>
      <c r="E2463" s="133" t="str">
        <f t="shared" si="77"/>
        <v>1200000922PUH-56139 VN</v>
      </c>
      <c r="F2463" s="133" t="s">
        <v>3041</v>
      </c>
      <c r="G2463" s="133" t="s">
        <v>3881</v>
      </c>
      <c r="H2463" s="133">
        <f>VLOOKUP(G2463,'packing mapping'!A:B,2,0)</f>
        <v>20</v>
      </c>
      <c r="I2463" s="137">
        <v>4435000</v>
      </c>
      <c r="J2463" s="132">
        <f t="shared" si="76"/>
        <v>221750</v>
      </c>
    </row>
    <row r="2464" spans="1:10">
      <c r="A2464" s="115" t="s">
        <v>1055</v>
      </c>
      <c r="B2464" s="115" t="s">
        <v>1056</v>
      </c>
      <c r="C2464" s="115" t="s">
        <v>1192</v>
      </c>
      <c r="D2464" s="115" t="s">
        <v>1193</v>
      </c>
      <c r="E2464" s="133" t="str">
        <f t="shared" si="77"/>
        <v>1200001096PCL-31300 BLACK PASTE</v>
      </c>
      <c r="F2464" s="133" t="s">
        <v>3050</v>
      </c>
      <c r="G2464" s="133" t="s">
        <v>3883</v>
      </c>
      <c r="H2464" s="133">
        <f>VLOOKUP(G2464,'packing mapping'!A:B,2,0)</f>
        <v>4</v>
      </c>
      <c r="I2464" s="137">
        <v>2581200</v>
      </c>
      <c r="J2464" s="132">
        <f t="shared" si="76"/>
        <v>645300</v>
      </c>
    </row>
    <row r="2465" spans="1:10">
      <c r="A2465" s="115" t="s">
        <v>1055</v>
      </c>
      <c r="B2465" s="115" t="s">
        <v>1056</v>
      </c>
      <c r="C2465" s="115" t="s">
        <v>1194</v>
      </c>
      <c r="D2465" s="115" t="s">
        <v>1195</v>
      </c>
      <c r="E2465" s="133" t="str">
        <f t="shared" si="77"/>
        <v>1200001096PCL-31300 BLUE OG PASTE</v>
      </c>
      <c r="F2465" s="133" t="s">
        <v>3051</v>
      </c>
      <c r="G2465" s="133" t="s">
        <v>3883</v>
      </c>
      <c r="H2465" s="133">
        <f>VLOOKUP(G2465,'packing mapping'!A:B,2,0)</f>
        <v>4</v>
      </c>
      <c r="I2465" s="137">
        <v>2216800</v>
      </c>
      <c r="J2465" s="132">
        <f t="shared" si="76"/>
        <v>554200</v>
      </c>
    </row>
    <row r="2466" spans="1:10">
      <c r="A2466" s="115" t="s">
        <v>1055</v>
      </c>
      <c r="B2466" s="115" t="s">
        <v>1056</v>
      </c>
      <c r="C2466" s="115" t="s">
        <v>1198</v>
      </c>
      <c r="D2466" s="115" t="s">
        <v>1199</v>
      </c>
      <c r="E2466" s="133" t="str">
        <f t="shared" si="77"/>
        <v>1200001096PCL-31300 BROWN PASTE VN</v>
      </c>
      <c r="F2466" s="133" t="s">
        <v>3053</v>
      </c>
      <c r="G2466" s="133" t="s">
        <v>3883</v>
      </c>
      <c r="H2466" s="133">
        <f>VLOOKUP(G2466,'packing mapping'!A:B,2,0)</f>
        <v>4</v>
      </c>
      <c r="I2466" s="137">
        <v>1594000</v>
      </c>
      <c r="J2466" s="132">
        <f t="shared" si="76"/>
        <v>398500</v>
      </c>
    </row>
    <row r="2467" spans="1:10">
      <c r="A2467" s="115" t="s">
        <v>1055</v>
      </c>
      <c r="B2467" s="115" t="s">
        <v>1056</v>
      </c>
      <c r="C2467" s="115" t="s">
        <v>1988</v>
      </c>
      <c r="D2467" s="115" t="s">
        <v>1989</v>
      </c>
      <c r="E2467" s="133" t="str">
        <f t="shared" si="77"/>
        <v>1200001096PCL-31300 GREEN OB PASTE</v>
      </c>
      <c r="F2467" s="133" t="s">
        <v>3415</v>
      </c>
      <c r="G2467" s="133" t="s">
        <v>3883</v>
      </c>
      <c r="H2467" s="133">
        <f>VLOOKUP(G2467,'packing mapping'!A:B,2,0)</f>
        <v>4</v>
      </c>
      <c r="I2467" s="137">
        <v>2391200</v>
      </c>
      <c r="J2467" s="132">
        <f t="shared" si="76"/>
        <v>597800</v>
      </c>
    </row>
    <row r="2468" spans="1:10">
      <c r="A2468" s="115" t="s">
        <v>1055</v>
      </c>
      <c r="B2468" s="115" t="s">
        <v>1056</v>
      </c>
      <c r="C2468" s="115" t="s">
        <v>1380</v>
      </c>
      <c r="D2468" s="115" t="s">
        <v>1381</v>
      </c>
      <c r="E2468" s="133" t="str">
        <f t="shared" si="77"/>
        <v>1200001096PCL-31300 OXIDE RED PASTE</v>
      </c>
      <c r="F2468" s="133" t="s">
        <v>3140</v>
      </c>
      <c r="G2468" s="133" t="s">
        <v>3883</v>
      </c>
      <c r="H2468" s="133">
        <f>VLOOKUP(G2468,'packing mapping'!A:B,2,0)</f>
        <v>4</v>
      </c>
      <c r="I2468" s="137">
        <v>1864800</v>
      </c>
      <c r="J2468" s="132">
        <f t="shared" si="76"/>
        <v>466200</v>
      </c>
    </row>
    <row r="2469" spans="1:10">
      <c r="A2469" s="115" t="s">
        <v>1055</v>
      </c>
      <c r="B2469" s="115" t="s">
        <v>1056</v>
      </c>
      <c r="C2469" s="115" t="s">
        <v>1382</v>
      </c>
      <c r="D2469" s="115" t="s">
        <v>1383</v>
      </c>
      <c r="E2469" s="133" t="str">
        <f t="shared" si="77"/>
        <v>1200001096PCL-31300 RED PINK PASTE</v>
      </c>
      <c r="F2469" s="133" t="s">
        <v>3141</v>
      </c>
      <c r="G2469" s="133" t="s">
        <v>3883</v>
      </c>
      <c r="H2469" s="133">
        <f>VLOOKUP(G2469,'packing mapping'!A:B,2,0)</f>
        <v>4</v>
      </c>
      <c r="I2469" s="137">
        <v>3558000</v>
      </c>
      <c r="J2469" s="132">
        <f t="shared" si="76"/>
        <v>889500</v>
      </c>
    </row>
    <row r="2470" spans="1:10">
      <c r="A2470" s="115" t="s">
        <v>1055</v>
      </c>
      <c r="B2470" s="115" t="s">
        <v>1056</v>
      </c>
      <c r="C2470" s="115" t="s">
        <v>1384</v>
      </c>
      <c r="D2470" s="115" t="s">
        <v>1385</v>
      </c>
      <c r="E2470" s="133" t="str">
        <f t="shared" si="77"/>
        <v>1200001096PCL-31300 VIOLET PASTE</v>
      </c>
      <c r="F2470" s="133" t="s">
        <v>3142</v>
      </c>
      <c r="G2470" s="133" t="s">
        <v>3883</v>
      </c>
      <c r="H2470" s="133">
        <f>VLOOKUP(G2470,'packing mapping'!A:B,2,0)</f>
        <v>4</v>
      </c>
      <c r="I2470" s="137">
        <v>2165200</v>
      </c>
      <c r="J2470" s="132">
        <f t="shared" si="76"/>
        <v>541300</v>
      </c>
    </row>
    <row r="2471" spans="1:10">
      <c r="A2471" s="115" t="s">
        <v>1055</v>
      </c>
      <c r="B2471" s="115" t="s">
        <v>1056</v>
      </c>
      <c r="C2471" s="115" t="s">
        <v>1202</v>
      </c>
      <c r="D2471" s="115" t="s">
        <v>1203</v>
      </c>
      <c r="E2471" s="133" t="str">
        <f t="shared" si="77"/>
        <v>1200001096PCL-31300 WHITE PASTE</v>
      </c>
      <c r="F2471" s="133" t="s">
        <v>3055</v>
      </c>
      <c r="G2471" s="133" t="s">
        <v>3883</v>
      </c>
      <c r="H2471" s="133">
        <f>VLOOKUP(G2471,'packing mapping'!A:B,2,0)</f>
        <v>4</v>
      </c>
      <c r="I2471" s="137">
        <v>1099200</v>
      </c>
      <c r="J2471" s="132">
        <f t="shared" si="76"/>
        <v>274800</v>
      </c>
    </row>
    <row r="2472" spans="1:10">
      <c r="A2472" s="115" t="s">
        <v>1055</v>
      </c>
      <c r="B2472" s="115" t="s">
        <v>1056</v>
      </c>
      <c r="C2472" s="115" t="s">
        <v>1204</v>
      </c>
      <c r="D2472" s="115" t="s">
        <v>1205</v>
      </c>
      <c r="E2472" s="133" t="str">
        <f t="shared" si="77"/>
        <v>1200001096PCL-31300 YELLOW OG 16 PASTE</v>
      </c>
      <c r="F2472" s="133" t="s">
        <v>3056</v>
      </c>
      <c r="G2472" s="133" t="s">
        <v>3883</v>
      </c>
      <c r="H2472" s="133">
        <f>VLOOKUP(G2472,'packing mapping'!A:B,2,0)</f>
        <v>4</v>
      </c>
      <c r="I2472" s="137">
        <v>3965200</v>
      </c>
      <c r="J2472" s="132">
        <f t="shared" si="76"/>
        <v>991300</v>
      </c>
    </row>
    <row r="2473" spans="1:10">
      <c r="A2473" s="115" t="s">
        <v>1055</v>
      </c>
      <c r="B2473" s="115" t="s">
        <v>1056</v>
      </c>
      <c r="C2473" s="115" t="s">
        <v>1206</v>
      </c>
      <c r="D2473" s="115" t="s">
        <v>1207</v>
      </c>
      <c r="E2473" s="133" t="str">
        <f t="shared" si="77"/>
        <v>1200001096PCL-31300 YELLOW OKER PASTE</v>
      </c>
      <c r="F2473" s="133" t="s">
        <v>3057</v>
      </c>
      <c r="G2473" s="133" t="s">
        <v>3883</v>
      </c>
      <c r="H2473" s="133">
        <f>VLOOKUP(G2473,'packing mapping'!A:B,2,0)</f>
        <v>4</v>
      </c>
      <c r="I2473" s="137">
        <v>1733200</v>
      </c>
      <c r="J2473" s="132">
        <f t="shared" si="76"/>
        <v>433300</v>
      </c>
    </row>
    <row r="2474" spans="1:10">
      <c r="A2474" s="115" t="s">
        <v>1055</v>
      </c>
      <c r="B2474" s="115" t="s">
        <v>1056</v>
      </c>
      <c r="C2474" s="115" t="s">
        <v>1386</v>
      </c>
      <c r="D2474" s="115" t="s">
        <v>1387</v>
      </c>
      <c r="E2474" s="133" t="str">
        <f t="shared" si="77"/>
        <v>1200001096PUC-54205 AC WHITE 90 VN</v>
      </c>
      <c r="F2474" s="133" t="s">
        <v>3143</v>
      </c>
      <c r="G2474" s="133" t="s">
        <v>3881</v>
      </c>
      <c r="H2474" s="133">
        <f>VLOOKUP(G2474,'packing mapping'!A:B,2,0)</f>
        <v>20</v>
      </c>
      <c r="I2474" s="137">
        <v>3956000</v>
      </c>
      <c r="J2474" s="132">
        <f t="shared" si="76"/>
        <v>197800</v>
      </c>
    </row>
    <row r="2475" spans="1:10">
      <c r="A2475" s="115" t="s">
        <v>1055</v>
      </c>
      <c r="B2475" s="115" t="s">
        <v>1056</v>
      </c>
      <c r="C2475" s="115" t="s">
        <v>1388</v>
      </c>
      <c r="D2475" s="115" t="s">
        <v>1389</v>
      </c>
      <c r="E2475" s="133" t="str">
        <f t="shared" si="77"/>
        <v>1200001096PUC-54205 AC WHITE 10 VN</v>
      </c>
      <c r="F2475" s="133" t="s">
        <v>3144</v>
      </c>
      <c r="G2475" s="133" t="s">
        <v>3881</v>
      </c>
      <c r="H2475" s="133">
        <f>VLOOKUP(G2475,'packing mapping'!A:B,2,0)</f>
        <v>20</v>
      </c>
      <c r="I2475" s="137">
        <v>3926000</v>
      </c>
      <c r="J2475" s="132">
        <f t="shared" si="76"/>
        <v>196300</v>
      </c>
    </row>
    <row r="2476" spans="1:10">
      <c r="A2476" s="115" t="s">
        <v>1055</v>
      </c>
      <c r="B2476" s="115" t="s">
        <v>1056</v>
      </c>
      <c r="C2476" s="115" t="s">
        <v>1390</v>
      </c>
      <c r="D2476" s="115" t="s">
        <v>1391</v>
      </c>
      <c r="E2476" s="133" t="str">
        <f t="shared" si="77"/>
        <v>1200001096PUC-54205 AC WHITE 20 VN</v>
      </c>
      <c r="F2476" s="133" t="s">
        <v>3145</v>
      </c>
      <c r="G2476" s="133" t="s">
        <v>3881</v>
      </c>
      <c r="H2476" s="133">
        <f>VLOOKUP(G2476,'packing mapping'!A:B,2,0)</f>
        <v>20</v>
      </c>
      <c r="I2476" s="137">
        <v>3908000</v>
      </c>
      <c r="J2476" s="132">
        <f t="shared" si="76"/>
        <v>195400</v>
      </c>
    </row>
    <row r="2477" spans="1:10">
      <c r="A2477" s="115" t="s">
        <v>1055</v>
      </c>
      <c r="B2477" s="115" t="s">
        <v>1056</v>
      </c>
      <c r="C2477" s="115" t="s">
        <v>1470</v>
      </c>
      <c r="D2477" s="115" t="s">
        <v>1471</v>
      </c>
      <c r="E2477" s="133" t="str">
        <f t="shared" si="77"/>
        <v>1200001096PUC-54205 AC WHITE 50 VN</v>
      </c>
      <c r="F2477" s="133" t="s">
        <v>3181</v>
      </c>
      <c r="G2477" s="133" t="s">
        <v>3881</v>
      </c>
      <c r="H2477" s="133">
        <f>VLOOKUP(G2477,'packing mapping'!A:B,2,0)</f>
        <v>20</v>
      </c>
      <c r="I2477" s="137">
        <v>3866000</v>
      </c>
      <c r="J2477" s="132">
        <f t="shared" si="76"/>
        <v>193300</v>
      </c>
    </row>
    <row r="2478" spans="1:10">
      <c r="A2478" s="115" t="s">
        <v>1055</v>
      </c>
      <c r="B2478" s="115" t="s">
        <v>1056</v>
      </c>
      <c r="C2478" s="115" t="s">
        <v>1210</v>
      </c>
      <c r="D2478" s="115" t="s">
        <v>1211</v>
      </c>
      <c r="E2478" s="133" t="str">
        <f t="shared" si="77"/>
        <v>1200001096PUH-56306 LY VN</v>
      </c>
      <c r="F2478" s="133" t="s">
        <v>3059</v>
      </c>
      <c r="G2478" s="133" t="s">
        <v>3879</v>
      </c>
      <c r="H2478" s="133">
        <f>VLOOKUP(G2478,'packing mapping'!A:B,2,0)</f>
        <v>20</v>
      </c>
      <c r="I2478" s="137">
        <v>3122000</v>
      </c>
      <c r="J2478" s="132">
        <f t="shared" si="76"/>
        <v>156100</v>
      </c>
    </row>
    <row r="2479" spans="1:10">
      <c r="A2479" s="115" t="s">
        <v>1055</v>
      </c>
      <c r="B2479" s="115" t="s">
        <v>1056</v>
      </c>
      <c r="C2479" s="115" t="s">
        <v>1396</v>
      </c>
      <c r="D2479" s="115" t="s">
        <v>1397</v>
      </c>
      <c r="E2479" s="133" t="str">
        <f t="shared" si="77"/>
        <v>1200001096PUL-53306 AC EX CLEAR 10 VN</v>
      </c>
      <c r="F2479" s="133" t="s">
        <v>3148</v>
      </c>
      <c r="G2479" s="133" t="s">
        <v>3879</v>
      </c>
      <c r="H2479" s="133">
        <f>VLOOKUP(G2479,'packing mapping'!A:B,2,0)</f>
        <v>20</v>
      </c>
      <c r="I2479" s="137">
        <v>3930000</v>
      </c>
      <c r="J2479" s="132">
        <f t="shared" si="76"/>
        <v>196500</v>
      </c>
    </row>
    <row r="2480" spans="1:10">
      <c r="A2480" s="115" t="s">
        <v>1055</v>
      </c>
      <c r="B2480" s="115" t="s">
        <v>1056</v>
      </c>
      <c r="C2480" s="115" t="s">
        <v>1212</v>
      </c>
      <c r="D2480" s="115" t="s">
        <v>1213</v>
      </c>
      <c r="E2480" s="133" t="str">
        <f t="shared" si="77"/>
        <v>1200001096PUL-53306 AC EX CLEAR 20 VN</v>
      </c>
      <c r="F2480" s="133" t="s">
        <v>3060</v>
      </c>
      <c r="G2480" s="133" t="s">
        <v>3879</v>
      </c>
      <c r="H2480" s="133">
        <f>VLOOKUP(G2480,'packing mapping'!A:B,2,0)</f>
        <v>20</v>
      </c>
      <c r="I2480" s="137">
        <v>3774000</v>
      </c>
      <c r="J2480" s="132">
        <f t="shared" si="76"/>
        <v>188700</v>
      </c>
    </row>
    <row r="2481" spans="1:10">
      <c r="A2481" s="115" t="s">
        <v>1055</v>
      </c>
      <c r="B2481" s="115" t="s">
        <v>1056</v>
      </c>
      <c r="C2481" s="115" t="s">
        <v>1474</v>
      </c>
      <c r="D2481" s="115" t="s">
        <v>1475</v>
      </c>
      <c r="E2481" s="133" t="str">
        <f t="shared" si="77"/>
        <v>1200001096PUL-53306 AC EX CLEAR 30 VN</v>
      </c>
      <c r="F2481" s="133" t="s">
        <v>3183</v>
      </c>
      <c r="G2481" s="133" t="s">
        <v>3879</v>
      </c>
      <c r="H2481" s="133">
        <f>VLOOKUP(G2481,'packing mapping'!A:B,2,0)</f>
        <v>20</v>
      </c>
      <c r="I2481" s="137">
        <v>3754000</v>
      </c>
      <c r="J2481" s="132">
        <f t="shared" si="76"/>
        <v>187700</v>
      </c>
    </row>
    <row r="2482" spans="1:10">
      <c r="A2482" s="115" t="s">
        <v>1055</v>
      </c>
      <c r="B2482" s="115" t="s">
        <v>1056</v>
      </c>
      <c r="C2482" s="115" t="s">
        <v>1214</v>
      </c>
      <c r="D2482" s="115" t="s">
        <v>1215</v>
      </c>
      <c r="E2482" s="133" t="str">
        <f t="shared" si="77"/>
        <v>1200001096PUL-53306 AC EX CLEAR 50 VN</v>
      </c>
      <c r="F2482" s="133" t="s">
        <v>3061</v>
      </c>
      <c r="G2482" s="133" t="s">
        <v>3879</v>
      </c>
      <c r="H2482" s="133">
        <f>VLOOKUP(G2482,'packing mapping'!A:B,2,0)</f>
        <v>20</v>
      </c>
      <c r="I2482" s="137">
        <v>3620000</v>
      </c>
      <c r="J2482" s="132">
        <f t="shared" si="76"/>
        <v>181000</v>
      </c>
    </row>
    <row r="2483" spans="1:10">
      <c r="A2483" s="115" t="s">
        <v>1055</v>
      </c>
      <c r="B2483" s="115" t="s">
        <v>1056</v>
      </c>
      <c r="C2483" s="115" t="s">
        <v>1216</v>
      </c>
      <c r="D2483" s="115" t="s">
        <v>1217</v>
      </c>
      <c r="E2483" s="133" t="str">
        <f t="shared" si="77"/>
        <v>1200001096PUL-53306 AC EX CLEAR 90 VN</v>
      </c>
      <c r="F2483" s="133" t="s">
        <v>3062</v>
      </c>
      <c r="G2483" s="133" t="s">
        <v>3879</v>
      </c>
      <c r="H2483" s="133">
        <f>VLOOKUP(G2483,'packing mapping'!A:B,2,0)</f>
        <v>20</v>
      </c>
      <c r="I2483" s="137">
        <v>3058000</v>
      </c>
      <c r="J2483" s="132">
        <f t="shared" si="76"/>
        <v>152900</v>
      </c>
    </row>
    <row r="2484" spans="1:10">
      <c r="A2484" s="115" t="s">
        <v>1055</v>
      </c>
      <c r="B2484" s="115" t="s">
        <v>1056</v>
      </c>
      <c r="C2484" s="115" t="s">
        <v>1478</v>
      </c>
      <c r="D2484" s="115" t="s">
        <v>1479</v>
      </c>
      <c r="E2484" s="133" t="str">
        <f t="shared" si="77"/>
        <v>1200001096PUSS-51241 VN</v>
      </c>
      <c r="F2484" s="133" t="s">
        <v>3185</v>
      </c>
      <c r="G2484" s="133" t="s">
        <v>3881</v>
      </c>
      <c r="H2484" s="133">
        <f>VLOOKUP(G2484,'packing mapping'!A:B,2,0)</f>
        <v>20</v>
      </c>
      <c r="I2484" s="137">
        <v>2152000</v>
      </c>
      <c r="J2484" s="132">
        <f t="shared" si="76"/>
        <v>107600</v>
      </c>
    </row>
    <row r="2485" spans="1:10">
      <c r="A2485" s="115" t="s">
        <v>1055</v>
      </c>
      <c r="B2485" s="115" t="s">
        <v>1056</v>
      </c>
      <c r="C2485" s="115" t="s">
        <v>1218</v>
      </c>
      <c r="D2485" s="115" t="s">
        <v>1219</v>
      </c>
      <c r="E2485" s="133" t="str">
        <f t="shared" si="77"/>
        <v>1200001096PUSS-53206 AC EX VN</v>
      </c>
      <c r="F2485" s="133" t="s">
        <v>3063</v>
      </c>
      <c r="G2485" s="133" t="s">
        <v>3881</v>
      </c>
      <c r="H2485" s="133">
        <f>VLOOKUP(G2485,'packing mapping'!A:B,2,0)</f>
        <v>20</v>
      </c>
      <c r="I2485" s="137">
        <v>2996000</v>
      </c>
      <c r="J2485" s="132">
        <f t="shared" si="76"/>
        <v>149800</v>
      </c>
    </row>
    <row r="2486" spans="1:10">
      <c r="A2486" s="115" t="s">
        <v>1055</v>
      </c>
      <c r="B2486" s="115" t="s">
        <v>1056</v>
      </c>
      <c r="C2486" s="115" t="s">
        <v>1220</v>
      </c>
      <c r="D2486" s="115" t="s">
        <v>1221</v>
      </c>
      <c r="E2486" s="133" t="str">
        <f t="shared" si="77"/>
        <v>1200001096SST-11100 C10 BLACK</v>
      </c>
      <c r="F2486" s="133" t="s">
        <v>3064</v>
      </c>
      <c r="G2486" s="133" t="s">
        <v>3883</v>
      </c>
      <c r="H2486" s="133">
        <f>VLOOKUP(G2486,'packing mapping'!A:B,2,0)</f>
        <v>4</v>
      </c>
      <c r="I2486" s="137">
        <v>1062800</v>
      </c>
      <c r="J2486" s="132">
        <f t="shared" si="76"/>
        <v>265700</v>
      </c>
    </row>
    <row r="2487" spans="1:10">
      <c r="A2487" s="115" t="s">
        <v>1055</v>
      </c>
      <c r="B2487" s="115" t="s">
        <v>1056</v>
      </c>
      <c r="C2487" s="115" t="s">
        <v>1226</v>
      </c>
      <c r="D2487" s="115" t="s">
        <v>1227</v>
      </c>
      <c r="E2487" s="133" t="str">
        <f t="shared" si="77"/>
        <v>1200001096SST-11100 C10 RED</v>
      </c>
      <c r="F2487" s="133" t="s">
        <v>3067</v>
      </c>
      <c r="G2487" s="133" t="s">
        <v>3883</v>
      </c>
      <c r="H2487" s="133">
        <f>VLOOKUP(G2487,'packing mapping'!A:B,2,0)</f>
        <v>4</v>
      </c>
      <c r="I2487" s="137">
        <v>1349600</v>
      </c>
      <c r="J2487" s="132">
        <f t="shared" si="76"/>
        <v>337400</v>
      </c>
    </row>
    <row r="2488" spans="1:10">
      <c r="A2488" s="115" t="s">
        <v>1055</v>
      </c>
      <c r="B2488" s="115" t="s">
        <v>1056</v>
      </c>
      <c r="C2488" s="115" t="s">
        <v>1228</v>
      </c>
      <c r="D2488" s="115" t="s">
        <v>1229</v>
      </c>
      <c r="E2488" s="133" t="str">
        <f t="shared" si="77"/>
        <v>1200001096SST-11100 C10 YELLOW</v>
      </c>
      <c r="F2488" s="133" t="s">
        <v>3068</v>
      </c>
      <c r="G2488" s="133" t="s">
        <v>3883</v>
      </c>
      <c r="H2488" s="133">
        <f>VLOOKUP(G2488,'packing mapping'!A:B,2,0)</f>
        <v>4</v>
      </c>
      <c r="I2488" s="137">
        <v>1092400</v>
      </c>
      <c r="J2488" s="132">
        <f t="shared" si="76"/>
        <v>273100</v>
      </c>
    </row>
    <row r="2489" spans="1:10">
      <c r="A2489" s="115" t="s">
        <v>1055</v>
      </c>
      <c r="B2489" s="115" t="s">
        <v>1056</v>
      </c>
      <c r="C2489" s="115" t="s">
        <v>1242</v>
      </c>
      <c r="D2489" s="115" t="s">
        <v>1243</v>
      </c>
      <c r="E2489" s="133" t="str">
        <f t="shared" si="77"/>
        <v>1200001096THPU-71306 ST VN</v>
      </c>
      <c r="F2489" s="133" t="s">
        <v>3039</v>
      </c>
      <c r="G2489" s="133" t="s">
        <v>3884</v>
      </c>
      <c r="H2489" s="133">
        <f>VLOOKUP(G2489,'packing mapping'!A:B,2,0)</f>
        <v>200</v>
      </c>
      <c r="I2489" s="137">
        <v>11720000</v>
      </c>
      <c r="J2489" s="132">
        <f t="shared" si="76"/>
        <v>58600</v>
      </c>
    </row>
    <row r="2490" spans="1:10">
      <c r="A2490" s="115" t="s">
        <v>1055</v>
      </c>
      <c r="B2490" s="115" t="s">
        <v>1056</v>
      </c>
      <c r="C2490" s="115" t="s">
        <v>1170</v>
      </c>
      <c r="D2490" s="115" t="s">
        <v>1171</v>
      </c>
      <c r="E2490" s="133" t="str">
        <f t="shared" si="77"/>
        <v>1200001096THPU-71306 ST VN</v>
      </c>
      <c r="F2490" s="133" t="s">
        <v>3039</v>
      </c>
      <c r="G2490" s="133" t="s">
        <v>3880</v>
      </c>
      <c r="H2490" s="133">
        <f>VLOOKUP(G2490,'packing mapping'!A:B,2,0)</f>
        <v>20</v>
      </c>
      <c r="I2490" s="137">
        <v>1354000</v>
      </c>
      <c r="J2490" s="132">
        <f t="shared" si="76"/>
        <v>67700</v>
      </c>
    </row>
    <row r="2491" spans="1:10">
      <c r="A2491" s="115" t="s">
        <v>1055</v>
      </c>
      <c r="B2491" s="115" t="s">
        <v>1056</v>
      </c>
      <c r="C2491" s="115" t="s">
        <v>1558</v>
      </c>
      <c r="D2491" s="115" t="s">
        <v>1559</v>
      </c>
      <c r="E2491" s="133" t="str">
        <f t="shared" si="77"/>
        <v>1200001096PUP-54111 AC WHITE VN</v>
      </c>
      <c r="F2491" s="133" t="s">
        <v>3218</v>
      </c>
      <c r="G2491" s="133" t="s">
        <v>3881</v>
      </c>
      <c r="H2491" s="133">
        <f>VLOOKUP(G2491,'packing mapping'!A:B,2,0)</f>
        <v>20</v>
      </c>
      <c r="I2491" s="137">
        <v>2968000</v>
      </c>
      <c r="J2491" s="132">
        <f t="shared" si="76"/>
        <v>148400</v>
      </c>
    </row>
    <row r="2492" spans="1:10">
      <c r="A2492" s="115" t="s">
        <v>1055</v>
      </c>
      <c r="B2492" s="115" t="s">
        <v>1056</v>
      </c>
      <c r="C2492" s="115" t="s">
        <v>1900</v>
      </c>
      <c r="D2492" s="115" t="s">
        <v>1901</v>
      </c>
      <c r="E2492" s="133" t="str">
        <f t="shared" si="77"/>
        <v>1200001096PUH-56303 NY VN</v>
      </c>
      <c r="F2492" s="133" t="s">
        <v>3366</v>
      </c>
      <c r="G2492" s="133" t="s">
        <v>3881</v>
      </c>
      <c r="H2492" s="133">
        <f>VLOOKUP(G2492,'packing mapping'!A:B,2,0)</f>
        <v>20</v>
      </c>
      <c r="I2492" s="137">
        <v>3014000</v>
      </c>
      <c r="J2492" s="132">
        <f t="shared" si="76"/>
        <v>150700</v>
      </c>
    </row>
    <row r="2493" spans="1:10">
      <c r="A2493" s="115" t="s">
        <v>1055</v>
      </c>
      <c r="B2493" s="115" t="s">
        <v>1056</v>
      </c>
      <c r="C2493" s="115" t="s">
        <v>1314</v>
      </c>
      <c r="D2493" s="115" t="s">
        <v>1315</v>
      </c>
      <c r="E2493" s="133" t="str">
        <f t="shared" si="77"/>
        <v>1200001096PCL-31300 RED 31701 PASTE</v>
      </c>
      <c r="F2493" s="133" t="s">
        <v>3108</v>
      </c>
      <c r="G2493" s="133" t="s">
        <v>3883</v>
      </c>
      <c r="H2493" s="133">
        <f>VLOOKUP(G2493,'packing mapping'!A:B,2,0)</f>
        <v>4</v>
      </c>
      <c r="I2493" s="137">
        <v>3216000</v>
      </c>
      <c r="J2493" s="132">
        <f t="shared" si="76"/>
        <v>804000</v>
      </c>
    </row>
    <row r="2494" spans="1:10">
      <c r="A2494" s="115" t="s">
        <v>1055</v>
      </c>
      <c r="B2494" s="115" t="s">
        <v>1056</v>
      </c>
      <c r="C2494" s="115" t="s">
        <v>1316</v>
      </c>
      <c r="D2494" s="115" t="s">
        <v>1317</v>
      </c>
      <c r="E2494" s="133" t="str">
        <f t="shared" si="77"/>
        <v>1200001096PCL-31300 YELLOW 170 HR PASTE</v>
      </c>
      <c r="F2494" s="133" t="s">
        <v>3109</v>
      </c>
      <c r="G2494" s="133" t="s">
        <v>3883</v>
      </c>
      <c r="H2494" s="133">
        <f>VLOOKUP(G2494,'packing mapping'!A:B,2,0)</f>
        <v>4</v>
      </c>
      <c r="I2494" s="137">
        <v>2178800</v>
      </c>
      <c r="J2494" s="132">
        <f t="shared" si="76"/>
        <v>544700</v>
      </c>
    </row>
    <row r="2495" spans="1:10">
      <c r="A2495" s="115" t="s">
        <v>263</v>
      </c>
      <c r="B2495" s="115" t="s">
        <v>264</v>
      </c>
      <c r="C2495" s="115" t="s">
        <v>1370</v>
      </c>
      <c r="D2495" s="115" t="s">
        <v>1371</v>
      </c>
      <c r="E2495" s="133" t="str">
        <f t="shared" si="77"/>
        <v>1200000087PCA-31100 BLUE OG PASTE VN</v>
      </c>
      <c r="F2495" s="133" t="s">
        <v>3135</v>
      </c>
      <c r="G2495" s="133" t="s">
        <v>3883</v>
      </c>
      <c r="H2495" s="133">
        <f>VLOOKUP(G2495,'packing mapping'!A:B,2,0)</f>
        <v>4</v>
      </c>
      <c r="I2495" s="137">
        <v>1258840</v>
      </c>
      <c r="J2495" s="132">
        <f t="shared" si="76"/>
        <v>314710</v>
      </c>
    </row>
    <row r="2496" spans="1:10">
      <c r="A2496" s="115" t="s">
        <v>263</v>
      </c>
      <c r="B2496" s="115" t="s">
        <v>264</v>
      </c>
      <c r="C2496" s="115" t="s">
        <v>1466</v>
      </c>
      <c r="D2496" s="115" t="s">
        <v>1467</v>
      </c>
      <c r="E2496" s="133" t="str">
        <f t="shared" si="77"/>
        <v>1200000087PCA-31100 BLUE OR 50 PASTE VN</v>
      </c>
      <c r="F2496" s="133" t="s">
        <v>3179</v>
      </c>
      <c r="G2496" s="133" t="s">
        <v>3883</v>
      </c>
      <c r="H2496" s="133">
        <f>VLOOKUP(G2496,'packing mapping'!A:B,2,0)</f>
        <v>4</v>
      </c>
      <c r="I2496" s="137">
        <v>1258840</v>
      </c>
      <c r="J2496" s="132">
        <f t="shared" si="76"/>
        <v>314710</v>
      </c>
    </row>
    <row r="2497" spans="1:10">
      <c r="A2497" s="115" t="s">
        <v>263</v>
      </c>
      <c r="B2497" s="115" t="s">
        <v>264</v>
      </c>
      <c r="C2497" s="115" t="s">
        <v>2754</v>
      </c>
      <c r="D2497" s="115" t="s">
        <v>2755</v>
      </c>
      <c r="E2497" s="133" t="str">
        <f t="shared" si="77"/>
        <v>1200000087PCA-31100 BROWN PASTE VN</v>
      </c>
      <c r="F2497" s="133" t="s">
        <v>3749</v>
      </c>
      <c r="G2497" s="133" t="s">
        <v>3883</v>
      </c>
      <c r="H2497" s="133">
        <f>VLOOKUP(G2497,'packing mapping'!A:B,2,0)</f>
        <v>4</v>
      </c>
      <c r="I2497" s="137">
        <v>598960</v>
      </c>
      <c r="J2497" s="132">
        <f t="shared" si="76"/>
        <v>149740</v>
      </c>
    </row>
    <row r="2498" spans="1:10">
      <c r="A2498" s="115" t="s">
        <v>263</v>
      </c>
      <c r="B2498" s="115" t="s">
        <v>264</v>
      </c>
      <c r="C2498" s="115" t="s">
        <v>1374</v>
      </c>
      <c r="D2498" s="115" t="s">
        <v>1375</v>
      </c>
      <c r="E2498" s="133" t="str">
        <f t="shared" si="77"/>
        <v>1200000087PCA-31100 RED OB 35 PASTE VN</v>
      </c>
      <c r="F2498" s="133" t="s">
        <v>3137</v>
      </c>
      <c r="G2498" s="133" t="s">
        <v>3883</v>
      </c>
      <c r="H2498" s="133">
        <f>VLOOKUP(G2498,'packing mapping'!A:B,2,0)</f>
        <v>4</v>
      </c>
      <c r="I2498" s="137">
        <v>1958520</v>
      </c>
      <c r="J2498" s="132">
        <f t="shared" ref="J2498:J2561" si="78">I2498/H2498</f>
        <v>489630</v>
      </c>
    </row>
    <row r="2499" spans="1:10">
      <c r="A2499" s="115" t="s">
        <v>263</v>
      </c>
      <c r="B2499" s="115" t="s">
        <v>264</v>
      </c>
      <c r="C2499" s="115" t="s">
        <v>2594</v>
      </c>
      <c r="D2499" s="115" t="s">
        <v>2595</v>
      </c>
      <c r="E2499" s="133" t="str">
        <f t="shared" ref="E2499:E2562" si="79">A2499&amp;F2499</f>
        <v>1200000087PCA-31100 RX C50 BLACK VN</v>
      </c>
      <c r="F2499" s="133" t="s">
        <v>3530</v>
      </c>
      <c r="G2499" s="133" t="s">
        <v>3883</v>
      </c>
      <c r="H2499" s="133">
        <f>VLOOKUP(G2499,'packing mapping'!A:B,2,0)</f>
        <v>4</v>
      </c>
      <c r="I2499" s="137">
        <v>880960</v>
      </c>
      <c r="J2499" s="132">
        <f t="shared" si="78"/>
        <v>220240</v>
      </c>
    </row>
    <row r="2500" spans="1:10">
      <c r="A2500" s="115" t="s">
        <v>263</v>
      </c>
      <c r="B2500" s="115" t="s">
        <v>264</v>
      </c>
      <c r="C2500" s="115" t="s">
        <v>1856</v>
      </c>
      <c r="D2500" s="115" t="s">
        <v>1857</v>
      </c>
      <c r="E2500" s="133" t="str">
        <f t="shared" si="79"/>
        <v>1200000087PCA-31100 VIOLET OB PASTE VN</v>
      </c>
      <c r="F2500" s="133" t="s">
        <v>3351</v>
      </c>
      <c r="G2500" s="133" t="s">
        <v>3883</v>
      </c>
      <c r="H2500" s="133">
        <f>VLOOKUP(G2500,'packing mapping'!A:B,2,0)</f>
        <v>4</v>
      </c>
      <c r="I2500" s="137">
        <v>1788200</v>
      </c>
      <c r="J2500" s="132">
        <f t="shared" si="78"/>
        <v>447050</v>
      </c>
    </row>
    <row r="2501" spans="1:10">
      <c r="A2501" s="115" t="s">
        <v>263</v>
      </c>
      <c r="B2501" s="115" t="s">
        <v>264</v>
      </c>
      <c r="C2501" s="115" t="s">
        <v>1468</v>
      </c>
      <c r="D2501" s="115" t="s">
        <v>1469</v>
      </c>
      <c r="E2501" s="133" t="str">
        <f t="shared" si="79"/>
        <v>1200000087PCA-31100 YELLOW OG 16 PASTE VN</v>
      </c>
      <c r="F2501" s="133" t="s">
        <v>3180</v>
      </c>
      <c r="G2501" s="133" t="s">
        <v>3883</v>
      </c>
      <c r="H2501" s="133">
        <f>VLOOKUP(G2501,'packing mapping'!A:B,2,0)</f>
        <v>4</v>
      </c>
      <c r="I2501" s="137">
        <v>2259040</v>
      </c>
      <c r="J2501" s="132">
        <f t="shared" si="78"/>
        <v>564760</v>
      </c>
    </row>
    <row r="2502" spans="1:10">
      <c r="A2502" s="115" t="s">
        <v>263</v>
      </c>
      <c r="B2502" s="115" t="s">
        <v>264</v>
      </c>
      <c r="C2502" s="115" t="s">
        <v>1522</v>
      </c>
      <c r="D2502" s="115" t="s">
        <v>1523</v>
      </c>
      <c r="E2502" s="133" t="str">
        <f t="shared" si="79"/>
        <v>1200000087PCA-31102 BLACK OB PASTE</v>
      </c>
      <c r="F2502" s="133" t="s">
        <v>3201</v>
      </c>
      <c r="G2502" s="133" t="s">
        <v>3883</v>
      </c>
      <c r="H2502" s="133">
        <f>VLOOKUP(G2502,'packing mapping'!A:B,2,0)</f>
        <v>4</v>
      </c>
      <c r="I2502" s="137">
        <v>793160</v>
      </c>
      <c r="J2502" s="132">
        <f t="shared" si="78"/>
        <v>198290</v>
      </c>
    </row>
    <row r="2503" spans="1:10">
      <c r="A2503" s="115" t="s">
        <v>263</v>
      </c>
      <c r="B2503" s="115" t="s">
        <v>264</v>
      </c>
      <c r="C2503" s="115" t="s">
        <v>1524</v>
      </c>
      <c r="D2503" s="115" t="s">
        <v>1525</v>
      </c>
      <c r="E2503" s="133" t="str">
        <f t="shared" si="79"/>
        <v>1200000087PCA-31102 OXIDE RED 45 PASTE</v>
      </c>
      <c r="F2503" s="133" t="s">
        <v>3202</v>
      </c>
      <c r="G2503" s="133" t="s">
        <v>3883</v>
      </c>
      <c r="H2503" s="133">
        <f>VLOOKUP(G2503,'packing mapping'!A:B,2,0)</f>
        <v>4</v>
      </c>
      <c r="I2503" s="137">
        <v>818280</v>
      </c>
      <c r="J2503" s="132">
        <f t="shared" si="78"/>
        <v>204570</v>
      </c>
    </row>
    <row r="2504" spans="1:10">
      <c r="A2504" s="115" t="s">
        <v>263</v>
      </c>
      <c r="B2504" s="115" t="s">
        <v>264</v>
      </c>
      <c r="C2504" s="115" t="s">
        <v>1526</v>
      </c>
      <c r="D2504" s="115" t="s">
        <v>1527</v>
      </c>
      <c r="E2504" s="133" t="str">
        <f t="shared" si="79"/>
        <v>1200000087PCA-31102 YELLOW OKER 13 PASTE</v>
      </c>
      <c r="F2504" s="133" t="s">
        <v>3203</v>
      </c>
      <c r="G2504" s="133" t="s">
        <v>3883</v>
      </c>
      <c r="H2504" s="133">
        <f>VLOOKUP(G2504,'packing mapping'!A:B,2,0)</f>
        <v>4</v>
      </c>
      <c r="I2504" s="137">
        <v>543480</v>
      </c>
      <c r="J2504" s="132">
        <f t="shared" si="78"/>
        <v>135870</v>
      </c>
    </row>
    <row r="2505" spans="1:10">
      <c r="A2505" s="115" t="s">
        <v>263</v>
      </c>
      <c r="B2505" s="115" t="s">
        <v>264</v>
      </c>
      <c r="C2505" s="115" t="s">
        <v>1192</v>
      </c>
      <c r="D2505" s="115" t="s">
        <v>1193</v>
      </c>
      <c r="E2505" s="133" t="str">
        <f t="shared" si="79"/>
        <v>1200000087PCL-31300 BLACK PASTE</v>
      </c>
      <c r="F2505" s="133" t="s">
        <v>3050</v>
      </c>
      <c r="G2505" s="133" t="s">
        <v>3883</v>
      </c>
      <c r="H2505" s="133">
        <f>VLOOKUP(G2505,'packing mapping'!A:B,2,0)</f>
        <v>4</v>
      </c>
      <c r="I2505" s="137">
        <v>1761640</v>
      </c>
      <c r="J2505" s="132">
        <f t="shared" si="78"/>
        <v>440410</v>
      </c>
    </row>
    <row r="2506" spans="1:10">
      <c r="A2506" s="115" t="s">
        <v>263</v>
      </c>
      <c r="B2506" s="115" t="s">
        <v>264</v>
      </c>
      <c r="C2506" s="115" t="s">
        <v>2192</v>
      </c>
      <c r="D2506" s="115" t="s">
        <v>2193</v>
      </c>
      <c r="E2506" s="133" t="str">
        <f t="shared" si="79"/>
        <v>1200000087PCL-31300 BLUE OR PASTE</v>
      </c>
      <c r="F2506" s="133" t="s">
        <v>3510</v>
      </c>
      <c r="G2506" s="133" t="s">
        <v>3883</v>
      </c>
      <c r="H2506" s="133">
        <f>VLOOKUP(G2506,'packing mapping'!A:B,2,0)</f>
        <v>4</v>
      </c>
      <c r="I2506" s="137">
        <v>2433200</v>
      </c>
      <c r="J2506" s="132">
        <f t="shared" si="78"/>
        <v>608300</v>
      </c>
    </row>
    <row r="2507" spans="1:10">
      <c r="A2507" s="115" t="s">
        <v>263</v>
      </c>
      <c r="B2507" s="115" t="s">
        <v>264</v>
      </c>
      <c r="C2507" s="115" t="s">
        <v>1858</v>
      </c>
      <c r="D2507" s="115" t="s">
        <v>1859</v>
      </c>
      <c r="E2507" s="133" t="str">
        <f t="shared" si="79"/>
        <v>1200000087PCL-31300 ORANGE PASTE</v>
      </c>
      <c r="F2507" s="133" t="s">
        <v>3352</v>
      </c>
      <c r="G2507" s="133" t="s">
        <v>3883</v>
      </c>
      <c r="H2507" s="133">
        <f>VLOOKUP(G2507,'packing mapping'!A:B,2,0)</f>
        <v>4</v>
      </c>
      <c r="I2507" s="137">
        <v>1372320</v>
      </c>
      <c r="J2507" s="132">
        <f t="shared" si="78"/>
        <v>343080</v>
      </c>
    </row>
    <row r="2508" spans="1:10">
      <c r="A2508" s="115" t="s">
        <v>263</v>
      </c>
      <c r="B2508" s="115" t="s">
        <v>264</v>
      </c>
      <c r="C2508" s="115" t="s">
        <v>1380</v>
      </c>
      <c r="D2508" s="115" t="s">
        <v>1381</v>
      </c>
      <c r="E2508" s="133" t="str">
        <f t="shared" si="79"/>
        <v>1200000087PCL-31300 OXIDE RED PASTE</v>
      </c>
      <c r="F2508" s="133" t="s">
        <v>3140</v>
      </c>
      <c r="G2508" s="133" t="s">
        <v>3883</v>
      </c>
      <c r="H2508" s="133">
        <f>VLOOKUP(G2508,'packing mapping'!A:B,2,0)</f>
        <v>4</v>
      </c>
      <c r="I2508" s="137">
        <v>767120</v>
      </c>
      <c r="J2508" s="132">
        <f t="shared" si="78"/>
        <v>191780</v>
      </c>
    </row>
    <row r="2509" spans="1:10">
      <c r="A2509" s="115" t="s">
        <v>263</v>
      </c>
      <c r="B2509" s="115" t="s">
        <v>264</v>
      </c>
      <c r="C2509" s="115" t="s">
        <v>1202</v>
      </c>
      <c r="D2509" s="115" t="s">
        <v>1203</v>
      </c>
      <c r="E2509" s="133" t="str">
        <f t="shared" si="79"/>
        <v>1200000087PCL-31300 WHITE PASTE</v>
      </c>
      <c r="F2509" s="133" t="s">
        <v>3055</v>
      </c>
      <c r="G2509" s="133" t="s">
        <v>3883</v>
      </c>
      <c r="H2509" s="133">
        <f>VLOOKUP(G2509,'packing mapping'!A:B,2,0)</f>
        <v>4</v>
      </c>
      <c r="I2509" s="137">
        <v>756680</v>
      </c>
      <c r="J2509" s="132">
        <f t="shared" si="78"/>
        <v>189170</v>
      </c>
    </row>
    <row r="2510" spans="1:10">
      <c r="A2510" s="115" t="s">
        <v>263</v>
      </c>
      <c r="B2510" s="115" t="s">
        <v>264</v>
      </c>
      <c r="C2510" s="115" t="s">
        <v>1204</v>
      </c>
      <c r="D2510" s="115" t="s">
        <v>1205</v>
      </c>
      <c r="E2510" s="133" t="str">
        <f t="shared" si="79"/>
        <v>1200000087PCL-31300 YELLOW OG 16 PASTE</v>
      </c>
      <c r="F2510" s="133" t="s">
        <v>3056</v>
      </c>
      <c r="G2510" s="133" t="s">
        <v>3883</v>
      </c>
      <c r="H2510" s="133">
        <f>VLOOKUP(G2510,'packing mapping'!A:B,2,0)</f>
        <v>4</v>
      </c>
      <c r="I2510" s="137">
        <v>2837000</v>
      </c>
      <c r="J2510" s="132">
        <f t="shared" si="78"/>
        <v>709250</v>
      </c>
    </row>
    <row r="2511" spans="1:10">
      <c r="A2511" s="115" t="s">
        <v>263</v>
      </c>
      <c r="B2511" s="115" t="s">
        <v>264</v>
      </c>
      <c r="C2511" s="115" t="s">
        <v>1206</v>
      </c>
      <c r="D2511" s="115" t="s">
        <v>1207</v>
      </c>
      <c r="E2511" s="133" t="str">
        <f t="shared" si="79"/>
        <v>1200000087PCL-31300 YELLOW OKER PASTE</v>
      </c>
      <c r="F2511" s="133" t="s">
        <v>3057</v>
      </c>
      <c r="G2511" s="133" t="s">
        <v>3883</v>
      </c>
      <c r="H2511" s="133">
        <f>VLOOKUP(G2511,'packing mapping'!A:B,2,0)</f>
        <v>4</v>
      </c>
      <c r="I2511" s="137">
        <v>766200</v>
      </c>
      <c r="J2511" s="132">
        <f t="shared" si="78"/>
        <v>191550</v>
      </c>
    </row>
    <row r="2512" spans="1:10">
      <c r="A2512" s="115" t="s">
        <v>263</v>
      </c>
      <c r="B2512" s="115" t="s">
        <v>264</v>
      </c>
      <c r="C2512" s="115" t="s">
        <v>1866</v>
      </c>
      <c r="D2512" s="115" t="s">
        <v>1867</v>
      </c>
      <c r="E2512" s="133" t="str">
        <f t="shared" si="79"/>
        <v>1200000087PCWB-31600 WHITE PASTE</v>
      </c>
      <c r="F2512" s="133" t="s">
        <v>3356</v>
      </c>
      <c r="G2512" s="133" t="s">
        <v>3883</v>
      </c>
      <c r="H2512" s="133">
        <f>VLOOKUP(G2512,'packing mapping'!A:B,2,0)</f>
        <v>4</v>
      </c>
      <c r="I2512" s="137">
        <v>873760</v>
      </c>
      <c r="J2512" s="132">
        <f t="shared" si="78"/>
        <v>218440</v>
      </c>
    </row>
    <row r="2513" spans="1:10">
      <c r="A2513" s="115" t="s">
        <v>263</v>
      </c>
      <c r="B2513" s="115" t="s">
        <v>264</v>
      </c>
      <c r="C2513" s="115" t="s">
        <v>1870</v>
      </c>
      <c r="D2513" s="115" t="s">
        <v>1871</v>
      </c>
      <c r="E2513" s="133" t="str">
        <f t="shared" si="79"/>
        <v>1200000087PCWB-31601 BLACK OB PASTE</v>
      </c>
      <c r="F2513" s="133" t="s">
        <v>3358</v>
      </c>
      <c r="G2513" s="133" t="s">
        <v>3883</v>
      </c>
      <c r="H2513" s="133">
        <f>VLOOKUP(G2513,'packing mapping'!A:B,2,0)</f>
        <v>4</v>
      </c>
      <c r="I2513" s="137">
        <v>930600</v>
      </c>
      <c r="J2513" s="132">
        <f t="shared" si="78"/>
        <v>232650</v>
      </c>
    </row>
    <row r="2514" spans="1:10">
      <c r="A2514" s="115" t="s">
        <v>263</v>
      </c>
      <c r="B2514" s="115" t="s">
        <v>264</v>
      </c>
      <c r="C2514" s="115" t="s">
        <v>1872</v>
      </c>
      <c r="D2514" s="115" t="s">
        <v>1873</v>
      </c>
      <c r="E2514" s="133" t="str">
        <f t="shared" si="79"/>
        <v>1200000087PCWB-31601 YELLOW 100 OR PASTE</v>
      </c>
      <c r="F2514" s="133" t="s">
        <v>3359</v>
      </c>
      <c r="G2514" s="133" t="s">
        <v>3883</v>
      </c>
      <c r="H2514" s="133">
        <f>VLOOKUP(G2514,'packing mapping'!A:B,2,0)</f>
        <v>4</v>
      </c>
      <c r="I2514" s="137">
        <v>2160240</v>
      </c>
      <c r="J2514" s="132">
        <f t="shared" si="78"/>
        <v>540060</v>
      </c>
    </row>
    <row r="2515" spans="1:10">
      <c r="A2515" s="115" t="s">
        <v>263</v>
      </c>
      <c r="B2515" s="115" t="s">
        <v>264</v>
      </c>
      <c r="C2515" s="115" t="s">
        <v>1208</v>
      </c>
      <c r="D2515" s="115" t="s">
        <v>1209</v>
      </c>
      <c r="E2515" s="133" t="str">
        <f t="shared" si="79"/>
        <v>1200000087PG-13900 WHITE 01 VN</v>
      </c>
      <c r="F2515" s="133" t="s">
        <v>3058</v>
      </c>
      <c r="G2515" s="133" t="s">
        <v>3881</v>
      </c>
      <c r="H2515" s="133">
        <f>VLOOKUP(G2515,'packing mapping'!A:B,2,0)</f>
        <v>20</v>
      </c>
      <c r="I2515" s="137">
        <v>1264000</v>
      </c>
      <c r="J2515" s="132">
        <f t="shared" si="78"/>
        <v>63200</v>
      </c>
    </row>
    <row r="2516" spans="1:10">
      <c r="A2516" s="115" t="s">
        <v>263</v>
      </c>
      <c r="B2516" s="115" t="s">
        <v>264</v>
      </c>
      <c r="C2516" s="115" t="s">
        <v>1538</v>
      </c>
      <c r="D2516" s="115" t="s">
        <v>1539</v>
      </c>
      <c r="E2516" s="133" t="str">
        <f t="shared" si="79"/>
        <v>1200000087PST-12100 C20 WHITE</v>
      </c>
      <c r="F2516" s="133" t="s">
        <v>3209</v>
      </c>
      <c r="G2516" s="133" t="s">
        <v>3883</v>
      </c>
      <c r="H2516" s="133">
        <f>VLOOKUP(G2516,'packing mapping'!A:B,2,0)</f>
        <v>4</v>
      </c>
      <c r="I2516" s="137">
        <v>946760</v>
      </c>
      <c r="J2516" s="132">
        <f t="shared" si="78"/>
        <v>236690</v>
      </c>
    </row>
    <row r="2517" spans="1:10">
      <c r="A2517" s="115" t="s">
        <v>263</v>
      </c>
      <c r="B2517" s="115" t="s">
        <v>264</v>
      </c>
      <c r="C2517" s="115" t="s">
        <v>1386</v>
      </c>
      <c r="D2517" s="115" t="s">
        <v>1387</v>
      </c>
      <c r="E2517" s="133" t="str">
        <f t="shared" si="79"/>
        <v>1200000087PUC-54205 AC WHITE 90 VN</v>
      </c>
      <c r="F2517" s="133" t="s">
        <v>3143</v>
      </c>
      <c r="G2517" s="133" t="s">
        <v>3881</v>
      </c>
      <c r="H2517" s="133">
        <f>VLOOKUP(G2517,'packing mapping'!A:B,2,0)</f>
        <v>20</v>
      </c>
      <c r="I2517" s="137">
        <v>2501800</v>
      </c>
      <c r="J2517" s="132">
        <f t="shared" si="78"/>
        <v>125090</v>
      </c>
    </row>
    <row r="2518" spans="1:10">
      <c r="A2518" s="115" t="s">
        <v>263</v>
      </c>
      <c r="B2518" s="115" t="s">
        <v>264</v>
      </c>
      <c r="C2518" s="115" t="s">
        <v>1714</v>
      </c>
      <c r="D2518" s="115" t="s">
        <v>1715</v>
      </c>
      <c r="E2518" s="133" t="str">
        <f t="shared" si="79"/>
        <v>1200000087PUC-54205 AC WHITE 08 AA VN</v>
      </c>
      <c r="F2518" s="133" t="s">
        <v>3293</v>
      </c>
      <c r="G2518" s="133" t="s">
        <v>3881</v>
      </c>
      <c r="H2518" s="133">
        <f>VLOOKUP(G2518,'packing mapping'!A:B,2,0)</f>
        <v>20</v>
      </c>
      <c r="I2518" s="137">
        <v>2672000</v>
      </c>
      <c r="J2518" s="132">
        <f t="shared" si="78"/>
        <v>133600</v>
      </c>
    </row>
    <row r="2519" spans="1:10">
      <c r="A2519" s="115" t="s">
        <v>263</v>
      </c>
      <c r="B2519" s="115" t="s">
        <v>264</v>
      </c>
      <c r="C2519" s="115" t="s">
        <v>1388</v>
      </c>
      <c r="D2519" s="115" t="s">
        <v>1389</v>
      </c>
      <c r="E2519" s="133" t="str">
        <f t="shared" si="79"/>
        <v>1200000087PUC-54205 AC WHITE 10 VN</v>
      </c>
      <c r="F2519" s="133" t="s">
        <v>3144</v>
      </c>
      <c r="G2519" s="133" t="s">
        <v>3881</v>
      </c>
      <c r="H2519" s="133">
        <f>VLOOKUP(G2519,'packing mapping'!A:B,2,0)</f>
        <v>20</v>
      </c>
      <c r="I2519" s="137">
        <v>2726400</v>
      </c>
      <c r="J2519" s="132">
        <f t="shared" si="78"/>
        <v>136320</v>
      </c>
    </row>
    <row r="2520" spans="1:10">
      <c r="A2520" s="115" t="s">
        <v>263</v>
      </c>
      <c r="B2520" s="115" t="s">
        <v>264</v>
      </c>
      <c r="C2520" s="115" t="s">
        <v>1390</v>
      </c>
      <c r="D2520" s="115" t="s">
        <v>1391</v>
      </c>
      <c r="E2520" s="133" t="str">
        <f t="shared" si="79"/>
        <v>1200000087PUC-54205 AC WHITE 20 VN</v>
      </c>
      <c r="F2520" s="133" t="s">
        <v>3145</v>
      </c>
      <c r="G2520" s="133" t="s">
        <v>3881</v>
      </c>
      <c r="H2520" s="133">
        <f>VLOOKUP(G2520,'packing mapping'!A:B,2,0)</f>
        <v>20</v>
      </c>
      <c r="I2520" s="137">
        <v>2592400</v>
      </c>
      <c r="J2520" s="132">
        <f t="shared" si="78"/>
        <v>129620</v>
      </c>
    </row>
    <row r="2521" spans="1:10">
      <c r="A2521" s="115" t="s">
        <v>263</v>
      </c>
      <c r="B2521" s="115" t="s">
        <v>264</v>
      </c>
      <c r="C2521" s="115" t="s">
        <v>1392</v>
      </c>
      <c r="D2521" s="115" t="s">
        <v>1393</v>
      </c>
      <c r="E2521" s="133" t="str">
        <f t="shared" si="79"/>
        <v>1200000087PUC-54205 AC WHITE 30 VN</v>
      </c>
      <c r="F2521" s="133" t="s">
        <v>3146</v>
      </c>
      <c r="G2521" s="133" t="s">
        <v>3881</v>
      </c>
      <c r="H2521" s="133">
        <f>VLOOKUP(G2521,'packing mapping'!A:B,2,0)</f>
        <v>20</v>
      </c>
      <c r="I2521" s="137">
        <v>2592400</v>
      </c>
      <c r="J2521" s="132">
        <f t="shared" si="78"/>
        <v>129620</v>
      </c>
    </row>
    <row r="2522" spans="1:10">
      <c r="A2522" s="115" t="s">
        <v>263</v>
      </c>
      <c r="B2522" s="115" t="s">
        <v>264</v>
      </c>
      <c r="C2522" s="115" t="s">
        <v>1470</v>
      </c>
      <c r="D2522" s="115" t="s">
        <v>1471</v>
      </c>
      <c r="E2522" s="133" t="str">
        <f t="shared" si="79"/>
        <v>1200000087PUC-54205 AC WHITE 50 VN</v>
      </c>
      <c r="F2522" s="133" t="s">
        <v>3181</v>
      </c>
      <c r="G2522" s="133" t="s">
        <v>3881</v>
      </c>
      <c r="H2522" s="133">
        <f>VLOOKUP(G2522,'packing mapping'!A:B,2,0)</f>
        <v>20</v>
      </c>
      <c r="I2522" s="137">
        <v>2592400</v>
      </c>
      <c r="J2522" s="132">
        <f t="shared" si="78"/>
        <v>129620</v>
      </c>
    </row>
    <row r="2523" spans="1:10">
      <c r="A2523" s="115" t="s">
        <v>263</v>
      </c>
      <c r="B2523" s="115" t="s">
        <v>264</v>
      </c>
      <c r="C2523" s="115" t="s">
        <v>1716</v>
      </c>
      <c r="D2523" s="115" t="s">
        <v>1717</v>
      </c>
      <c r="E2523" s="133" t="str">
        <f t="shared" si="79"/>
        <v>1200000087PUH-56306 LY VN</v>
      </c>
      <c r="F2523" s="133" t="s">
        <v>3059</v>
      </c>
      <c r="G2523" s="133" t="s">
        <v>3888</v>
      </c>
      <c r="H2523" s="133">
        <f>VLOOKUP(G2523,'packing mapping'!A:B,2,0)</f>
        <v>4</v>
      </c>
      <c r="I2523" s="137">
        <v>670680</v>
      </c>
      <c r="J2523" s="132">
        <f t="shared" si="78"/>
        <v>167670</v>
      </c>
    </row>
    <row r="2524" spans="1:10">
      <c r="A2524" s="115" t="s">
        <v>263</v>
      </c>
      <c r="B2524" s="115" t="s">
        <v>264</v>
      </c>
      <c r="C2524" s="115" t="s">
        <v>1396</v>
      </c>
      <c r="D2524" s="115" t="s">
        <v>1397</v>
      </c>
      <c r="E2524" s="133" t="str">
        <f t="shared" si="79"/>
        <v>1200000087PUL-53306 AC EX CLEAR 10 VN</v>
      </c>
      <c r="F2524" s="133" t="s">
        <v>3148</v>
      </c>
      <c r="G2524" s="133" t="s">
        <v>3879</v>
      </c>
      <c r="H2524" s="133">
        <f>VLOOKUP(G2524,'packing mapping'!A:B,2,0)</f>
        <v>20</v>
      </c>
      <c r="I2524" s="137">
        <v>2696800</v>
      </c>
      <c r="J2524" s="132">
        <f t="shared" si="78"/>
        <v>134840</v>
      </c>
    </row>
    <row r="2525" spans="1:10">
      <c r="A2525" s="115" t="s">
        <v>263</v>
      </c>
      <c r="B2525" s="115" t="s">
        <v>264</v>
      </c>
      <c r="C2525" s="115" t="s">
        <v>1474</v>
      </c>
      <c r="D2525" s="115" t="s">
        <v>1475</v>
      </c>
      <c r="E2525" s="133" t="str">
        <f t="shared" si="79"/>
        <v>1200000087PUL-53306 AC EX CLEAR 30 VN</v>
      </c>
      <c r="F2525" s="133" t="s">
        <v>3183</v>
      </c>
      <c r="G2525" s="133" t="s">
        <v>3879</v>
      </c>
      <c r="H2525" s="133">
        <f>VLOOKUP(G2525,'packing mapping'!A:B,2,0)</f>
        <v>20</v>
      </c>
      <c r="I2525" s="137">
        <v>2746800</v>
      </c>
      <c r="J2525" s="132">
        <f t="shared" si="78"/>
        <v>137340</v>
      </c>
    </row>
    <row r="2526" spans="1:10">
      <c r="A2526" s="115" t="s">
        <v>263</v>
      </c>
      <c r="B2526" s="115" t="s">
        <v>264</v>
      </c>
      <c r="C2526" s="115" t="s">
        <v>1214</v>
      </c>
      <c r="D2526" s="115" t="s">
        <v>1215</v>
      </c>
      <c r="E2526" s="133" t="str">
        <f t="shared" si="79"/>
        <v>1200000087PUL-53306 AC EX CLEAR 50 VN</v>
      </c>
      <c r="F2526" s="133" t="s">
        <v>3061</v>
      </c>
      <c r="G2526" s="133" t="s">
        <v>3879</v>
      </c>
      <c r="H2526" s="133">
        <f>VLOOKUP(G2526,'packing mapping'!A:B,2,0)</f>
        <v>20</v>
      </c>
      <c r="I2526" s="137">
        <v>2746800</v>
      </c>
      <c r="J2526" s="132">
        <f t="shared" si="78"/>
        <v>137340</v>
      </c>
    </row>
    <row r="2527" spans="1:10">
      <c r="A2527" s="115" t="s">
        <v>263</v>
      </c>
      <c r="B2527" s="115" t="s">
        <v>264</v>
      </c>
      <c r="C2527" s="115" t="s">
        <v>1216</v>
      </c>
      <c r="D2527" s="115" t="s">
        <v>1217</v>
      </c>
      <c r="E2527" s="133" t="str">
        <f t="shared" si="79"/>
        <v>1200000087PUL-53306 AC EX CLEAR 90 VN</v>
      </c>
      <c r="F2527" s="133" t="s">
        <v>3062</v>
      </c>
      <c r="G2527" s="133" t="s">
        <v>3879</v>
      </c>
      <c r="H2527" s="133">
        <f>VLOOKUP(G2527,'packing mapping'!A:B,2,0)</f>
        <v>20</v>
      </c>
      <c r="I2527" s="137">
        <v>2297600</v>
      </c>
      <c r="J2527" s="132">
        <f t="shared" si="78"/>
        <v>114880</v>
      </c>
    </row>
    <row r="2528" spans="1:10">
      <c r="A2528" s="115" t="s">
        <v>263</v>
      </c>
      <c r="B2528" s="115" t="s">
        <v>264</v>
      </c>
      <c r="C2528" s="115" t="s">
        <v>1220</v>
      </c>
      <c r="D2528" s="115" t="s">
        <v>1221</v>
      </c>
      <c r="E2528" s="133" t="str">
        <f t="shared" si="79"/>
        <v>1200000087SST-11100 C10 BLACK</v>
      </c>
      <c r="F2528" s="133" t="s">
        <v>3064</v>
      </c>
      <c r="G2528" s="133" t="s">
        <v>3883</v>
      </c>
      <c r="H2528" s="133">
        <f>VLOOKUP(G2528,'packing mapping'!A:B,2,0)</f>
        <v>4</v>
      </c>
      <c r="I2528" s="137">
        <v>975600</v>
      </c>
      <c r="J2528" s="132">
        <f t="shared" si="78"/>
        <v>243900</v>
      </c>
    </row>
    <row r="2529" spans="1:10">
      <c r="A2529" s="115" t="s">
        <v>263</v>
      </c>
      <c r="B2529" s="115" t="s">
        <v>264</v>
      </c>
      <c r="C2529" s="115" t="s">
        <v>1222</v>
      </c>
      <c r="D2529" s="115" t="s">
        <v>1223</v>
      </c>
      <c r="E2529" s="133" t="str">
        <f t="shared" si="79"/>
        <v>1200000087SST-11100 C10 BLUE</v>
      </c>
      <c r="F2529" s="133" t="s">
        <v>3065</v>
      </c>
      <c r="G2529" s="133" t="s">
        <v>3883</v>
      </c>
      <c r="H2529" s="133">
        <f>VLOOKUP(G2529,'packing mapping'!A:B,2,0)</f>
        <v>4</v>
      </c>
      <c r="I2529" s="137">
        <v>1117520</v>
      </c>
      <c r="J2529" s="132">
        <f t="shared" si="78"/>
        <v>279380</v>
      </c>
    </row>
    <row r="2530" spans="1:10">
      <c r="A2530" s="115" t="s">
        <v>263</v>
      </c>
      <c r="B2530" s="115" t="s">
        <v>264</v>
      </c>
      <c r="C2530" s="115" t="s">
        <v>1226</v>
      </c>
      <c r="D2530" s="115" t="s">
        <v>1227</v>
      </c>
      <c r="E2530" s="133" t="str">
        <f t="shared" si="79"/>
        <v>1200000087SST-11100 C10 RED</v>
      </c>
      <c r="F2530" s="133" t="s">
        <v>3067</v>
      </c>
      <c r="G2530" s="133" t="s">
        <v>3883</v>
      </c>
      <c r="H2530" s="133">
        <f>VLOOKUP(G2530,'packing mapping'!A:B,2,0)</f>
        <v>4</v>
      </c>
      <c r="I2530" s="137">
        <v>1089200</v>
      </c>
      <c r="J2530" s="132">
        <f t="shared" si="78"/>
        <v>272300</v>
      </c>
    </row>
    <row r="2531" spans="1:10">
      <c r="A2531" s="115" t="s">
        <v>263</v>
      </c>
      <c r="B2531" s="115" t="s">
        <v>264</v>
      </c>
      <c r="C2531" s="115" t="s">
        <v>1228</v>
      </c>
      <c r="D2531" s="115" t="s">
        <v>1229</v>
      </c>
      <c r="E2531" s="133" t="str">
        <f t="shared" si="79"/>
        <v>1200000087SST-11100 C10 YELLOW</v>
      </c>
      <c r="F2531" s="133" t="s">
        <v>3068</v>
      </c>
      <c r="G2531" s="133" t="s">
        <v>3883</v>
      </c>
      <c r="H2531" s="133">
        <f>VLOOKUP(G2531,'packing mapping'!A:B,2,0)</f>
        <v>4</v>
      </c>
      <c r="I2531" s="137">
        <v>834720</v>
      </c>
      <c r="J2531" s="132">
        <f t="shared" si="78"/>
        <v>208680</v>
      </c>
    </row>
    <row r="2532" spans="1:10">
      <c r="A2532" s="115" t="s">
        <v>263</v>
      </c>
      <c r="B2532" s="115" t="s">
        <v>264</v>
      </c>
      <c r="C2532" s="115" t="s">
        <v>1242</v>
      </c>
      <c r="D2532" s="115" t="s">
        <v>1243</v>
      </c>
      <c r="E2532" s="133" t="str">
        <f t="shared" si="79"/>
        <v>1200000087THPU-71306 ST VN</v>
      </c>
      <c r="F2532" s="133" t="s">
        <v>3039</v>
      </c>
      <c r="G2532" s="133" t="s">
        <v>3884</v>
      </c>
      <c r="H2532" s="133">
        <f>VLOOKUP(G2532,'packing mapping'!A:B,2,0)</f>
        <v>200</v>
      </c>
      <c r="I2532" s="137">
        <v>10160000</v>
      </c>
      <c r="J2532" s="132">
        <f t="shared" si="78"/>
        <v>50800</v>
      </c>
    </row>
    <row r="2533" spans="1:10">
      <c r="A2533" s="115" t="s">
        <v>263</v>
      </c>
      <c r="B2533" s="115" t="s">
        <v>264</v>
      </c>
      <c r="C2533" s="115" t="s">
        <v>1546</v>
      </c>
      <c r="D2533" s="115" t="s">
        <v>1547</v>
      </c>
      <c r="E2533" s="133" t="str">
        <f t="shared" si="79"/>
        <v>1200000087TOL-76301 N CLEAR BASE VN</v>
      </c>
      <c r="F2533" s="133" t="s">
        <v>3213</v>
      </c>
      <c r="G2533" s="133" t="s">
        <v>3880</v>
      </c>
      <c r="H2533" s="133">
        <f>VLOOKUP(G2533,'packing mapping'!A:B,2,0)</f>
        <v>20</v>
      </c>
      <c r="I2533" s="137">
        <v>1233800</v>
      </c>
      <c r="J2533" s="132">
        <f t="shared" si="78"/>
        <v>61690</v>
      </c>
    </row>
    <row r="2534" spans="1:10">
      <c r="A2534" s="115" t="s">
        <v>263</v>
      </c>
      <c r="B2534" s="115" t="s">
        <v>264</v>
      </c>
      <c r="C2534" s="115" t="s">
        <v>2956</v>
      </c>
      <c r="D2534" s="115" t="s">
        <v>2957</v>
      </c>
      <c r="E2534" s="133" t="str">
        <f t="shared" si="79"/>
        <v>1200000087UVSS-40101 VN</v>
      </c>
      <c r="F2534" s="133" t="s">
        <v>3845</v>
      </c>
      <c r="G2534" s="133" t="s">
        <v>3881</v>
      </c>
      <c r="H2534" s="133">
        <f>VLOOKUP(G2534,'packing mapping'!A:B,2,0)</f>
        <v>20</v>
      </c>
      <c r="I2534" s="137">
        <v>2710600</v>
      </c>
      <c r="J2534" s="132">
        <f t="shared" si="78"/>
        <v>135530</v>
      </c>
    </row>
    <row r="2535" spans="1:10">
      <c r="A2535" s="115" t="s">
        <v>263</v>
      </c>
      <c r="B2535" s="115" t="s">
        <v>264</v>
      </c>
      <c r="C2535" s="115" t="s">
        <v>1886</v>
      </c>
      <c r="D2535" s="115" t="s">
        <v>1887</v>
      </c>
      <c r="E2535" s="133" t="str">
        <f t="shared" si="79"/>
        <v>1200000087UVL-50101 CLEAR 10 VN</v>
      </c>
      <c r="F2535" s="133" t="s">
        <v>3365</v>
      </c>
      <c r="G2535" s="133" t="s">
        <v>3881</v>
      </c>
      <c r="H2535" s="133">
        <f>VLOOKUP(G2535,'packing mapping'!A:B,2,0)</f>
        <v>20</v>
      </c>
      <c r="I2535" s="137">
        <v>3292200</v>
      </c>
      <c r="J2535" s="132">
        <f t="shared" si="78"/>
        <v>164610</v>
      </c>
    </row>
    <row r="2536" spans="1:10">
      <c r="A2536" s="115" t="s">
        <v>263</v>
      </c>
      <c r="B2536" s="115" t="s">
        <v>264</v>
      </c>
      <c r="C2536" s="115" t="s">
        <v>2958</v>
      </c>
      <c r="D2536" s="115" t="s">
        <v>2959</v>
      </c>
      <c r="E2536" s="133" t="str">
        <f t="shared" si="79"/>
        <v>1200000087DC-12223 LC RL 20 VL VN</v>
      </c>
      <c r="F2536" s="133" t="s">
        <v>3846</v>
      </c>
      <c r="G2536" s="133" t="s">
        <v>3881</v>
      </c>
      <c r="H2536" s="133">
        <f>VLOOKUP(G2536,'packing mapping'!A:B,2,0)</f>
        <v>20</v>
      </c>
      <c r="I2536" s="137">
        <v>2452400</v>
      </c>
      <c r="J2536" s="132">
        <f t="shared" si="78"/>
        <v>122620</v>
      </c>
    </row>
    <row r="2537" spans="1:10">
      <c r="A2537" s="115" t="s">
        <v>263</v>
      </c>
      <c r="B2537" s="115" t="s">
        <v>264</v>
      </c>
      <c r="C2537" s="115" t="s">
        <v>2960</v>
      </c>
      <c r="D2537" s="115" t="s">
        <v>2961</v>
      </c>
      <c r="E2537" s="133" t="str">
        <f t="shared" si="79"/>
        <v>1200000087DP-12123 LC RL VL VN</v>
      </c>
      <c r="F2537" s="133" t="s">
        <v>3847</v>
      </c>
      <c r="G2537" s="133" t="s">
        <v>3881</v>
      </c>
      <c r="H2537" s="133">
        <f>VLOOKUP(G2537,'packing mapping'!A:B,2,0)</f>
        <v>20</v>
      </c>
      <c r="I2537" s="137">
        <v>2058400</v>
      </c>
      <c r="J2537" s="132">
        <f t="shared" si="78"/>
        <v>102920</v>
      </c>
    </row>
    <row r="2538" spans="1:10">
      <c r="A2538" s="115" t="s">
        <v>263</v>
      </c>
      <c r="B2538" s="115" t="s">
        <v>264</v>
      </c>
      <c r="C2538" s="115" t="s">
        <v>2962</v>
      </c>
      <c r="D2538" s="115" t="s">
        <v>2963</v>
      </c>
      <c r="E2538" s="133" t="str">
        <f t="shared" si="79"/>
        <v>1200000087NCL-11325 LC CLEAR 90 VN</v>
      </c>
      <c r="F2538" s="133" t="s">
        <v>3848</v>
      </c>
      <c r="G2538" s="133" t="s">
        <v>3881</v>
      </c>
      <c r="H2538" s="133">
        <f>VLOOKUP(G2538,'packing mapping'!A:B,2,0)</f>
        <v>20</v>
      </c>
      <c r="I2538" s="137">
        <v>2418000</v>
      </c>
      <c r="J2538" s="132">
        <f t="shared" si="78"/>
        <v>120900</v>
      </c>
    </row>
    <row r="2539" spans="1:10">
      <c r="A2539" s="115" t="s">
        <v>263</v>
      </c>
      <c r="B2539" s="115" t="s">
        <v>264</v>
      </c>
      <c r="C2539" s="115" t="s">
        <v>2964</v>
      </c>
      <c r="D2539" s="115" t="s">
        <v>2965</v>
      </c>
      <c r="E2539" s="133" t="str">
        <f t="shared" si="79"/>
        <v>1200000087NCL-11327 CLEAR 70 VN</v>
      </c>
      <c r="F2539" s="133" t="s">
        <v>3849</v>
      </c>
      <c r="G2539" s="133" t="s">
        <v>3881</v>
      </c>
      <c r="H2539" s="133">
        <f>VLOOKUP(G2539,'packing mapping'!A:B,2,0)</f>
        <v>20</v>
      </c>
      <c r="I2539" s="137">
        <v>1804600</v>
      </c>
      <c r="J2539" s="132">
        <f t="shared" si="78"/>
        <v>90230</v>
      </c>
    </row>
    <row r="2540" spans="1:10">
      <c r="A2540" s="115" t="s">
        <v>263</v>
      </c>
      <c r="B2540" s="115" t="s">
        <v>264</v>
      </c>
      <c r="C2540" s="115" t="s">
        <v>2966</v>
      </c>
      <c r="D2540" s="115" t="s">
        <v>2967</v>
      </c>
      <c r="E2540" s="133" t="str">
        <f t="shared" si="79"/>
        <v>1200000087NCSS-11225 LC VN</v>
      </c>
      <c r="F2540" s="133" t="s">
        <v>3850</v>
      </c>
      <c r="G2540" s="133" t="s">
        <v>3881</v>
      </c>
      <c r="H2540" s="133">
        <f>VLOOKUP(G2540,'packing mapping'!A:B,2,0)</f>
        <v>20</v>
      </c>
      <c r="I2540" s="137">
        <v>2513000</v>
      </c>
      <c r="J2540" s="132">
        <f t="shared" si="78"/>
        <v>125650</v>
      </c>
    </row>
    <row r="2541" spans="1:10">
      <c r="A2541" s="115" t="s">
        <v>263</v>
      </c>
      <c r="B2541" s="115" t="s">
        <v>264</v>
      </c>
      <c r="C2541" s="115" t="s">
        <v>1892</v>
      </c>
      <c r="D2541" s="115" t="s">
        <v>1893</v>
      </c>
      <c r="E2541" s="133" t="str">
        <f t="shared" si="79"/>
        <v>1200000087PUC-52239 WHITE 10 VN</v>
      </c>
      <c r="F2541" s="133" t="s">
        <v>3368</v>
      </c>
      <c r="G2541" s="133" t="s">
        <v>3881</v>
      </c>
      <c r="H2541" s="133">
        <f>VLOOKUP(G2541,'packing mapping'!A:B,2,0)</f>
        <v>20</v>
      </c>
      <c r="I2541" s="137">
        <v>1703600</v>
      </c>
      <c r="J2541" s="132">
        <f t="shared" si="78"/>
        <v>85180</v>
      </c>
    </row>
    <row r="2542" spans="1:10">
      <c r="A2542" s="115" t="s">
        <v>263</v>
      </c>
      <c r="B2542" s="115" t="s">
        <v>264</v>
      </c>
      <c r="C2542" s="115" t="s">
        <v>1796</v>
      </c>
      <c r="D2542" s="115" t="s">
        <v>1797</v>
      </c>
      <c r="E2542" s="133" t="str">
        <f t="shared" si="79"/>
        <v>1200000087PUC-52239 WHITE 20 VN</v>
      </c>
      <c r="F2542" s="133" t="s">
        <v>3323</v>
      </c>
      <c r="G2542" s="133" t="s">
        <v>3881</v>
      </c>
      <c r="H2542" s="133">
        <f>VLOOKUP(G2542,'packing mapping'!A:B,2,0)</f>
        <v>20</v>
      </c>
      <c r="I2542" s="137">
        <v>1703600</v>
      </c>
      <c r="J2542" s="132">
        <f t="shared" si="78"/>
        <v>85180</v>
      </c>
    </row>
    <row r="2543" spans="1:10">
      <c r="A2543" s="115" t="s">
        <v>263</v>
      </c>
      <c r="B2543" s="115" t="s">
        <v>264</v>
      </c>
      <c r="C2543" s="115" t="s">
        <v>1894</v>
      </c>
      <c r="D2543" s="115" t="s">
        <v>1895</v>
      </c>
      <c r="E2543" s="133" t="str">
        <f t="shared" si="79"/>
        <v>1200000087PUC-52239 WHITE 30 VN</v>
      </c>
      <c r="F2543" s="133" t="s">
        <v>3369</v>
      </c>
      <c r="G2543" s="133" t="s">
        <v>3881</v>
      </c>
      <c r="H2543" s="133">
        <f>VLOOKUP(G2543,'packing mapping'!A:B,2,0)</f>
        <v>20</v>
      </c>
      <c r="I2543" s="137">
        <v>1703600</v>
      </c>
      <c r="J2543" s="132">
        <f t="shared" si="78"/>
        <v>85180</v>
      </c>
    </row>
    <row r="2544" spans="1:10">
      <c r="A2544" s="115" t="s">
        <v>263</v>
      </c>
      <c r="B2544" s="115" t="s">
        <v>264</v>
      </c>
      <c r="C2544" s="115" t="s">
        <v>1896</v>
      </c>
      <c r="D2544" s="115" t="s">
        <v>1897</v>
      </c>
      <c r="E2544" s="133" t="str">
        <f t="shared" si="79"/>
        <v>1200000087PUC-52239 WHITE 50 VN</v>
      </c>
      <c r="F2544" s="133" t="s">
        <v>3370</v>
      </c>
      <c r="G2544" s="133" t="s">
        <v>3881</v>
      </c>
      <c r="H2544" s="133">
        <f>VLOOKUP(G2544,'packing mapping'!A:B,2,0)</f>
        <v>20</v>
      </c>
      <c r="I2544" s="137">
        <v>1703600</v>
      </c>
      <c r="J2544" s="132">
        <f t="shared" si="78"/>
        <v>85180</v>
      </c>
    </row>
    <row r="2545" spans="1:10">
      <c r="A2545" s="115" t="s">
        <v>263</v>
      </c>
      <c r="B2545" s="115" t="s">
        <v>264</v>
      </c>
      <c r="C2545" s="115" t="s">
        <v>1898</v>
      </c>
      <c r="D2545" s="115" t="s">
        <v>1899</v>
      </c>
      <c r="E2545" s="133" t="str">
        <f t="shared" si="79"/>
        <v>1200000087PUC-52239 WHITE 90 VN</v>
      </c>
      <c r="F2545" s="133" t="s">
        <v>3371</v>
      </c>
      <c r="G2545" s="133" t="s">
        <v>3881</v>
      </c>
      <c r="H2545" s="133">
        <f>VLOOKUP(G2545,'packing mapping'!A:B,2,0)</f>
        <v>20</v>
      </c>
      <c r="I2545" s="137">
        <v>1542200</v>
      </c>
      <c r="J2545" s="132">
        <f t="shared" si="78"/>
        <v>77110</v>
      </c>
    </row>
    <row r="2546" spans="1:10">
      <c r="A2546" s="115" t="s">
        <v>263</v>
      </c>
      <c r="B2546" s="115" t="s">
        <v>264</v>
      </c>
      <c r="C2546" s="115" t="s">
        <v>1990</v>
      </c>
      <c r="D2546" s="115" t="s">
        <v>1991</v>
      </c>
      <c r="E2546" s="133" t="str">
        <f t="shared" si="79"/>
        <v>1200000087PUH-56135 S VN</v>
      </c>
      <c r="F2546" s="133" t="s">
        <v>3040</v>
      </c>
      <c r="G2546" s="133" t="s">
        <v>3883</v>
      </c>
      <c r="H2546" s="133">
        <f>VLOOKUP(G2546,'packing mapping'!A:B,2,0)</f>
        <v>4</v>
      </c>
      <c r="I2546" s="137">
        <v>449120</v>
      </c>
      <c r="J2546" s="132">
        <f t="shared" si="78"/>
        <v>112280</v>
      </c>
    </row>
    <row r="2547" spans="1:10">
      <c r="A2547" s="115" t="s">
        <v>263</v>
      </c>
      <c r="B2547" s="115" t="s">
        <v>264</v>
      </c>
      <c r="C2547" s="115" t="s">
        <v>2968</v>
      </c>
      <c r="D2547" s="115" t="s">
        <v>2969</v>
      </c>
      <c r="E2547" s="133" t="str">
        <f t="shared" si="79"/>
        <v>1200000087PUH-56139 VN</v>
      </c>
      <c r="F2547" s="133" t="s">
        <v>3041</v>
      </c>
      <c r="G2547" s="133" t="s">
        <v>3883</v>
      </c>
      <c r="H2547" s="133">
        <f>VLOOKUP(G2547,'packing mapping'!A:B,2,0)</f>
        <v>4</v>
      </c>
      <c r="I2547" s="137">
        <v>503480</v>
      </c>
      <c r="J2547" s="132">
        <f t="shared" si="78"/>
        <v>125870</v>
      </c>
    </row>
    <row r="2548" spans="1:10">
      <c r="A2548" s="115" t="s">
        <v>263</v>
      </c>
      <c r="B2548" s="115" t="s">
        <v>264</v>
      </c>
      <c r="C2548" s="115" t="s">
        <v>2970</v>
      </c>
      <c r="D2548" s="115" t="s">
        <v>2971</v>
      </c>
      <c r="E2548" s="133" t="str">
        <f t="shared" si="79"/>
        <v>1200000087PUL-51337 CLEAR 10 VN</v>
      </c>
      <c r="F2548" s="133" t="s">
        <v>3851</v>
      </c>
      <c r="G2548" s="133" t="s">
        <v>3882</v>
      </c>
      <c r="H2548" s="133">
        <f>VLOOKUP(G2548,'packing mapping'!A:B,2,0)</f>
        <v>18</v>
      </c>
      <c r="I2548" s="137">
        <v>1359540</v>
      </c>
      <c r="J2548" s="132">
        <f t="shared" si="78"/>
        <v>75530</v>
      </c>
    </row>
    <row r="2549" spans="1:10">
      <c r="A2549" s="115" t="s">
        <v>263</v>
      </c>
      <c r="B2549" s="115" t="s">
        <v>264</v>
      </c>
      <c r="C2549" s="115" t="s">
        <v>2972</v>
      </c>
      <c r="D2549" s="115" t="s">
        <v>2973</v>
      </c>
      <c r="E2549" s="133" t="str">
        <f t="shared" si="79"/>
        <v>1200000087PUL-51337 CLEAR 20 VN</v>
      </c>
      <c r="F2549" s="133" t="s">
        <v>3852</v>
      </c>
      <c r="G2549" s="133" t="s">
        <v>3882</v>
      </c>
      <c r="H2549" s="133">
        <f>VLOOKUP(G2549,'packing mapping'!A:B,2,0)</f>
        <v>18</v>
      </c>
      <c r="I2549" s="137">
        <v>1318680</v>
      </c>
      <c r="J2549" s="132">
        <f t="shared" si="78"/>
        <v>73260</v>
      </c>
    </row>
    <row r="2550" spans="1:10">
      <c r="A2550" s="115" t="s">
        <v>263</v>
      </c>
      <c r="B2550" s="115" t="s">
        <v>264</v>
      </c>
      <c r="C2550" s="115" t="s">
        <v>2974</v>
      </c>
      <c r="D2550" s="115" t="s">
        <v>2975</v>
      </c>
      <c r="E2550" s="133" t="str">
        <f t="shared" si="79"/>
        <v>1200000087PUL-51337 CLEAR 30 VN</v>
      </c>
      <c r="F2550" s="133" t="s">
        <v>3853</v>
      </c>
      <c r="G2550" s="133" t="s">
        <v>3882</v>
      </c>
      <c r="H2550" s="133">
        <f>VLOOKUP(G2550,'packing mapping'!A:B,2,0)</f>
        <v>18</v>
      </c>
      <c r="I2550" s="137">
        <v>1318680</v>
      </c>
      <c r="J2550" s="132">
        <f t="shared" si="78"/>
        <v>73260</v>
      </c>
    </row>
    <row r="2551" spans="1:10">
      <c r="A2551" s="115" t="s">
        <v>263</v>
      </c>
      <c r="B2551" s="115" t="s">
        <v>264</v>
      </c>
      <c r="C2551" s="115" t="s">
        <v>2976</v>
      </c>
      <c r="D2551" s="115" t="s">
        <v>2977</v>
      </c>
      <c r="E2551" s="133" t="str">
        <f t="shared" si="79"/>
        <v>1200000087PUL-51337 CLEAR 50 VN</v>
      </c>
      <c r="F2551" s="133" t="s">
        <v>3854</v>
      </c>
      <c r="G2551" s="133" t="s">
        <v>3882</v>
      </c>
      <c r="H2551" s="133">
        <f>VLOOKUP(G2551,'packing mapping'!A:B,2,0)</f>
        <v>18</v>
      </c>
      <c r="I2551" s="137">
        <v>1318680</v>
      </c>
      <c r="J2551" s="132">
        <f t="shared" si="78"/>
        <v>73260</v>
      </c>
    </row>
    <row r="2552" spans="1:10">
      <c r="A2552" s="115" t="s">
        <v>263</v>
      </c>
      <c r="B2552" s="115" t="s">
        <v>264</v>
      </c>
      <c r="C2552" s="115" t="s">
        <v>2978</v>
      </c>
      <c r="D2552" s="115" t="s">
        <v>2979</v>
      </c>
      <c r="E2552" s="133" t="str">
        <f t="shared" si="79"/>
        <v>1200000087PUL-51337 CLEAR 90 VN</v>
      </c>
      <c r="F2552" s="133" t="s">
        <v>3855</v>
      </c>
      <c r="G2552" s="133" t="s">
        <v>3882</v>
      </c>
      <c r="H2552" s="133">
        <f>VLOOKUP(G2552,'packing mapping'!A:B,2,0)</f>
        <v>18</v>
      </c>
      <c r="I2552" s="137">
        <v>1318680</v>
      </c>
      <c r="J2552" s="132">
        <f t="shared" si="78"/>
        <v>73260</v>
      </c>
    </row>
    <row r="2553" spans="1:10">
      <c r="A2553" s="115" t="s">
        <v>263</v>
      </c>
      <c r="B2553" s="115" t="s">
        <v>264</v>
      </c>
      <c r="C2553" s="115" t="s">
        <v>1292</v>
      </c>
      <c r="D2553" s="115" t="s">
        <v>1293</v>
      </c>
      <c r="E2553" s="133" t="str">
        <f t="shared" si="79"/>
        <v>1200000087PUP-52135 WHITE VN</v>
      </c>
      <c r="F2553" s="133" t="s">
        <v>3098</v>
      </c>
      <c r="G2553" s="133" t="s">
        <v>3881</v>
      </c>
      <c r="H2553" s="133">
        <f>VLOOKUP(G2553,'packing mapping'!A:B,2,0)</f>
        <v>20</v>
      </c>
      <c r="I2553" s="137">
        <v>1601200</v>
      </c>
      <c r="J2553" s="132">
        <f t="shared" si="78"/>
        <v>80060</v>
      </c>
    </row>
    <row r="2554" spans="1:10">
      <c r="A2554" s="115" t="s">
        <v>263</v>
      </c>
      <c r="B2554" s="115" t="s">
        <v>264</v>
      </c>
      <c r="C2554" s="115" t="s">
        <v>1412</v>
      </c>
      <c r="D2554" s="115" t="s">
        <v>1413</v>
      </c>
      <c r="E2554" s="133" t="str">
        <f t="shared" si="79"/>
        <v>1200000087PUSS-51233 VN</v>
      </c>
      <c r="F2554" s="133" t="s">
        <v>3155</v>
      </c>
      <c r="G2554" s="133" t="s">
        <v>3881</v>
      </c>
      <c r="H2554" s="133">
        <f>VLOOKUP(G2554,'packing mapping'!A:B,2,0)</f>
        <v>20</v>
      </c>
      <c r="I2554" s="137">
        <v>1535800</v>
      </c>
      <c r="J2554" s="132">
        <f t="shared" si="78"/>
        <v>76790</v>
      </c>
    </row>
    <row r="2555" spans="1:10">
      <c r="A2555" s="115" t="s">
        <v>263</v>
      </c>
      <c r="B2555" s="115" t="s">
        <v>264</v>
      </c>
      <c r="C2555" s="115" t="s">
        <v>1176</v>
      </c>
      <c r="D2555" s="115" t="s">
        <v>1177</v>
      </c>
      <c r="E2555" s="133" t="str">
        <f t="shared" si="79"/>
        <v>1200000087PUSS-51235 VN</v>
      </c>
      <c r="F2555" s="133" t="s">
        <v>3042</v>
      </c>
      <c r="G2555" s="133" t="s">
        <v>3881</v>
      </c>
      <c r="H2555" s="133">
        <f>VLOOKUP(G2555,'packing mapping'!A:B,2,0)</f>
        <v>20</v>
      </c>
      <c r="I2555" s="137">
        <v>1145600</v>
      </c>
      <c r="J2555" s="132">
        <f t="shared" si="78"/>
        <v>57280</v>
      </c>
    </row>
    <row r="2556" spans="1:10">
      <c r="A2556" s="115" t="s">
        <v>263</v>
      </c>
      <c r="B2556" s="115" t="s">
        <v>264</v>
      </c>
      <c r="C2556" s="115" t="s">
        <v>2980</v>
      </c>
      <c r="D2556" s="115" t="s">
        <v>2981</v>
      </c>
      <c r="E2556" s="133" t="str">
        <f t="shared" si="79"/>
        <v>1200000087PUSS-51237 VN</v>
      </c>
      <c r="F2556" s="133" t="s">
        <v>3856</v>
      </c>
      <c r="G2556" s="133" t="s">
        <v>3882</v>
      </c>
      <c r="H2556" s="133">
        <f>VLOOKUP(G2556,'packing mapping'!A:B,2,0)</f>
        <v>18</v>
      </c>
      <c r="I2556" s="137">
        <v>1149300</v>
      </c>
      <c r="J2556" s="132">
        <f t="shared" si="78"/>
        <v>63850</v>
      </c>
    </row>
    <row r="2557" spans="1:10">
      <c r="A2557" s="115" t="s">
        <v>263</v>
      </c>
      <c r="B2557" s="115" t="s">
        <v>264</v>
      </c>
      <c r="C2557" s="115" t="s">
        <v>2042</v>
      </c>
      <c r="D2557" s="115" t="s">
        <v>2043</v>
      </c>
      <c r="E2557" s="133" t="str">
        <f t="shared" si="79"/>
        <v>1200000087RD-74106 VN</v>
      </c>
      <c r="F2557" s="133" t="s">
        <v>3099</v>
      </c>
      <c r="G2557" s="133" t="s">
        <v>3884</v>
      </c>
      <c r="H2557" s="133">
        <f>VLOOKUP(G2557,'packing mapping'!A:B,2,0)</f>
        <v>200</v>
      </c>
      <c r="I2557" s="137">
        <v>9266000</v>
      </c>
      <c r="J2557" s="132">
        <f t="shared" si="78"/>
        <v>46330</v>
      </c>
    </row>
    <row r="2558" spans="1:10">
      <c r="A2558" s="115" t="s">
        <v>263</v>
      </c>
      <c r="B2558" s="115" t="s">
        <v>264</v>
      </c>
      <c r="C2558" s="115" t="s">
        <v>2982</v>
      </c>
      <c r="D2558" s="115" t="s">
        <v>2983</v>
      </c>
      <c r="E2558" s="133" t="str">
        <f t="shared" si="79"/>
        <v>1200000087WBG-66900 IBW</v>
      </c>
      <c r="F2558" s="133" t="s">
        <v>3857</v>
      </c>
      <c r="G2558" s="133" t="s">
        <v>3889</v>
      </c>
      <c r="H2558" s="133">
        <f>VLOOKUP(G2558,'packing mapping'!A:B,2,0)</f>
        <v>200</v>
      </c>
      <c r="I2558" s="137">
        <v>8452000</v>
      </c>
      <c r="J2558" s="132">
        <f t="shared" si="78"/>
        <v>42260</v>
      </c>
    </row>
    <row r="2559" spans="1:10">
      <c r="A2559" s="115" t="s">
        <v>263</v>
      </c>
      <c r="B2559" s="115" t="s">
        <v>264</v>
      </c>
      <c r="C2559" s="115" t="s">
        <v>1298</v>
      </c>
      <c r="D2559" s="115" t="s">
        <v>1299</v>
      </c>
      <c r="E2559" s="133" t="str">
        <f t="shared" si="79"/>
        <v>1200000087PUP-52122 PUTTY VN</v>
      </c>
      <c r="F2559" s="133" t="s">
        <v>3100</v>
      </c>
      <c r="G2559" s="133" t="s">
        <v>3883</v>
      </c>
      <c r="H2559" s="133">
        <f>VLOOKUP(G2559,'packing mapping'!A:B,2,0)</f>
        <v>4</v>
      </c>
      <c r="I2559" s="137">
        <v>245440</v>
      </c>
      <c r="J2559" s="132">
        <f t="shared" si="78"/>
        <v>61360</v>
      </c>
    </row>
    <row r="2560" spans="1:10">
      <c r="A2560" s="115" t="s">
        <v>263</v>
      </c>
      <c r="B2560" s="115" t="s">
        <v>264</v>
      </c>
      <c r="C2560" s="115" t="s">
        <v>1304</v>
      </c>
      <c r="D2560" s="115" t="s">
        <v>1305</v>
      </c>
      <c r="E2560" s="133" t="str">
        <f t="shared" si="79"/>
        <v>1200000087GZ-12700 N BLACK VN</v>
      </c>
      <c r="F2560" s="133" t="s">
        <v>3103</v>
      </c>
      <c r="G2560" s="133" t="s">
        <v>3883</v>
      </c>
      <c r="H2560" s="133">
        <f>VLOOKUP(G2560,'packing mapping'!A:B,2,0)</f>
        <v>4</v>
      </c>
      <c r="I2560" s="137">
        <v>897120</v>
      </c>
      <c r="J2560" s="132">
        <f t="shared" si="78"/>
        <v>224280</v>
      </c>
    </row>
    <row r="2561" spans="1:10">
      <c r="A2561" s="115" t="s">
        <v>263</v>
      </c>
      <c r="B2561" s="115" t="s">
        <v>264</v>
      </c>
      <c r="C2561" s="115" t="s">
        <v>1306</v>
      </c>
      <c r="D2561" s="115" t="s">
        <v>1307</v>
      </c>
      <c r="E2561" s="133" t="str">
        <f t="shared" si="79"/>
        <v>1200000087GZ-12700 N RED VN</v>
      </c>
      <c r="F2561" s="133" t="s">
        <v>3104</v>
      </c>
      <c r="G2561" s="133" t="s">
        <v>3883</v>
      </c>
      <c r="H2561" s="133">
        <f>VLOOKUP(G2561,'packing mapping'!A:B,2,0)</f>
        <v>4</v>
      </c>
      <c r="I2561" s="137">
        <v>949520</v>
      </c>
      <c r="J2561" s="132">
        <f t="shared" si="78"/>
        <v>237380</v>
      </c>
    </row>
    <row r="2562" spans="1:10">
      <c r="A2562" s="115" t="s">
        <v>263</v>
      </c>
      <c r="B2562" s="115" t="s">
        <v>264</v>
      </c>
      <c r="C2562" s="115" t="s">
        <v>1308</v>
      </c>
      <c r="D2562" s="115" t="s">
        <v>1309</v>
      </c>
      <c r="E2562" s="133" t="str">
        <f t="shared" si="79"/>
        <v>1200000087GZ-12700 N YELLOW</v>
      </c>
      <c r="F2562" s="133" t="s">
        <v>3105</v>
      </c>
      <c r="G2562" s="133" t="s">
        <v>3883</v>
      </c>
      <c r="H2562" s="133">
        <f>VLOOKUP(G2562,'packing mapping'!A:B,2,0)</f>
        <v>4</v>
      </c>
      <c r="I2562" s="137">
        <v>937200</v>
      </c>
      <c r="J2562" s="132">
        <f t="shared" ref="J2562:J2625" si="80">I2562/H2562</f>
        <v>234300</v>
      </c>
    </row>
    <row r="2563" spans="1:10">
      <c r="A2563" s="115" t="s">
        <v>263</v>
      </c>
      <c r="B2563" s="115" t="s">
        <v>264</v>
      </c>
      <c r="C2563" s="115" t="s">
        <v>2894</v>
      </c>
      <c r="D2563" s="115" t="s">
        <v>2895</v>
      </c>
      <c r="E2563" s="133" t="str">
        <f t="shared" ref="E2563:E2626" si="81">A2563&amp;F2563</f>
        <v>1200000087PUP-52122 PUTTY</v>
      </c>
      <c r="F2563" s="133" t="s">
        <v>3818</v>
      </c>
      <c r="G2563" s="133" t="s">
        <v>3883</v>
      </c>
      <c r="H2563" s="133">
        <f>VLOOKUP(G2563,'packing mapping'!A:B,2,0)</f>
        <v>4</v>
      </c>
      <c r="I2563" s="137">
        <v>310760</v>
      </c>
      <c r="J2563" s="132">
        <f t="shared" si="80"/>
        <v>77690</v>
      </c>
    </row>
    <row r="2564" spans="1:10">
      <c r="A2564" s="115" t="s">
        <v>263</v>
      </c>
      <c r="B2564" s="115" t="s">
        <v>264</v>
      </c>
      <c r="C2564" s="115" t="s">
        <v>1798</v>
      </c>
      <c r="D2564" s="115" t="s">
        <v>1799</v>
      </c>
      <c r="E2564" s="133" t="str">
        <f t="shared" si="81"/>
        <v>1200000087GZ-12700 N VAN DYKE BROWN VN</v>
      </c>
      <c r="F2564" s="133" t="s">
        <v>3324</v>
      </c>
      <c r="G2564" s="133" t="s">
        <v>3883</v>
      </c>
      <c r="H2564" s="133">
        <f>VLOOKUP(G2564,'packing mapping'!A:B,2,0)</f>
        <v>4</v>
      </c>
      <c r="I2564" s="137">
        <v>745160</v>
      </c>
      <c r="J2564" s="132">
        <f t="shared" si="80"/>
        <v>186290</v>
      </c>
    </row>
    <row r="2565" spans="1:10">
      <c r="A2565" s="115" t="s">
        <v>263</v>
      </c>
      <c r="B2565" s="115" t="s">
        <v>264</v>
      </c>
      <c r="C2565" s="115" t="s">
        <v>2984</v>
      </c>
      <c r="D2565" s="115" t="s">
        <v>2985</v>
      </c>
      <c r="E2565" s="133" t="str">
        <f t="shared" si="81"/>
        <v>1200000087DC-12225 LC WHITE 90 VN</v>
      </c>
      <c r="F2565" s="133" t="s">
        <v>3858</v>
      </c>
      <c r="G2565" s="133" t="s">
        <v>3882</v>
      </c>
      <c r="H2565" s="133">
        <f>VLOOKUP(G2565,'packing mapping'!A:B,2,0)</f>
        <v>18</v>
      </c>
      <c r="I2565" s="137">
        <v>1817820</v>
      </c>
      <c r="J2565" s="132">
        <f t="shared" si="80"/>
        <v>100990</v>
      </c>
    </row>
    <row r="2566" spans="1:10">
      <c r="A2566" s="115" t="s">
        <v>263</v>
      </c>
      <c r="B2566" s="115" t="s">
        <v>264</v>
      </c>
      <c r="C2566" s="115" t="s">
        <v>2986</v>
      </c>
      <c r="D2566" s="115" t="s">
        <v>2987</v>
      </c>
      <c r="E2566" s="133" t="str">
        <f t="shared" si="81"/>
        <v>1200000087UVSS-40102 VN</v>
      </c>
      <c r="F2566" s="133" t="s">
        <v>3859</v>
      </c>
      <c r="G2566" s="133" t="s">
        <v>3881</v>
      </c>
      <c r="H2566" s="133">
        <f>VLOOKUP(G2566,'packing mapping'!A:B,2,0)</f>
        <v>20</v>
      </c>
      <c r="I2566" s="137">
        <v>2092000</v>
      </c>
      <c r="J2566" s="132">
        <f t="shared" si="80"/>
        <v>104600</v>
      </c>
    </row>
    <row r="2567" spans="1:10">
      <c r="A2567" s="115" t="s">
        <v>263</v>
      </c>
      <c r="B2567" s="115" t="s">
        <v>264</v>
      </c>
      <c r="C2567" s="115" t="s">
        <v>1804</v>
      </c>
      <c r="D2567" s="115" t="s">
        <v>1805</v>
      </c>
      <c r="E2567" s="133" t="str">
        <f t="shared" si="81"/>
        <v>1200000087THC-73100 102 VN</v>
      </c>
      <c r="F2567" s="133" t="s">
        <v>3111</v>
      </c>
      <c r="G2567" s="133" t="s">
        <v>3899</v>
      </c>
      <c r="H2567" s="133">
        <f>VLOOKUP(G2567,'packing mapping'!A:B,2,0)</f>
        <v>160</v>
      </c>
      <c r="I2567" s="137">
        <v>8947200</v>
      </c>
      <c r="J2567" s="132">
        <f t="shared" si="80"/>
        <v>55920</v>
      </c>
    </row>
    <row r="2568" spans="1:10">
      <c r="A2568" s="115" t="s">
        <v>263</v>
      </c>
      <c r="B2568" s="115" t="s">
        <v>264</v>
      </c>
      <c r="C2568" s="115" t="s">
        <v>2988</v>
      </c>
      <c r="D2568" s="115" t="s">
        <v>2989</v>
      </c>
      <c r="E2568" s="133" t="str">
        <f t="shared" si="81"/>
        <v>1200000087WBG-66900 IBW</v>
      </c>
      <c r="F2568" s="133" t="s">
        <v>3857</v>
      </c>
      <c r="G2568" s="133" t="s">
        <v>3911</v>
      </c>
      <c r="H2568" s="133">
        <f>VLOOKUP(G2568,'packing mapping'!A:B,2,0)</f>
        <v>210</v>
      </c>
      <c r="I2568" s="137">
        <v>8874600</v>
      </c>
      <c r="J2568" s="132">
        <f t="shared" si="80"/>
        <v>42260</v>
      </c>
    </row>
    <row r="2569" spans="1:10">
      <c r="A2569" s="115" t="s">
        <v>263</v>
      </c>
      <c r="B2569" s="115" t="s">
        <v>264</v>
      </c>
      <c r="C2569" s="115" t="s">
        <v>2990</v>
      </c>
      <c r="D2569" s="115" t="s">
        <v>2991</v>
      </c>
      <c r="E2569" s="133" t="str">
        <f t="shared" si="81"/>
        <v>1200000087PCA-31100 ORANGE GG PASTE VN</v>
      </c>
      <c r="F2569" s="133" t="s">
        <v>3860</v>
      </c>
      <c r="G2569" s="133" t="s">
        <v>3883</v>
      </c>
      <c r="H2569" s="133">
        <f>VLOOKUP(G2569,'packing mapping'!A:B,2,0)</f>
        <v>4</v>
      </c>
      <c r="I2569" s="137">
        <v>1372320</v>
      </c>
      <c r="J2569" s="132">
        <f t="shared" si="80"/>
        <v>343080</v>
      </c>
    </row>
    <row r="2570" spans="1:10">
      <c r="A2570" s="115" t="s">
        <v>263</v>
      </c>
      <c r="B2570" s="115" t="s">
        <v>264</v>
      </c>
      <c r="C2570" s="115" t="s">
        <v>1840</v>
      </c>
      <c r="D2570" s="115" t="s">
        <v>1841</v>
      </c>
      <c r="E2570" s="133" t="str">
        <f t="shared" si="81"/>
        <v>1200000087THGZ-72200 D40 VN</v>
      </c>
      <c r="F2570" s="133" t="s">
        <v>3344</v>
      </c>
      <c r="G2570" s="133" t="s">
        <v>3895</v>
      </c>
      <c r="H2570" s="133">
        <f>VLOOKUP(G2570,'packing mapping'!A:B,2,0)</f>
        <v>16</v>
      </c>
      <c r="I2570" s="137">
        <v>1558400</v>
      </c>
      <c r="J2570" s="132">
        <f t="shared" si="80"/>
        <v>97400</v>
      </c>
    </row>
    <row r="2571" spans="1:10">
      <c r="A2571" s="115" t="s">
        <v>1011</v>
      </c>
      <c r="B2571" s="115" t="s">
        <v>2992</v>
      </c>
      <c r="C2571" s="115" t="s">
        <v>2993</v>
      </c>
      <c r="D2571" s="115" t="s">
        <v>2994</v>
      </c>
      <c r="E2571" s="133" t="str">
        <f t="shared" si="81"/>
        <v>1200001051UVL-50101 CLEAR 90 VN</v>
      </c>
      <c r="F2571" s="133" t="s">
        <v>3861</v>
      </c>
      <c r="G2571" s="133" t="s">
        <v>3881</v>
      </c>
      <c r="H2571" s="133">
        <f>VLOOKUP(G2571,'packing mapping'!A:B,2,0)</f>
        <v>20</v>
      </c>
      <c r="I2571" s="137">
        <v>3318640</v>
      </c>
      <c r="J2571" s="132">
        <f t="shared" si="80"/>
        <v>165932</v>
      </c>
    </row>
    <row r="2572" spans="1:10">
      <c r="A2572" s="115" t="s">
        <v>1011</v>
      </c>
      <c r="B2572" s="115" t="s">
        <v>2992</v>
      </c>
      <c r="C2572" s="115" t="s">
        <v>2706</v>
      </c>
      <c r="D2572" s="115" t="s">
        <v>2707</v>
      </c>
      <c r="E2572" s="133" t="str">
        <f t="shared" si="81"/>
        <v>1200001051UVL-50101 CLEAR 60 VN</v>
      </c>
      <c r="F2572" s="133" t="s">
        <v>3726</v>
      </c>
      <c r="G2572" s="133" t="s">
        <v>3881</v>
      </c>
      <c r="H2572" s="133">
        <f>VLOOKUP(G2572,'packing mapping'!A:B,2,0)</f>
        <v>20</v>
      </c>
      <c r="I2572" s="137">
        <v>3526080</v>
      </c>
      <c r="J2572" s="132">
        <f t="shared" si="80"/>
        <v>176304</v>
      </c>
    </row>
    <row r="2573" spans="1:10">
      <c r="A2573" s="115" t="s">
        <v>1011</v>
      </c>
      <c r="B2573" s="115" t="s">
        <v>2992</v>
      </c>
      <c r="C2573" s="115" t="s">
        <v>2995</v>
      </c>
      <c r="D2573" s="115" t="s">
        <v>2996</v>
      </c>
      <c r="E2573" s="133" t="str">
        <f t="shared" si="81"/>
        <v>1200001051UVL-50101 SR CLEAR 10 VN</v>
      </c>
      <c r="F2573" s="133" t="s">
        <v>3862</v>
      </c>
      <c r="G2573" s="133" t="s">
        <v>3881</v>
      </c>
      <c r="H2573" s="133">
        <f>VLOOKUP(G2573,'packing mapping'!A:B,2,0)</f>
        <v>20</v>
      </c>
      <c r="I2573" s="137">
        <v>5206720</v>
      </c>
      <c r="J2573" s="132">
        <f t="shared" si="80"/>
        <v>260336</v>
      </c>
    </row>
    <row r="2574" spans="1:10">
      <c r="A2574" s="115" t="s">
        <v>1011</v>
      </c>
      <c r="B2574" s="115" t="s">
        <v>2992</v>
      </c>
      <c r="C2574" s="115" t="s">
        <v>2997</v>
      </c>
      <c r="D2574" s="115" t="s">
        <v>2998</v>
      </c>
      <c r="E2574" s="133" t="str">
        <f t="shared" si="81"/>
        <v>1200001051UVL-50101 SR CLEAR 20 VN</v>
      </c>
      <c r="F2574" s="133" t="s">
        <v>3863</v>
      </c>
      <c r="G2574" s="133" t="s">
        <v>3881</v>
      </c>
      <c r="H2574" s="133">
        <f>VLOOKUP(G2574,'packing mapping'!A:B,2,0)</f>
        <v>20</v>
      </c>
      <c r="I2574" s="137">
        <v>4554900</v>
      </c>
      <c r="J2574" s="132">
        <f t="shared" si="80"/>
        <v>227745</v>
      </c>
    </row>
    <row r="2575" spans="1:10">
      <c r="A2575" s="115" t="s">
        <v>1011</v>
      </c>
      <c r="B2575" s="115" t="s">
        <v>2992</v>
      </c>
      <c r="C2575" s="115" t="s">
        <v>2999</v>
      </c>
      <c r="D2575" s="115" t="s">
        <v>3000</v>
      </c>
      <c r="E2575" s="133" t="str">
        <f t="shared" si="81"/>
        <v>1200001051WBL-61202 CLEAR 10 VW VN</v>
      </c>
      <c r="F2575" s="133" t="s">
        <v>3864</v>
      </c>
      <c r="G2575" s="133" t="s">
        <v>3881</v>
      </c>
      <c r="H2575" s="133">
        <f>VLOOKUP(G2575,'packing mapping'!A:B,2,0)</f>
        <v>20</v>
      </c>
      <c r="I2575" s="137">
        <v>3589740</v>
      </c>
      <c r="J2575" s="132">
        <f t="shared" si="80"/>
        <v>179487</v>
      </c>
    </row>
    <row r="2576" spans="1:10">
      <c r="A2576" s="115" t="s">
        <v>297</v>
      </c>
      <c r="B2576" s="115" t="s">
        <v>298</v>
      </c>
      <c r="C2576" s="115" t="s">
        <v>1358</v>
      </c>
      <c r="D2576" s="115" t="s">
        <v>1359</v>
      </c>
      <c r="E2576" s="133" t="str">
        <f t="shared" si="81"/>
        <v>1200000105PRCC-40102 HV CLEAR LACQUER CL VN</v>
      </c>
      <c r="F2576" s="133" t="s">
        <v>3130</v>
      </c>
      <c r="G2576" s="133" t="s">
        <v>3891</v>
      </c>
      <c r="H2576" s="133">
        <f>VLOOKUP(G2576,'packing mapping'!A:B,2,0)</f>
        <v>200</v>
      </c>
      <c r="I2576" s="137">
        <v>24198000</v>
      </c>
      <c r="J2576" s="132">
        <f t="shared" si="80"/>
        <v>120990</v>
      </c>
    </row>
    <row r="2577" spans="1:10">
      <c r="A2577" s="115" t="s">
        <v>1025</v>
      </c>
      <c r="B2577" s="115" t="s">
        <v>1026</v>
      </c>
      <c r="C2577" s="115" t="s">
        <v>1192</v>
      </c>
      <c r="D2577" s="115" t="s">
        <v>1193</v>
      </c>
      <c r="E2577" s="133" t="str">
        <f t="shared" si="81"/>
        <v>1200001060PCL-31300 BLACK PASTE</v>
      </c>
      <c r="F2577" s="133" t="s">
        <v>3050</v>
      </c>
      <c r="G2577" s="133" t="s">
        <v>3883</v>
      </c>
      <c r="H2577" s="133">
        <f>VLOOKUP(G2577,'packing mapping'!A:B,2,0)</f>
        <v>4</v>
      </c>
      <c r="I2577" s="137">
        <v>2950760</v>
      </c>
      <c r="J2577" s="132">
        <f t="shared" si="80"/>
        <v>737690</v>
      </c>
    </row>
    <row r="2578" spans="1:10">
      <c r="A2578" s="115" t="s">
        <v>1025</v>
      </c>
      <c r="B2578" s="115" t="s">
        <v>1026</v>
      </c>
      <c r="C2578" s="115" t="s">
        <v>1194</v>
      </c>
      <c r="D2578" s="115" t="s">
        <v>1195</v>
      </c>
      <c r="E2578" s="133" t="str">
        <f t="shared" si="81"/>
        <v>1200001060PCL-31300 BLUE OG PASTE</v>
      </c>
      <c r="F2578" s="133" t="s">
        <v>3051</v>
      </c>
      <c r="G2578" s="133" t="s">
        <v>3883</v>
      </c>
      <c r="H2578" s="133">
        <f>VLOOKUP(G2578,'packing mapping'!A:B,2,0)</f>
        <v>4</v>
      </c>
      <c r="I2578" s="137">
        <v>2149000</v>
      </c>
      <c r="J2578" s="132">
        <f t="shared" si="80"/>
        <v>537250</v>
      </c>
    </row>
    <row r="2579" spans="1:10">
      <c r="A2579" s="115" t="s">
        <v>1025</v>
      </c>
      <c r="B2579" s="115" t="s">
        <v>1026</v>
      </c>
      <c r="C2579" s="115" t="s">
        <v>1200</v>
      </c>
      <c r="D2579" s="115" t="s">
        <v>1201</v>
      </c>
      <c r="E2579" s="133" t="str">
        <f t="shared" si="81"/>
        <v>1200001060PCL-31300 RED OB 35 PASTE</v>
      </c>
      <c r="F2579" s="133" t="s">
        <v>3054</v>
      </c>
      <c r="G2579" s="133" t="s">
        <v>3883</v>
      </c>
      <c r="H2579" s="133">
        <f>VLOOKUP(G2579,'packing mapping'!A:B,2,0)</f>
        <v>4</v>
      </c>
      <c r="I2579" s="137">
        <v>1698320</v>
      </c>
      <c r="J2579" s="132">
        <f t="shared" si="80"/>
        <v>424580</v>
      </c>
    </row>
    <row r="2580" spans="1:10">
      <c r="A2580" s="115" t="s">
        <v>1025</v>
      </c>
      <c r="B2580" s="115" t="s">
        <v>1026</v>
      </c>
      <c r="C2580" s="115" t="s">
        <v>1204</v>
      </c>
      <c r="D2580" s="115" t="s">
        <v>1205</v>
      </c>
      <c r="E2580" s="133" t="str">
        <f t="shared" si="81"/>
        <v>1200001060PCL-31300 YELLOW OG 16 PASTE</v>
      </c>
      <c r="F2580" s="133" t="s">
        <v>3056</v>
      </c>
      <c r="G2580" s="133" t="s">
        <v>3883</v>
      </c>
      <c r="H2580" s="133">
        <f>VLOOKUP(G2580,'packing mapping'!A:B,2,0)</f>
        <v>4</v>
      </c>
      <c r="I2580" s="137">
        <v>4136600</v>
      </c>
      <c r="J2580" s="132">
        <f t="shared" si="80"/>
        <v>1034150</v>
      </c>
    </row>
    <row r="2581" spans="1:10">
      <c r="A2581" s="115" t="s">
        <v>1025</v>
      </c>
      <c r="B2581" s="115" t="s">
        <v>1026</v>
      </c>
      <c r="C2581" s="115" t="s">
        <v>1388</v>
      </c>
      <c r="D2581" s="115" t="s">
        <v>1389</v>
      </c>
      <c r="E2581" s="133" t="str">
        <f t="shared" si="81"/>
        <v>1200001060PUC-54205 AC WHITE 10 VN</v>
      </c>
      <c r="F2581" s="133" t="s">
        <v>3144</v>
      </c>
      <c r="G2581" s="133" t="s">
        <v>3881</v>
      </c>
      <c r="H2581" s="133">
        <f>VLOOKUP(G2581,'packing mapping'!A:B,2,0)</f>
        <v>20</v>
      </c>
      <c r="I2581" s="137">
        <v>3689000</v>
      </c>
      <c r="J2581" s="132">
        <f t="shared" si="80"/>
        <v>184450</v>
      </c>
    </row>
    <row r="2582" spans="1:10">
      <c r="A2582" s="115" t="s">
        <v>1025</v>
      </c>
      <c r="B2582" s="115" t="s">
        <v>1026</v>
      </c>
      <c r="C2582" s="115" t="s">
        <v>1210</v>
      </c>
      <c r="D2582" s="115" t="s">
        <v>1211</v>
      </c>
      <c r="E2582" s="133" t="str">
        <f t="shared" si="81"/>
        <v>1200001060PUH-56306 LY VN</v>
      </c>
      <c r="F2582" s="133" t="s">
        <v>3059</v>
      </c>
      <c r="G2582" s="133" t="s">
        <v>3879</v>
      </c>
      <c r="H2582" s="133">
        <f>VLOOKUP(G2582,'packing mapping'!A:B,2,0)</f>
        <v>20</v>
      </c>
      <c r="I2582" s="137">
        <v>3129000</v>
      </c>
      <c r="J2582" s="132">
        <f t="shared" si="80"/>
        <v>156450</v>
      </c>
    </row>
    <row r="2583" spans="1:10">
      <c r="A2583" s="115" t="s">
        <v>1025</v>
      </c>
      <c r="B2583" s="115" t="s">
        <v>1026</v>
      </c>
      <c r="C2583" s="115" t="s">
        <v>1396</v>
      </c>
      <c r="D2583" s="115" t="s">
        <v>1397</v>
      </c>
      <c r="E2583" s="133" t="str">
        <f t="shared" si="81"/>
        <v>1200001060PUL-53306 AC EX CLEAR 10 VN</v>
      </c>
      <c r="F2583" s="133" t="s">
        <v>3148</v>
      </c>
      <c r="G2583" s="133" t="s">
        <v>3879</v>
      </c>
      <c r="H2583" s="133">
        <f>VLOOKUP(G2583,'packing mapping'!A:B,2,0)</f>
        <v>20</v>
      </c>
      <c r="I2583" s="137">
        <v>3446600</v>
      </c>
      <c r="J2583" s="132">
        <f t="shared" si="80"/>
        <v>172330</v>
      </c>
    </row>
    <row r="2584" spans="1:10">
      <c r="A2584" s="115" t="s">
        <v>1025</v>
      </c>
      <c r="B2584" s="115" t="s">
        <v>1026</v>
      </c>
      <c r="C2584" s="115" t="s">
        <v>1214</v>
      </c>
      <c r="D2584" s="115" t="s">
        <v>1215</v>
      </c>
      <c r="E2584" s="133" t="str">
        <f t="shared" si="81"/>
        <v>1200001060PUL-53306 AC EX CLEAR 50 VN</v>
      </c>
      <c r="F2584" s="133" t="s">
        <v>3061</v>
      </c>
      <c r="G2584" s="133" t="s">
        <v>3879</v>
      </c>
      <c r="H2584" s="133">
        <f>VLOOKUP(G2584,'packing mapping'!A:B,2,0)</f>
        <v>20</v>
      </c>
      <c r="I2584" s="137">
        <v>3428800</v>
      </c>
      <c r="J2584" s="132">
        <f t="shared" si="80"/>
        <v>171440</v>
      </c>
    </row>
    <row r="2585" spans="1:10">
      <c r="A2585" s="115" t="s">
        <v>1025</v>
      </c>
      <c r="B2585" s="115" t="s">
        <v>1026</v>
      </c>
      <c r="C2585" s="115" t="s">
        <v>1216</v>
      </c>
      <c r="D2585" s="115" t="s">
        <v>1217</v>
      </c>
      <c r="E2585" s="133" t="str">
        <f t="shared" si="81"/>
        <v>1200001060PUL-53306 AC EX CLEAR 90 VN</v>
      </c>
      <c r="F2585" s="133" t="s">
        <v>3062</v>
      </c>
      <c r="G2585" s="133" t="s">
        <v>3879</v>
      </c>
      <c r="H2585" s="133">
        <f>VLOOKUP(G2585,'packing mapping'!A:B,2,0)</f>
        <v>20</v>
      </c>
      <c r="I2585" s="137">
        <v>3446600</v>
      </c>
      <c r="J2585" s="132">
        <f t="shared" si="80"/>
        <v>172330</v>
      </c>
    </row>
    <row r="2586" spans="1:10">
      <c r="A2586" s="115" t="s">
        <v>197</v>
      </c>
      <c r="B2586" s="115" t="s">
        <v>198</v>
      </c>
      <c r="C2586" s="115" t="s">
        <v>1386</v>
      </c>
      <c r="D2586" s="115" t="s">
        <v>1387</v>
      </c>
      <c r="E2586" s="133" t="str">
        <f t="shared" si="81"/>
        <v>1200000054PUC-54205 AC WHITE 90 VN</v>
      </c>
      <c r="F2586" s="133" t="s">
        <v>3143</v>
      </c>
      <c r="G2586" s="133" t="s">
        <v>3881</v>
      </c>
      <c r="H2586" s="133">
        <f>VLOOKUP(G2586,'packing mapping'!A:B,2,0)</f>
        <v>20</v>
      </c>
      <c r="I2586" s="137">
        <v>3071800</v>
      </c>
      <c r="J2586" s="132">
        <f t="shared" si="80"/>
        <v>153590</v>
      </c>
    </row>
    <row r="2587" spans="1:10">
      <c r="A2587" s="115" t="s">
        <v>197</v>
      </c>
      <c r="B2587" s="115" t="s">
        <v>198</v>
      </c>
      <c r="C2587" s="115" t="s">
        <v>1210</v>
      </c>
      <c r="D2587" s="115" t="s">
        <v>1211</v>
      </c>
      <c r="E2587" s="133" t="str">
        <f t="shared" si="81"/>
        <v>1200000054PUH-56306 LY VN</v>
      </c>
      <c r="F2587" s="133" t="s">
        <v>3059</v>
      </c>
      <c r="G2587" s="133" t="s">
        <v>3879</v>
      </c>
      <c r="H2587" s="133">
        <f>VLOOKUP(G2587,'packing mapping'!A:B,2,0)</f>
        <v>20</v>
      </c>
      <c r="I2587" s="137">
        <v>3159000</v>
      </c>
      <c r="J2587" s="132">
        <f t="shared" si="80"/>
        <v>157950</v>
      </c>
    </row>
    <row r="2588" spans="1:10">
      <c r="A2588" s="115" t="s">
        <v>842</v>
      </c>
      <c r="B2588" s="115" t="s">
        <v>843</v>
      </c>
      <c r="C2588" s="115" t="s">
        <v>1180</v>
      </c>
      <c r="D2588" s="115" t="s">
        <v>1181</v>
      </c>
      <c r="E2588" s="133" t="str">
        <f t="shared" si="81"/>
        <v>1200000888GZPU-21500 RU BASE VN</v>
      </c>
      <c r="F2588" s="133" t="s">
        <v>3044</v>
      </c>
      <c r="G2588" s="133" t="s">
        <v>3882</v>
      </c>
      <c r="H2588" s="133">
        <f>VLOOKUP(G2588,'packing mapping'!A:B,2,0)</f>
        <v>18</v>
      </c>
      <c r="I2588" s="137">
        <v>3570300</v>
      </c>
      <c r="J2588" s="132">
        <f t="shared" si="80"/>
        <v>198350</v>
      </c>
    </row>
    <row r="2589" spans="1:10">
      <c r="A2589" s="115" t="s">
        <v>842</v>
      </c>
      <c r="B2589" s="115" t="s">
        <v>843</v>
      </c>
      <c r="C2589" s="115" t="s">
        <v>1184</v>
      </c>
      <c r="D2589" s="115" t="s">
        <v>1185</v>
      </c>
      <c r="E2589" s="133" t="str">
        <f t="shared" si="81"/>
        <v>1200000888MEP-12003 CLEAR BASE VN</v>
      </c>
      <c r="F2589" s="133" t="s">
        <v>3046</v>
      </c>
      <c r="G2589" s="133" t="s">
        <v>3882</v>
      </c>
      <c r="H2589" s="133">
        <f>VLOOKUP(G2589,'packing mapping'!A:B,2,0)</f>
        <v>18</v>
      </c>
      <c r="I2589" s="137">
        <v>1212660</v>
      </c>
      <c r="J2589" s="132">
        <f t="shared" si="80"/>
        <v>67370</v>
      </c>
    </row>
    <row r="2590" spans="1:10">
      <c r="A2590" s="115" t="s">
        <v>842</v>
      </c>
      <c r="B2590" s="115" t="s">
        <v>843</v>
      </c>
      <c r="C2590" s="115" t="s">
        <v>1186</v>
      </c>
      <c r="D2590" s="115" t="s">
        <v>1187</v>
      </c>
      <c r="E2590" s="133" t="str">
        <f t="shared" si="81"/>
        <v>1200000888MEP-12003 GREY VN</v>
      </c>
      <c r="F2590" s="133" t="s">
        <v>3047</v>
      </c>
      <c r="G2590" s="133" t="s">
        <v>3882</v>
      </c>
      <c r="H2590" s="133">
        <f>VLOOKUP(G2590,'packing mapping'!A:B,2,0)</f>
        <v>18</v>
      </c>
      <c r="I2590" s="137">
        <v>1726560</v>
      </c>
      <c r="J2590" s="132">
        <f t="shared" si="80"/>
        <v>95920</v>
      </c>
    </row>
    <row r="2591" spans="1:10">
      <c r="A2591" s="115" t="s">
        <v>842</v>
      </c>
      <c r="B2591" s="115" t="s">
        <v>843</v>
      </c>
      <c r="C2591" s="115" t="s">
        <v>1192</v>
      </c>
      <c r="D2591" s="115" t="s">
        <v>1193</v>
      </c>
      <c r="E2591" s="133" t="str">
        <f t="shared" si="81"/>
        <v>1200000888PCL-31300 BLACK PASTE</v>
      </c>
      <c r="F2591" s="133" t="s">
        <v>3050</v>
      </c>
      <c r="G2591" s="133" t="s">
        <v>3883</v>
      </c>
      <c r="H2591" s="133">
        <f>VLOOKUP(G2591,'packing mapping'!A:B,2,0)</f>
        <v>4</v>
      </c>
      <c r="I2591" s="137">
        <v>2290560</v>
      </c>
      <c r="J2591" s="132">
        <f t="shared" si="80"/>
        <v>572640</v>
      </c>
    </row>
    <row r="2592" spans="1:10">
      <c r="A2592" s="115" t="s">
        <v>842</v>
      </c>
      <c r="B2592" s="115" t="s">
        <v>843</v>
      </c>
      <c r="C2592" s="115" t="s">
        <v>1204</v>
      </c>
      <c r="D2592" s="115" t="s">
        <v>1205</v>
      </c>
      <c r="E2592" s="133" t="str">
        <f t="shared" si="81"/>
        <v>1200000888PCL-31300 YELLOW OG 16 PASTE</v>
      </c>
      <c r="F2592" s="133" t="s">
        <v>3056</v>
      </c>
      <c r="G2592" s="133" t="s">
        <v>3883</v>
      </c>
      <c r="H2592" s="133">
        <f>VLOOKUP(G2592,'packing mapping'!A:B,2,0)</f>
        <v>4</v>
      </c>
      <c r="I2592" s="137">
        <v>3741440</v>
      </c>
      <c r="J2592" s="132">
        <f t="shared" si="80"/>
        <v>935360</v>
      </c>
    </row>
    <row r="2593" spans="1:10">
      <c r="A2593" s="115" t="s">
        <v>842</v>
      </c>
      <c r="B2593" s="115" t="s">
        <v>843</v>
      </c>
      <c r="C2593" s="115" t="s">
        <v>1206</v>
      </c>
      <c r="D2593" s="115" t="s">
        <v>1207</v>
      </c>
      <c r="E2593" s="133" t="str">
        <f t="shared" si="81"/>
        <v>1200000888PCL-31300 YELLOW OKER PASTE</v>
      </c>
      <c r="F2593" s="133" t="s">
        <v>3057</v>
      </c>
      <c r="G2593" s="133" t="s">
        <v>3883</v>
      </c>
      <c r="H2593" s="133">
        <f>VLOOKUP(G2593,'packing mapping'!A:B,2,0)</f>
        <v>4</v>
      </c>
      <c r="I2593" s="137">
        <v>1457960</v>
      </c>
      <c r="J2593" s="132">
        <f t="shared" si="80"/>
        <v>364490</v>
      </c>
    </row>
    <row r="2594" spans="1:10">
      <c r="A2594" s="115" t="s">
        <v>842</v>
      </c>
      <c r="B2594" s="115" t="s">
        <v>843</v>
      </c>
      <c r="C2594" s="115" t="s">
        <v>1222</v>
      </c>
      <c r="D2594" s="115" t="s">
        <v>1223</v>
      </c>
      <c r="E2594" s="133" t="str">
        <f t="shared" si="81"/>
        <v>1200000888SST-11100 C10 BLUE</v>
      </c>
      <c r="F2594" s="133" t="s">
        <v>3065</v>
      </c>
      <c r="G2594" s="133" t="s">
        <v>3883</v>
      </c>
      <c r="H2594" s="133">
        <f>VLOOKUP(G2594,'packing mapping'!A:B,2,0)</f>
        <v>4</v>
      </c>
      <c r="I2594" s="137">
        <v>2453320</v>
      </c>
      <c r="J2594" s="132">
        <f t="shared" si="80"/>
        <v>613330</v>
      </c>
    </row>
    <row r="2595" spans="1:10">
      <c r="A2595" s="115" t="s">
        <v>842</v>
      </c>
      <c r="B2595" s="115" t="s">
        <v>843</v>
      </c>
      <c r="C2595" s="115" t="s">
        <v>1226</v>
      </c>
      <c r="D2595" s="115" t="s">
        <v>1227</v>
      </c>
      <c r="E2595" s="133" t="str">
        <f t="shared" si="81"/>
        <v>1200000888SST-11100 C10 RED</v>
      </c>
      <c r="F2595" s="133" t="s">
        <v>3067</v>
      </c>
      <c r="G2595" s="133" t="s">
        <v>3883</v>
      </c>
      <c r="H2595" s="133">
        <f>VLOOKUP(G2595,'packing mapping'!A:B,2,0)</f>
        <v>4</v>
      </c>
      <c r="I2595" s="137">
        <v>766920</v>
      </c>
      <c r="J2595" s="132">
        <f t="shared" si="80"/>
        <v>191730</v>
      </c>
    </row>
    <row r="2596" spans="1:10">
      <c r="A2596" s="115" t="s">
        <v>842</v>
      </c>
      <c r="B2596" s="115" t="s">
        <v>843</v>
      </c>
      <c r="C2596" s="115" t="s">
        <v>1228</v>
      </c>
      <c r="D2596" s="115" t="s">
        <v>1229</v>
      </c>
      <c r="E2596" s="133" t="str">
        <f t="shared" si="81"/>
        <v>1200000888SST-11100 C10 YELLOW</v>
      </c>
      <c r="F2596" s="133" t="s">
        <v>3068</v>
      </c>
      <c r="G2596" s="133" t="s">
        <v>3883</v>
      </c>
      <c r="H2596" s="133">
        <f>VLOOKUP(G2596,'packing mapping'!A:B,2,0)</f>
        <v>4</v>
      </c>
      <c r="I2596" s="137">
        <v>657960</v>
      </c>
      <c r="J2596" s="132">
        <f t="shared" si="80"/>
        <v>164490</v>
      </c>
    </row>
    <row r="2597" spans="1:10">
      <c r="A2597" s="115" t="s">
        <v>842</v>
      </c>
      <c r="B2597" s="115" t="s">
        <v>843</v>
      </c>
      <c r="C2597" s="115" t="s">
        <v>1402</v>
      </c>
      <c r="D2597" s="115" t="s">
        <v>1403</v>
      </c>
      <c r="E2597" s="133" t="str">
        <f t="shared" si="81"/>
        <v>1200000888THC-73100-007 VN</v>
      </c>
      <c r="F2597" s="133" t="s">
        <v>3150</v>
      </c>
      <c r="G2597" s="133" t="s">
        <v>3880</v>
      </c>
      <c r="H2597" s="133">
        <f>VLOOKUP(G2597,'packing mapping'!A:B,2,0)</f>
        <v>20</v>
      </c>
      <c r="I2597" s="137">
        <v>1494000</v>
      </c>
      <c r="J2597" s="132">
        <f t="shared" si="80"/>
        <v>74700</v>
      </c>
    </row>
    <row r="2598" spans="1:10">
      <c r="A2598" s="115" t="s">
        <v>842</v>
      </c>
      <c r="B2598" s="115" t="s">
        <v>843</v>
      </c>
      <c r="C2598" s="115" t="s">
        <v>1242</v>
      </c>
      <c r="D2598" s="115" t="s">
        <v>1243</v>
      </c>
      <c r="E2598" s="133" t="str">
        <f t="shared" si="81"/>
        <v>1200000888THPU-71306 ST VN</v>
      </c>
      <c r="F2598" s="133" t="s">
        <v>3039</v>
      </c>
      <c r="G2598" s="133" t="s">
        <v>3884</v>
      </c>
      <c r="H2598" s="133">
        <f>VLOOKUP(G2598,'packing mapping'!A:B,2,0)</f>
        <v>200</v>
      </c>
      <c r="I2598" s="137">
        <v>10350000</v>
      </c>
      <c r="J2598" s="132">
        <f t="shared" si="80"/>
        <v>51750</v>
      </c>
    </row>
    <row r="2599" spans="1:10">
      <c r="A2599" s="115" t="s">
        <v>842</v>
      </c>
      <c r="B2599" s="115" t="s">
        <v>843</v>
      </c>
      <c r="C2599" s="115" t="s">
        <v>1170</v>
      </c>
      <c r="D2599" s="115" t="s">
        <v>1171</v>
      </c>
      <c r="E2599" s="133" t="str">
        <f t="shared" si="81"/>
        <v>1200000888THPU-71306 ST VN</v>
      </c>
      <c r="F2599" s="133" t="s">
        <v>3039</v>
      </c>
      <c r="G2599" s="133" t="s">
        <v>3880</v>
      </c>
      <c r="H2599" s="133">
        <f>VLOOKUP(G2599,'packing mapping'!A:B,2,0)</f>
        <v>20</v>
      </c>
      <c r="I2599" s="137">
        <v>1184000</v>
      </c>
      <c r="J2599" s="132">
        <f t="shared" si="80"/>
        <v>59200</v>
      </c>
    </row>
    <row r="2600" spans="1:10">
      <c r="A2600" s="115" t="s">
        <v>842</v>
      </c>
      <c r="B2600" s="115" t="s">
        <v>843</v>
      </c>
      <c r="C2600" s="115" t="s">
        <v>1248</v>
      </c>
      <c r="D2600" s="115" t="s">
        <v>1249</v>
      </c>
      <c r="E2600" s="133" t="str">
        <f t="shared" si="81"/>
        <v>1200000888MEPH-12003 PS VN</v>
      </c>
      <c r="F2600" s="133" t="s">
        <v>3077</v>
      </c>
      <c r="G2600" s="133" t="s">
        <v>3887</v>
      </c>
      <c r="H2600" s="133">
        <f>VLOOKUP(G2600,'packing mapping'!A:B,2,0)</f>
        <v>2</v>
      </c>
      <c r="I2600" s="137">
        <v>440560</v>
      </c>
      <c r="J2600" s="132">
        <f t="shared" si="80"/>
        <v>220280</v>
      </c>
    </row>
    <row r="2601" spans="1:10">
      <c r="A2601" s="115" t="s">
        <v>842</v>
      </c>
      <c r="B2601" s="115" t="s">
        <v>843</v>
      </c>
      <c r="C2601" s="115" t="s">
        <v>1172</v>
      </c>
      <c r="D2601" s="115" t="s">
        <v>1173</v>
      </c>
      <c r="E2601" s="133" t="str">
        <f t="shared" si="81"/>
        <v>1200000888PUH-56135 S VN</v>
      </c>
      <c r="F2601" s="133" t="s">
        <v>3040</v>
      </c>
      <c r="G2601" s="133" t="s">
        <v>3881</v>
      </c>
      <c r="H2601" s="133">
        <f>VLOOKUP(G2601,'packing mapping'!A:B,2,0)</f>
        <v>20</v>
      </c>
      <c r="I2601" s="137">
        <v>1945200</v>
      </c>
      <c r="J2601" s="132">
        <f t="shared" si="80"/>
        <v>97260</v>
      </c>
    </row>
    <row r="2602" spans="1:10">
      <c r="A2602" s="115" t="s">
        <v>842</v>
      </c>
      <c r="B2602" s="115" t="s">
        <v>843</v>
      </c>
      <c r="C2602" s="115" t="s">
        <v>1276</v>
      </c>
      <c r="D2602" s="115" t="s">
        <v>1277</v>
      </c>
      <c r="E2602" s="133" t="str">
        <f t="shared" si="81"/>
        <v>1200000888PUL-51335 CLEAR 10 VN</v>
      </c>
      <c r="F2602" s="133" t="s">
        <v>3091</v>
      </c>
      <c r="G2602" s="133" t="s">
        <v>3881</v>
      </c>
      <c r="H2602" s="133">
        <f>VLOOKUP(G2602,'packing mapping'!A:B,2,0)</f>
        <v>20</v>
      </c>
      <c r="I2602" s="137">
        <v>2094800</v>
      </c>
      <c r="J2602" s="132">
        <f t="shared" si="80"/>
        <v>104740</v>
      </c>
    </row>
    <row r="2603" spans="1:10">
      <c r="A2603" s="115" t="s">
        <v>842</v>
      </c>
      <c r="B2603" s="115" t="s">
        <v>843</v>
      </c>
      <c r="C2603" s="115" t="s">
        <v>1280</v>
      </c>
      <c r="D2603" s="115" t="s">
        <v>1281</v>
      </c>
      <c r="E2603" s="133" t="str">
        <f t="shared" si="81"/>
        <v>1200000888PUL-51335 CLEAR 30 VN</v>
      </c>
      <c r="F2603" s="133" t="s">
        <v>3093</v>
      </c>
      <c r="G2603" s="133" t="s">
        <v>3881</v>
      </c>
      <c r="H2603" s="133">
        <f>VLOOKUP(G2603,'packing mapping'!A:B,2,0)</f>
        <v>20</v>
      </c>
      <c r="I2603" s="137">
        <v>1889800</v>
      </c>
      <c r="J2603" s="132">
        <f t="shared" si="80"/>
        <v>94490</v>
      </c>
    </row>
    <row r="2604" spans="1:10">
      <c r="A2604" s="115" t="s">
        <v>842</v>
      </c>
      <c r="B2604" s="115" t="s">
        <v>843</v>
      </c>
      <c r="C2604" s="115" t="s">
        <v>1292</v>
      </c>
      <c r="D2604" s="115" t="s">
        <v>1293</v>
      </c>
      <c r="E2604" s="133" t="str">
        <f t="shared" si="81"/>
        <v>1200000888PUP-52135 WHITE VN</v>
      </c>
      <c r="F2604" s="133" t="s">
        <v>3098</v>
      </c>
      <c r="G2604" s="133" t="s">
        <v>3881</v>
      </c>
      <c r="H2604" s="133">
        <f>VLOOKUP(G2604,'packing mapping'!A:B,2,0)</f>
        <v>20</v>
      </c>
      <c r="I2604" s="137">
        <v>2220600</v>
      </c>
      <c r="J2604" s="132">
        <f t="shared" si="80"/>
        <v>111030</v>
      </c>
    </row>
    <row r="2605" spans="1:10">
      <c r="A2605" s="115" t="s">
        <v>842</v>
      </c>
      <c r="B2605" s="115" t="s">
        <v>843</v>
      </c>
      <c r="C2605" s="115" t="s">
        <v>1176</v>
      </c>
      <c r="D2605" s="115" t="s">
        <v>1177</v>
      </c>
      <c r="E2605" s="133" t="str">
        <f t="shared" si="81"/>
        <v>1200000888PUSS-51235 VN</v>
      </c>
      <c r="F2605" s="133" t="s">
        <v>3042</v>
      </c>
      <c r="G2605" s="133" t="s">
        <v>3881</v>
      </c>
      <c r="H2605" s="133">
        <f>VLOOKUP(G2605,'packing mapping'!A:B,2,0)</f>
        <v>20</v>
      </c>
      <c r="I2605" s="137">
        <v>1845600</v>
      </c>
      <c r="J2605" s="132">
        <f t="shared" si="80"/>
        <v>92280</v>
      </c>
    </row>
    <row r="2606" spans="1:10">
      <c r="A2606" s="115" t="s">
        <v>842</v>
      </c>
      <c r="B2606" s="115" t="s">
        <v>843</v>
      </c>
      <c r="C2606" s="115" t="s">
        <v>1300</v>
      </c>
      <c r="D2606" s="115" t="s">
        <v>1301</v>
      </c>
      <c r="E2606" s="133" t="str">
        <f t="shared" si="81"/>
        <v>1200000888GZPU-21500 BLACK VN</v>
      </c>
      <c r="F2606" s="133" t="s">
        <v>3101</v>
      </c>
      <c r="G2606" s="133" t="s">
        <v>3883</v>
      </c>
      <c r="H2606" s="133">
        <f>VLOOKUP(G2606,'packing mapping'!A:B,2,0)</f>
        <v>4</v>
      </c>
      <c r="I2606" s="137">
        <v>1581880</v>
      </c>
      <c r="J2606" s="132">
        <f t="shared" si="80"/>
        <v>395470</v>
      </c>
    </row>
    <row r="2607" spans="1:10">
      <c r="A2607" s="115" t="s">
        <v>842</v>
      </c>
      <c r="B2607" s="115" t="s">
        <v>843</v>
      </c>
      <c r="C2607" s="115" t="s">
        <v>1302</v>
      </c>
      <c r="D2607" s="115" t="s">
        <v>1303</v>
      </c>
      <c r="E2607" s="133" t="str">
        <f t="shared" si="81"/>
        <v>1200000888GZPU-21500 BROWN VN</v>
      </c>
      <c r="F2607" s="133" t="s">
        <v>3102</v>
      </c>
      <c r="G2607" s="133" t="s">
        <v>3883</v>
      </c>
      <c r="H2607" s="133">
        <f>VLOOKUP(G2607,'packing mapping'!A:B,2,0)</f>
        <v>4</v>
      </c>
      <c r="I2607" s="137">
        <v>1434120</v>
      </c>
      <c r="J2607" s="132">
        <f t="shared" si="80"/>
        <v>358530</v>
      </c>
    </row>
    <row r="2608" spans="1:10">
      <c r="A2608" s="115" t="s">
        <v>842</v>
      </c>
      <c r="B2608" s="115" t="s">
        <v>843</v>
      </c>
      <c r="C2608" s="115" t="s">
        <v>1314</v>
      </c>
      <c r="D2608" s="115" t="s">
        <v>1315</v>
      </c>
      <c r="E2608" s="133" t="str">
        <f t="shared" si="81"/>
        <v>1200000888PCL-31300 RED 31701 PASTE</v>
      </c>
      <c r="F2608" s="133" t="s">
        <v>3108</v>
      </c>
      <c r="G2608" s="133" t="s">
        <v>3883</v>
      </c>
      <c r="H2608" s="133">
        <f>VLOOKUP(G2608,'packing mapping'!A:B,2,0)</f>
        <v>4</v>
      </c>
      <c r="I2608" s="137">
        <v>2893440</v>
      </c>
      <c r="J2608" s="132">
        <f t="shared" si="80"/>
        <v>723360</v>
      </c>
    </row>
    <row r="2609" spans="1:10">
      <c r="A2609" s="115" t="s">
        <v>1031</v>
      </c>
      <c r="B2609" s="115" t="s">
        <v>1032</v>
      </c>
      <c r="C2609" s="115" t="s">
        <v>1188</v>
      </c>
      <c r="D2609" s="115" t="s">
        <v>1189</v>
      </c>
      <c r="E2609" s="133" t="str">
        <f t="shared" si="81"/>
        <v>1200001073PCA-31100 BLACK PASTE VN</v>
      </c>
      <c r="F2609" s="133" t="s">
        <v>3048</v>
      </c>
      <c r="G2609" s="133" t="s">
        <v>3883</v>
      </c>
      <c r="H2609" s="133">
        <f>VLOOKUP(G2609,'packing mapping'!A:B,2,0)</f>
        <v>4</v>
      </c>
      <c r="I2609" s="137">
        <v>1887920</v>
      </c>
      <c r="J2609" s="132">
        <f t="shared" si="80"/>
        <v>471980</v>
      </c>
    </row>
    <row r="2610" spans="1:10">
      <c r="A2610" s="115" t="s">
        <v>1031</v>
      </c>
      <c r="B2610" s="115" t="s">
        <v>1032</v>
      </c>
      <c r="C2610" s="115" t="s">
        <v>1190</v>
      </c>
      <c r="D2610" s="115" t="s">
        <v>1191</v>
      </c>
      <c r="E2610" s="133" t="str">
        <f t="shared" si="81"/>
        <v>1200001073PCA-31100 WHITE PASTE VN</v>
      </c>
      <c r="F2610" s="133" t="s">
        <v>3049</v>
      </c>
      <c r="G2610" s="133" t="s">
        <v>3883</v>
      </c>
      <c r="H2610" s="133">
        <f>VLOOKUP(G2610,'packing mapping'!A:B,2,0)</f>
        <v>4</v>
      </c>
      <c r="I2610" s="137">
        <v>1048000</v>
      </c>
      <c r="J2610" s="132">
        <f t="shared" si="80"/>
        <v>262000</v>
      </c>
    </row>
    <row r="2611" spans="1:10">
      <c r="A2611" s="115" t="s">
        <v>1031</v>
      </c>
      <c r="B2611" s="115" t="s">
        <v>1032</v>
      </c>
      <c r="C2611" s="115" t="s">
        <v>3001</v>
      </c>
      <c r="D2611" s="115" t="s">
        <v>3002</v>
      </c>
      <c r="E2611" s="133" t="str">
        <f t="shared" si="81"/>
        <v>1200001073UVP-60105 WHITE VN</v>
      </c>
      <c r="F2611" s="133" t="s">
        <v>3865</v>
      </c>
      <c r="G2611" s="133" t="s">
        <v>3881</v>
      </c>
      <c r="H2611" s="133">
        <f>VLOOKUP(G2611,'packing mapping'!A:B,2,0)</f>
        <v>20</v>
      </c>
      <c r="I2611" s="137">
        <v>3395800</v>
      </c>
      <c r="J2611" s="132">
        <f t="shared" si="80"/>
        <v>169790</v>
      </c>
    </row>
    <row r="2612" spans="1:10">
      <c r="A2612" s="115" t="s">
        <v>1031</v>
      </c>
      <c r="B2612" s="115" t="s">
        <v>1032</v>
      </c>
      <c r="C2612" s="115" t="s">
        <v>3003</v>
      </c>
      <c r="D2612" s="115" t="s">
        <v>3004</v>
      </c>
      <c r="E2612" s="133" t="str">
        <f t="shared" si="81"/>
        <v>1200001073UVSS-40102 KN VN</v>
      </c>
      <c r="F2612" s="133" t="s">
        <v>3866</v>
      </c>
      <c r="G2612" s="133" t="s">
        <v>3881</v>
      </c>
      <c r="H2612" s="133">
        <f>VLOOKUP(G2612,'packing mapping'!A:B,2,0)</f>
        <v>20</v>
      </c>
      <c r="I2612" s="137">
        <v>2992600</v>
      </c>
      <c r="J2612" s="132">
        <f t="shared" si="80"/>
        <v>149630</v>
      </c>
    </row>
    <row r="2613" spans="1:10">
      <c r="A2613" s="115" t="s">
        <v>1031</v>
      </c>
      <c r="B2613" s="115" t="s">
        <v>1032</v>
      </c>
      <c r="C2613" s="115" t="s">
        <v>3005</v>
      </c>
      <c r="D2613" s="115" t="s">
        <v>3006</v>
      </c>
      <c r="E2613" s="133" t="str">
        <f t="shared" si="81"/>
        <v>1200001073MEP-12003 BLACK KN VN</v>
      </c>
      <c r="F2613" s="133" t="s">
        <v>3867</v>
      </c>
      <c r="G2613" s="133" t="s">
        <v>3882</v>
      </c>
      <c r="H2613" s="133">
        <f>VLOOKUP(G2613,'packing mapping'!A:B,2,0)</f>
        <v>18</v>
      </c>
      <c r="I2613" s="137">
        <v>2872800</v>
      </c>
      <c r="J2613" s="132">
        <f t="shared" si="80"/>
        <v>159600</v>
      </c>
    </row>
    <row r="2614" spans="1:10">
      <c r="A2614" s="115" t="s">
        <v>1031</v>
      </c>
      <c r="B2614" s="115" t="s">
        <v>1032</v>
      </c>
      <c r="C2614" s="115" t="s">
        <v>3007</v>
      </c>
      <c r="D2614" s="115" t="s">
        <v>3008</v>
      </c>
      <c r="E2614" s="133" t="str">
        <f t="shared" si="81"/>
        <v>1200001073MEPH-12003 PS KN VN</v>
      </c>
      <c r="F2614" s="133" t="s">
        <v>3868</v>
      </c>
      <c r="G2614" s="133" t="s">
        <v>3887</v>
      </c>
      <c r="H2614" s="133">
        <f>VLOOKUP(G2614,'packing mapping'!A:B,2,0)</f>
        <v>2</v>
      </c>
      <c r="I2614" s="137">
        <v>478800</v>
      </c>
      <c r="J2614" s="132">
        <f t="shared" si="80"/>
        <v>239400</v>
      </c>
    </row>
    <row r="2615" spans="1:10">
      <c r="A2615" s="115" t="s">
        <v>1031</v>
      </c>
      <c r="B2615" s="115" t="s">
        <v>1032</v>
      </c>
      <c r="C2615" s="115" t="s">
        <v>3009</v>
      </c>
      <c r="D2615" s="115" t="s">
        <v>3010</v>
      </c>
      <c r="E2615" s="133" t="str">
        <f t="shared" si="81"/>
        <v>1200001073UVL-50101 CLEAR 10 KN VN</v>
      </c>
      <c r="F2615" s="133" t="s">
        <v>3869</v>
      </c>
      <c r="G2615" s="133" t="s">
        <v>3881</v>
      </c>
      <c r="H2615" s="133">
        <f>VLOOKUP(G2615,'packing mapping'!A:B,2,0)</f>
        <v>20</v>
      </c>
      <c r="I2615" s="137">
        <v>4788000</v>
      </c>
      <c r="J2615" s="132">
        <f t="shared" si="80"/>
        <v>239400</v>
      </c>
    </row>
    <row r="2616" spans="1:10">
      <c r="A2616" s="115" t="s">
        <v>1031</v>
      </c>
      <c r="B2616" s="115" t="s">
        <v>1032</v>
      </c>
      <c r="C2616" s="115" t="s">
        <v>3011</v>
      </c>
      <c r="D2616" s="115" t="s">
        <v>3012</v>
      </c>
      <c r="E2616" s="133" t="str">
        <f t="shared" si="81"/>
        <v>1200001073SST-11100 C25 GREEN WS VN</v>
      </c>
      <c r="F2616" s="133" t="s">
        <v>3870</v>
      </c>
      <c r="G2616" s="133" t="s">
        <v>3895</v>
      </c>
      <c r="H2616" s="133">
        <f>VLOOKUP(G2616,'packing mapping'!A:B,2,0)</f>
        <v>16</v>
      </c>
      <c r="I2616" s="137">
        <v>12024640</v>
      </c>
      <c r="J2616" s="132">
        <f t="shared" si="80"/>
        <v>751540</v>
      </c>
    </row>
    <row r="2617" spans="1:10">
      <c r="A2617" s="115" t="s">
        <v>1031</v>
      </c>
      <c r="B2617" s="115" t="s">
        <v>1032</v>
      </c>
      <c r="C2617" s="115" t="s">
        <v>3013</v>
      </c>
      <c r="D2617" s="115" t="s">
        <v>3014</v>
      </c>
      <c r="E2617" s="133" t="str">
        <f t="shared" si="81"/>
        <v>1200001073SST-11100 C25 GREEN WS VN</v>
      </c>
      <c r="F2617" s="133" t="s">
        <v>3870</v>
      </c>
      <c r="G2617" s="133" t="s">
        <v>3883</v>
      </c>
      <c r="H2617" s="133">
        <f>VLOOKUP(G2617,'packing mapping'!A:B,2,0)</f>
        <v>4</v>
      </c>
      <c r="I2617" s="137">
        <v>3032400</v>
      </c>
      <c r="J2617" s="132">
        <f t="shared" si="80"/>
        <v>758100</v>
      </c>
    </row>
    <row r="2618" spans="1:10">
      <c r="A2618" s="115" t="s">
        <v>1031</v>
      </c>
      <c r="B2618" s="115" t="s">
        <v>1032</v>
      </c>
      <c r="C2618" s="115" t="s">
        <v>3015</v>
      </c>
      <c r="D2618" s="115" t="s">
        <v>3016</v>
      </c>
      <c r="E2618" s="133" t="str">
        <f t="shared" si="81"/>
        <v>1200001073SST-11100 C25 YELLOW WS VN</v>
      </c>
      <c r="F2618" s="133" t="s">
        <v>3871</v>
      </c>
      <c r="G2618" s="133" t="s">
        <v>3895</v>
      </c>
      <c r="H2618" s="133">
        <f>VLOOKUP(G2618,'packing mapping'!A:B,2,0)</f>
        <v>16</v>
      </c>
      <c r="I2618" s="137">
        <v>5644800</v>
      </c>
      <c r="J2618" s="132">
        <f t="shared" si="80"/>
        <v>352800</v>
      </c>
    </row>
    <row r="2619" spans="1:10">
      <c r="A2619" s="115" t="s">
        <v>1031</v>
      </c>
      <c r="B2619" s="115" t="s">
        <v>1032</v>
      </c>
      <c r="C2619" s="115" t="s">
        <v>3017</v>
      </c>
      <c r="D2619" s="115" t="s">
        <v>3018</v>
      </c>
      <c r="E2619" s="133" t="str">
        <f t="shared" si="81"/>
        <v>1200001073SST-11100 C25 YELLOW WS VN</v>
      </c>
      <c r="F2619" s="133" t="s">
        <v>3871</v>
      </c>
      <c r="G2619" s="133" t="s">
        <v>3883</v>
      </c>
      <c r="H2619" s="133">
        <f>VLOOKUP(G2619,'packing mapping'!A:B,2,0)</f>
        <v>4</v>
      </c>
      <c r="I2619" s="137">
        <v>1437440</v>
      </c>
      <c r="J2619" s="132">
        <f t="shared" si="80"/>
        <v>359360</v>
      </c>
    </row>
    <row r="2620" spans="1:10">
      <c r="A2620" s="115" t="s">
        <v>1031</v>
      </c>
      <c r="B2620" s="115" t="s">
        <v>1032</v>
      </c>
      <c r="C2620" s="115" t="s">
        <v>3019</v>
      </c>
      <c r="D2620" s="115" t="s">
        <v>3020</v>
      </c>
      <c r="E2620" s="133" t="str">
        <f t="shared" si="81"/>
        <v>1200001073SST-11100 C25 BLACK WS VN</v>
      </c>
      <c r="F2620" s="133" t="s">
        <v>3872</v>
      </c>
      <c r="G2620" s="133" t="s">
        <v>3895</v>
      </c>
      <c r="H2620" s="133">
        <f>VLOOKUP(G2620,'packing mapping'!A:B,2,0)</f>
        <v>16</v>
      </c>
      <c r="I2620" s="137">
        <v>6581440</v>
      </c>
      <c r="J2620" s="132">
        <f t="shared" si="80"/>
        <v>411340</v>
      </c>
    </row>
    <row r="2621" spans="1:10">
      <c r="A2621" s="115" t="s">
        <v>1031</v>
      </c>
      <c r="B2621" s="115" t="s">
        <v>1032</v>
      </c>
      <c r="C2621" s="115" t="s">
        <v>3021</v>
      </c>
      <c r="D2621" s="115" t="s">
        <v>3022</v>
      </c>
      <c r="E2621" s="133" t="str">
        <f t="shared" si="81"/>
        <v>1200001073SST-11100 C25 BLACK WS VN</v>
      </c>
      <c r="F2621" s="133" t="s">
        <v>3872</v>
      </c>
      <c r="G2621" s="133" t="s">
        <v>3883</v>
      </c>
      <c r="H2621" s="133">
        <f>VLOOKUP(G2621,'packing mapping'!A:B,2,0)</f>
        <v>4</v>
      </c>
      <c r="I2621" s="137">
        <v>1671600</v>
      </c>
      <c r="J2621" s="132">
        <f t="shared" si="80"/>
        <v>417900</v>
      </c>
    </row>
    <row r="2622" spans="1:10">
      <c r="A2622" s="115" t="s">
        <v>1031</v>
      </c>
      <c r="B2622" s="115" t="s">
        <v>1032</v>
      </c>
      <c r="C2622" s="115" t="s">
        <v>3023</v>
      </c>
      <c r="D2622" s="115" t="s">
        <v>3024</v>
      </c>
      <c r="E2622" s="133" t="str">
        <f t="shared" si="81"/>
        <v>1200001073SST-11100 C25 RED WS VN</v>
      </c>
      <c r="F2622" s="133" t="s">
        <v>3873</v>
      </c>
      <c r="G2622" s="133" t="s">
        <v>3895</v>
      </c>
      <c r="H2622" s="133">
        <f>VLOOKUP(G2622,'packing mapping'!A:B,2,0)</f>
        <v>16</v>
      </c>
      <c r="I2622" s="137">
        <v>9651680</v>
      </c>
      <c r="J2622" s="132">
        <f t="shared" si="80"/>
        <v>603230</v>
      </c>
    </row>
    <row r="2623" spans="1:10">
      <c r="A2623" s="115" t="s">
        <v>1031</v>
      </c>
      <c r="B2623" s="115" t="s">
        <v>1032</v>
      </c>
      <c r="C2623" s="115" t="s">
        <v>3025</v>
      </c>
      <c r="D2623" s="115" t="s">
        <v>3026</v>
      </c>
      <c r="E2623" s="133" t="str">
        <f t="shared" si="81"/>
        <v>1200001073SST-11100 C25 RED WS VN</v>
      </c>
      <c r="F2623" s="133" t="s">
        <v>3873</v>
      </c>
      <c r="G2623" s="133" t="s">
        <v>3883</v>
      </c>
      <c r="H2623" s="133">
        <f>VLOOKUP(G2623,'packing mapping'!A:B,2,0)</f>
        <v>4</v>
      </c>
      <c r="I2623" s="137">
        <v>2439160</v>
      </c>
      <c r="J2623" s="132">
        <f t="shared" si="80"/>
        <v>609790</v>
      </c>
    </row>
    <row r="2624" spans="1:10">
      <c r="A2624" s="115" t="s">
        <v>1031</v>
      </c>
      <c r="B2624" s="115" t="s">
        <v>1032</v>
      </c>
      <c r="C2624" s="115" t="s">
        <v>3027</v>
      </c>
      <c r="D2624" s="115" t="s">
        <v>3028</v>
      </c>
      <c r="E2624" s="133" t="str">
        <f t="shared" si="81"/>
        <v>1200001073SST-11100 CS YELLOW WS VN</v>
      </c>
      <c r="F2624" s="133" t="s">
        <v>3874</v>
      </c>
      <c r="G2624" s="133" t="s">
        <v>3895</v>
      </c>
      <c r="H2624" s="133">
        <f>VLOOKUP(G2624,'packing mapping'!A:B,2,0)</f>
        <v>16</v>
      </c>
      <c r="I2624" s="137">
        <v>2595680</v>
      </c>
      <c r="J2624" s="132">
        <f t="shared" si="80"/>
        <v>162230</v>
      </c>
    </row>
    <row r="2625" spans="1:10">
      <c r="A2625" s="115" t="s">
        <v>1031</v>
      </c>
      <c r="B2625" s="115" t="s">
        <v>1032</v>
      </c>
      <c r="C2625" s="115" t="s">
        <v>3029</v>
      </c>
      <c r="D2625" s="115" t="s">
        <v>3030</v>
      </c>
      <c r="E2625" s="133" t="str">
        <f t="shared" si="81"/>
        <v>1200001073SST-11100 YN 701 YELLOW WS VN</v>
      </c>
      <c r="F2625" s="133" t="s">
        <v>3875</v>
      </c>
      <c r="G2625" s="133" t="s">
        <v>3895</v>
      </c>
      <c r="H2625" s="133">
        <f>VLOOKUP(G2625,'packing mapping'!A:B,2,0)</f>
        <v>16</v>
      </c>
      <c r="I2625" s="137">
        <v>3116480</v>
      </c>
      <c r="J2625" s="132">
        <f t="shared" si="80"/>
        <v>194780</v>
      </c>
    </row>
    <row r="2626" spans="1:10">
      <c r="A2626" s="115" t="s">
        <v>1031</v>
      </c>
      <c r="B2626" s="115" t="s">
        <v>1032</v>
      </c>
      <c r="C2626" s="115" t="s">
        <v>3031</v>
      </c>
      <c r="D2626" s="115" t="s">
        <v>3032</v>
      </c>
      <c r="E2626" s="133" t="str">
        <f t="shared" si="81"/>
        <v>1200001073PCA-31100 PG BLUE WS VN</v>
      </c>
      <c r="F2626" s="133" t="s">
        <v>3876</v>
      </c>
      <c r="G2626" s="133" t="s">
        <v>3883</v>
      </c>
      <c r="H2626" s="133">
        <f>VLOOKUP(G2626,'packing mapping'!A:B,2,0)</f>
        <v>4</v>
      </c>
      <c r="I2626" s="137">
        <v>1134000</v>
      </c>
      <c r="J2626" s="132">
        <f t="shared" ref="J2626:J2676" si="82">I2626/H2626</f>
        <v>283500</v>
      </c>
    </row>
    <row r="2627" spans="1:10">
      <c r="A2627" s="115" t="s">
        <v>547</v>
      </c>
      <c r="B2627" s="115" t="s">
        <v>548</v>
      </c>
      <c r="C2627" s="115" t="s">
        <v>1190</v>
      </c>
      <c r="D2627" s="115" t="s">
        <v>1191</v>
      </c>
      <c r="E2627" s="133" t="str">
        <f t="shared" ref="E2627:E2676" si="83">A2627&amp;F2627</f>
        <v>1200000231PCA-31100 WHITE PASTE VN</v>
      </c>
      <c r="F2627" s="133" t="s">
        <v>3049</v>
      </c>
      <c r="G2627" s="133" t="s">
        <v>3883</v>
      </c>
      <c r="H2627" s="133">
        <f>VLOOKUP(G2627,'packing mapping'!A:B,2,0)</f>
        <v>4</v>
      </c>
      <c r="I2627" s="137">
        <v>991840</v>
      </c>
      <c r="J2627" s="132">
        <f t="shared" si="82"/>
        <v>247960</v>
      </c>
    </row>
    <row r="2628" spans="1:10">
      <c r="A2628" s="115" t="s">
        <v>547</v>
      </c>
      <c r="B2628" s="115" t="s">
        <v>548</v>
      </c>
      <c r="C2628" s="115" t="s">
        <v>1192</v>
      </c>
      <c r="D2628" s="115" t="s">
        <v>1193</v>
      </c>
      <c r="E2628" s="133" t="str">
        <f t="shared" si="83"/>
        <v>1200000231PCL-31300 BLACK PASTE</v>
      </c>
      <c r="F2628" s="133" t="s">
        <v>3050</v>
      </c>
      <c r="G2628" s="133" t="s">
        <v>3883</v>
      </c>
      <c r="H2628" s="133">
        <f>VLOOKUP(G2628,'packing mapping'!A:B,2,0)</f>
        <v>4</v>
      </c>
      <c r="I2628" s="137">
        <v>2182320</v>
      </c>
      <c r="J2628" s="132">
        <f t="shared" si="82"/>
        <v>545580</v>
      </c>
    </row>
    <row r="2629" spans="1:10">
      <c r="A2629" s="115" t="s">
        <v>547</v>
      </c>
      <c r="B2629" s="115" t="s">
        <v>548</v>
      </c>
      <c r="C2629" s="115" t="s">
        <v>1194</v>
      </c>
      <c r="D2629" s="115" t="s">
        <v>1195</v>
      </c>
      <c r="E2629" s="133" t="str">
        <f t="shared" si="83"/>
        <v>1200000231PCL-31300 BLUE OG PASTE</v>
      </c>
      <c r="F2629" s="133" t="s">
        <v>3051</v>
      </c>
      <c r="G2629" s="133" t="s">
        <v>3883</v>
      </c>
      <c r="H2629" s="133">
        <f>VLOOKUP(G2629,'packing mapping'!A:B,2,0)</f>
        <v>4</v>
      </c>
      <c r="I2629" s="137">
        <v>1730000</v>
      </c>
      <c r="J2629" s="132">
        <f t="shared" si="82"/>
        <v>432500</v>
      </c>
    </row>
    <row r="2630" spans="1:10">
      <c r="A2630" s="115" t="s">
        <v>547</v>
      </c>
      <c r="B2630" s="115" t="s">
        <v>548</v>
      </c>
      <c r="C2630" s="115" t="s">
        <v>1386</v>
      </c>
      <c r="D2630" s="115" t="s">
        <v>1387</v>
      </c>
      <c r="E2630" s="133" t="str">
        <f t="shared" si="83"/>
        <v>1200000231PUC-54205 AC WHITE 90 VN</v>
      </c>
      <c r="F2630" s="133" t="s">
        <v>3143</v>
      </c>
      <c r="G2630" s="133" t="s">
        <v>3881</v>
      </c>
      <c r="H2630" s="133">
        <f>VLOOKUP(G2630,'packing mapping'!A:B,2,0)</f>
        <v>20</v>
      </c>
      <c r="I2630" s="137">
        <v>3814600</v>
      </c>
      <c r="J2630" s="132">
        <f t="shared" si="82"/>
        <v>190730</v>
      </c>
    </row>
    <row r="2631" spans="1:10">
      <c r="A2631" s="115" t="s">
        <v>547</v>
      </c>
      <c r="B2631" s="115" t="s">
        <v>548</v>
      </c>
      <c r="C2631" s="115" t="s">
        <v>1388</v>
      </c>
      <c r="D2631" s="115" t="s">
        <v>1389</v>
      </c>
      <c r="E2631" s="133" t="str">
        <f t="shared" si="83"/>
        <v>1200000231PUC-54205 AC WHITE 10 VN</v>
      </c>
      <c r="F2631" s="133" t="s">
        <v>3144</v>
      </c>
      <c r="G2631" s="133" t="s">
        <v>3881</v>
      </c>
      <c r="H2631" s="133">
        <f>VLOOKUP(G2631,'packing mapping'!A:B,2,0)</f>
        <v>20</v>
      </c>
      <c r="I2631" s="137">
        <v>3633000</v>
      </c>
      <c r="J2631" s="132">
        <f t="shared" si="82"/>
        <v>181650</v>
      </c>
    </row>
    <row r="2632" spans="1:10">
      <c r="A2632" s="115" t="s">
        <v>547</v>
      </c>
      <c r="B2632" s="115" t="s">
        <v>548</v>
      </c>
      <c r="C2632" s="115" t="s">
        <v>1210</v>
      </c>
      <c r="D2632" s="115" t="s">
        <v>1211</v>
      </c>
      <c r="E2632" s="133" t="str">
        <f t="shared" si="83"/>
        <v>1200000231PUH-56306 LY VN</v>
      </c>
      <c r="F2632" s="133" t="s">
        <v>3059</v>
      </c>
      <c r="G2632" s="133" t="s">
        <v>3879</v>
      </c>
      <c r="H2632" s="133">
        <f>VLOOKUP(G2632,'packing mapping'!A:B,2,0)</f>
        <v>20</v>
      </c>
      <c r="I2632" s="137">
        <v>4174800</v>
      </c>
      <c r="J2632" s="132">
        <f t="shared" si="82"/>
        <v>208740</v>
      </c>
    </row>
    <row r="2633" spans="1:10">
      <c r="A2633" s="115" t="s">
        <v>547</v>
      </c>
      <c r="B2633" s="115" t="s">
        <v>548</v>
      </c>
      <c r="C2633" s="115" t="s">
        <v>1216</v>
      </c>
      <c r="D2633" s="115" t="s">
        <v>1217</v>
      </c>
      <c r="E2633" s="133" t="str">
        <f t="shared" si="83"/>
        <v>1200000231PUL-53306 AC EX CLEAR 90 VN</v>
      </c>
      <c r="F2633" s="133" t="s">
        <v>3062</v>
      </c>
      <c r="G2633" s="133" t="s">
        <v>3879</v>
      </c>
      <c r="H2633" s="133">
        <f>VLOOKUP(G2633,'packing mapping'!A:B,2,0)</f>
        <v>20</v>
      </c>
      <c r="I2633" s="137">
        <v>2520000</v>
      </c>
      <c r="J2633" s="132">
        <f t="shared" si="82"/>
        <v>126000</v>
      </c>
    </row>
    <row r="2634" spans="1:10">
      <c r="A2634" s="115" t="s">
        <v>547</v>
      </c>
      <c r="B2634" s="115" t="s">
        <v>548</v>
      </c>
      <c r="C2634" s="115" t="s">
        <v>1476</v>
      </c>
      <c r="D2634" s="115" t="s">
        <v>1477</v>
      </c>
      <c r="E2634" s="133" t="str">
        <f t="shared" si="83"/>
        <v>1200000231PUP-52141 WHITE 01 VN</v>
      </c>
      <c r="F2634" s="133" t="s">
        <v>3184</v>
      </c>
      <c r="G2634" s="133" t="s">
        <v>3881</v>
      </c>
      <c r="H2634" s="133">
        <f>VLOOKUP(G2634,'packing mapping'!A:B,2,0)</f>
        <v>20</v>
      </c>
      <c r="I2634" s="137">
        <v>1724400</v>
      </c>
      <c r="J2634" s="132">
        <f t="shared" si="82"/>
        <v>86220</v>
      </c>
    </row>
    <row r="2635" spans="1:10">
      <c r="A2635" s="115" t="s">
        <v>547</v>
      </c>
      <c r="B2635" s="115" t="s">
        <v>548</v>
      </c>
      <c r="C2635" s="115" t="s">
        <v>1170</v>
      </c>
      <c r="D2635" s="115" t="s">
        <v>1171</v>
      </c>
      <c r="E2635" s="133" t="str">
        <f t="shared" si="83"/>
        <v>1200000231THPU-71306 ST VN</v>
      </c>
      <c r="F2635" s="133" t="s">
        <v>3039</v>
      </c>
      <c r="G2635" s="133" t="s">
        <v>3880</v>
      </c>
      <c r="H2635" s="133">
        <f>VLOOKUP(G2635,'packing mapping'!A:B,2,0)</f>
        <v>20</v>
      </c>
      <c r="I2635" s="137">
        <v>1116800</v>
      </c>
      <c r="J2635" s="132">
        <f t="shared" si="82"/>
        <v>55840</v>
      </c>
    </row>
    <row r="2636" spans="1:10">
      <c r="A2636" s="115" t="s">
        <v>547</v>
      </c>
      <c r="B2636" s="115" t="s">
        <v>548</v>
      </c>
      <c r="C2636" s="115" t="s">
        <v>1496</v>
      </c>
      <c r="D2636" s="115" t="s">
        <v>1497</v>
      </c>
      <c r="E2636" s="133" t="str">
        <f t="shared" si="83"/>
        <v>1200000231PUH-56141 VN</v>
      </c>
      <c r="F2636" s="133" t="s">
        <v>3189</v>
      </c>
      <c r="G2636" s="133" t="s">
        <v>3881</v>
      </c>
      <c r="H2636" s="133">
        <f>VLOOKUP(G2636,'packing mapping'!A:B,2,0)</f>
        <v>20</v>
      </c>
      <c r="I2636" s="137">
        <v>2305800</v>
      </c>
      <c r="J2636" s="132">
        <f t="shared" si="82"/>
        <v>115290</v>
      </c>
    </row>
    <row r="2637" spans="1:10">
      <c r="A2637" s="115" t="s">
        <v>371</v>
      </c>
      <c r="B2637" s="115" t="s">
        <v>372</v>
      </c>
      <c r="C2637" s="115" t="s">
        <v>1186</v>
      </c>
      <c r="D2637" s="115" t="s">
        <v>1187</v>
      </c>
      <c r="E2637" s="133" t="str">
        <f t="shared" si="83"/>
        <v>1200000142MEP-12003 GREY VN</v>
      </c>
      <c r="F2637" s="133" t="s">
        <v>3047</v>
      </c>
      <c r="G2637" s="133" t="s">
        <v>3882</v>
      </c>
      <c r="H2637" s="133">
        <f>VLOOKUP(G2637,'packing mapping'!A:B,2,0)</f>
        <v>18</v>
      </c>
      <c r="I2637" s="137">
        <v>1853460</v>
      </c>
      <c r="J2637" s="132">
        <f t="shared" si="82"/>
        <v>102970</v>
      </c>
    </row>
    <row r="2638" spans="1:10">
      <c r="A2638" s="115" t="s">
        <v>371</v>
      </c>
      <c r="B2638" s="115" t="s">
        <v>372</v>
      </c>
      <c r="C2638" s="115" t="s">
        <v>1376</v>
      </c>
      <c r="D2638" s="115" t="s">
        <v>1377</v>
      </c>
      <c r="E2638" s="133" t="str">
        <f t="shared" si="83"/>
        <v>1200000142PCA-31100 YELLOW HR PASTE VN</v>
      </c>
      <c r="F2638" s="133" t="s">
        <v>3138</v>
      </c>
      <c r="G2638" s="133" t="s">
        <v>3883</v>
      </c>
      <c r="H2638" s="133">
        <f>VLOOKUP(G2638,'packing mapping'!A:B,2,0)</f>
        <v>4</v>
      </c>
      <c r="I2638" s="137">
        <v>1208800</v>
      </c>
      <c r="J2638" s="132">
        <f t="shared" si="82"/>
        <v>302200</v>
      </c>
    </row>
    <row r="2639" spans="1:10">
      <c r="A2639" s="115" t="s">
        <v>371</v>
      </c>
      <c r="B2639" s="115" t="s">
        <v>372</v>
      </c>
      <c r="C2639" s="115" t="s">
        <v>1192</v>
      </c>
      <c r="D2639" s="115" t="s">
        <v>1193</v>
      </c>
      <c r="E2639" s="133" t="str">
        <f t="shared" si="83"/>
        <v>1200000142PCL-31300 BLACK PASTE</v>
      </c>
      <c r="F2639" s="133" t="s">
        <v>3050</v>
      </c>
      <c r="G2639" s="133" t="s">
        <v>3883</v>
      </c>
      <c r="H2639" s="133">
        <f>VLOOKUP(G2639,'packing mapping'!A:B,2,0)</f>
        <v>4</v>
      </c>
      <c r="I2639" s="137">
        <v>2213680</v>
      </c>
      <c r="J2639" s="132">
        <f t="shared" si="82"/>
        <v>553420</v>
      </c>
    </row>
    <row r="2640" spans="1:10">
      <c r="A2640" s="115" t="s">
        <v>371</v>
      </c>
      <c r="B2640" s="115" t="s">
        <v>372</v>
      </c>
      <c r="C2640" s="115" t="s">
        <v>1194</v>
      </c>
      <c r="D2640" s="115" t="s">
        <v>1195</v>
      </c>
      <c r="E2640" s="133" t="str">
        <f t="shared" si="83"/>
        <v>1200000142PCL-31300 BLUE OG PASTE</v>
      </c>
      <c r="F2640" s="133" t="s">
        <v>3051</v>
      </c>
      <c r="G2640" s="133" t="s">
        <v>3883</v>
      </c>
      <c r="H2640" s="133">
        <f>VLOOKUP(G2640,'packing mapping'!A:B,2,0)</f>
        <v>4</v>
      </c>
      <c r="I2640" s="137">
        <v>1925960</v>
      </c>
      <c r="J2640" s="132">
        <f t="shared" si="82"/>
        <v>481490</v>
      </c>
    </row>
    <row r="2641" spans="1:10">
      <c r="A2641" s="115" t="s">
        <v>371</v>
      </c>
      <c r="B2641" s="115" t="s">
        <v>372</v>
      </c>
      <c r="C2641" s="115" t="s">
        <v>1988</v>
      </c>
      <c r="D2641" s="115" t="s">
        <v>1989</v>
      </c>
      <c r="E2641" s="133" t="str">
        <f t="shared" si="83"/>
        <v>1200000142PCL-31300 GREEN OB PASTE</v>
      </c>
      <c r="F2641" s="133" t="s">
        <v>3415</v>
      </c>
      <c r="G2641" s="133" t="s">
        <v>3883</v>
      </c>
      <c r="H2641" s="133">
        <f>VLOOKUP(G2641,'packing mapping'!A:B,2,0)</f>
        <v>4</v>
      </c>
      <c r="I2641" s="137">
        <v>1958040</v>
      </c>
      <c r="J2641" s="132">
        <f t="shared" si="82"/>
        <v>489510</v>
      </c>
    </row>
    <row r="2642" spans="1:10">
      <c r="A2642" s="115" t="s">
        <v>371</v>
      </c>
      <c r="B2642" s="115" t="s">
        <v>372</v>
      </c>
      <c r="C2642" s="115" t="s">
        <v>1200</v>
      </c>
      <c r="D2642" s="115" t="s">
        <v>1201</v>
      </c>
      <c r="E2642" s="133" t="str">
        <f t="shared" si="83"/>
        <v>1200000142PCL-31300 RED OB 35 PASTE</v>
      </c>
      <c r="F2642" s="133" t="s">
        <v>3054</v>
      </c>
      <c r="G2642" s="133" t="s">
        <v>3883</v>
      </c>
      <c r="H2642" s="133">
        <f>VLOOKUP(G2642,'packing mapping'!A:B,2,0)</f>
        <v>4</v>
      </c>
      <c r="I2642" s="137">
        <v>2826280</v>
      </c>
      <c r="J2642" s="132">
        <f t="shared" si="82"/>
        <v>706570</v>
      </c>
    </row>
    <row r="2643" spans="1:10">
      <c r="A2643" s="115" t="s">
        <v>371</v>
      </c>
      <c r="B2643" s="115" t="s">
        <v>372</v>
      </c>
      <c r="C2643" s="115" t="s">
        <v>1382</v>
      </c>
      <c r="D2643" s="115" t="s">
        <v>1383</v>
      </c>
      <c r="E2643" s="133" t="str">
        <f t="shared" si="83"/>
        <v>1200000142PCL-31300 RED PINK PASTE</v>
      </c>
      <c r="F2643" s="133" t="s">
        <v>3141</v>
      </c>
      <c r="G2643" s="133" t="s">
        <v>3883</v>
      </c>
      <c r="H2643" s="133">
        <f>VLOOKUP(G2643,'packing mapping'!A:B,2,0)</f>
        <v>4</v>
      </c>
      <c r="I2643" s="137">
        <v>3526680</v>
      </c>
      <c r="J2643" s="132">
        <f t="shared" si="82"/>
        <v>881670</v>
      </c>
    </row>
    <row r="2644" spans="1:10">
      <c r="A2644" s="115" t="s">
        <v>371</v>
      </c>
      <c r="B2644" s="115" t="s">
        <v>372</v>
      </c>
      <c r="C2644" s="115" t="s">
        <v>3033</v>
      </c>
      <c r="D2644" s="115" t="s">
        <v>3034</v>
      </c>
      <c r="E2644" s="133" t="str">
        <f t="shared" si="83"/>
        <v>1200000142PCL-31300 YELLOW AR PASTE</v>
      </c>
      <c r="F2644" s="133" t="s">
        <v>3877</v>
      </c>
      <c r="G2644" s="133" t="s">
        <v>3883</v>
      </c>
      <c r="H2644" s="133">
        <f>VLOOKUP(G2644,'packing mapping'!A:B,2,0)</f>
        <v>4</v>
      </c>
      <c r="I2644" s="137">
        <v>1499400</v>
      </c>
      <c r="J2644" s="132">
        <f t="shared" si="82"/>
        <v>374850</v>
      </c>
    </row>
    <row r="2645" spans="1:10">
      <c r="A2645" s="115" t="s">
        <v>371</v>
      </c>
      <c r="B2645" s="115" t="s">
        <v>372</v>
      </c>
      <c r="C2645" s="115" t="s">
        <v>1204</v>
      </c>
      <c r="D2645" s="115" t="s">
        <v>1205</v>
      </c>
      <c r="E2645" s="133" t="str">
        <f t="shared" si="83"/>
        <v>1200000142PCL-31300 YELLOW OG 16 PASTE</v>
      </c>
      <c r="F2645" s="133" t="s">
        <v>3056</v>
      </c>
      <c r="G2645" s="133" t="s">
        <v>3883</v>
      </c>
      <c r="H2645" s="133">
        <f>VLOOKUP(G2645,'packing mapping'!A:B,2,0)</f>
        <v>4</v>
      </c>
      <c r="I2645" s="137">
        <v>3067360</v>
      </c>
      <c r="J2645" s="132">
        <f t="shared" si="82"/>
        <v>766840</v>
      </c>
    </row>
    <row r="2646" spans="1:10">
      <c r="A2646" s="115" t="s">
        <v>371</v>
      </c>
      <c r="B2646" s="115" t="s">
        <v>372</v>
      </c>
      <c r="C2646" s="115" t="s">
        <v>1386</v>
      </c>
      <c r="D2646" s="115" t="s">
        <v>1387</v>
      </c>
      <c r="E2646" s="133" t="str">
        <f t="shared" si="83"/>
        <v>1200000142PUC-54205 AC WHITE 90 VN</v>
      </c>
      <c r="F2646" s="133" t="s">
        <v>3143</v>
      </c>
      <c r="G2646" s="133" t="s">
        <v>3881</v>
      </c>
      <c r="H2646" s="133">
        <f>VLOOKUP(G2646,'packing mapping'!A:B,2,0)</f>
        <v>20</v>
      </c>
      <c r="I2646" s="137">
        <v>3400200</v>
      </c>
      <c r="J2646" s="132">
        <f t="shared" si="82"/>
        <v>170010</v>
      </c>
    </row>
    <row r="2647" spans="1:10">
      <c r="A2647" s="115" t="s">
        <v>371</v>
      </c>
      <c r="B2647" s="115" t="s">
        <v>372</v>
      </c>
      <c r="C2647" s="115" t="s">
        <v>1392</v>
      </c>
      <c r="D2647" s="115" t="s">
        <v>1393</v>
      </c>
      <c r="E2647" s="133" t="str">
        <f t="shared" si="83"/>
        <v>1200000142PUC-54205 AC WHITE 30 VN</v>
      </c>
      <c r="F2647" s="133" t="s">
        <v>3146</v>
      </c>
      <c r="G2647" s="133" t="s">
        <v>3881</v>
      </c>
      <c r="H2647" s="133">
        <f>VLOOKUP(G2647,'packing mapping'!A:B,2,0)</f>
        <v>20</v>
      </c>
      <c r="I2647" s="137">
        <v>2919000</v>
      </c>
      <c r="J2647" s="132">
        <f t="shared" si="82"/>
        <v>145950</v>
      </c>
    </row>
    <row r="2648" spans="1:10">
      <c r="A2648" s="115" t="s">
        <v>371</v>
      </c>
      <c r="B2648" s="115" t="s">
        <v>372</v>
      </c>
      <c r="C2648" s="115" t="s">
        <v>1210</v>
      </c>
      <c r="D2648" s="115" t="s">
        <v>1211</v>
      </c>
      <c r="E2648" s="133" t="str">
        <f t="shared" si="83"/>
        <v>1200000142PUH-56306 LY VN</v>
      </c>
      <c r="F2648" s="133" t="s">
        <v>3059</v>
      </c>
      <c r="G2648" s="133" t="s">
        <v>3879</v>
      </c>
      <c r="H2648" s="133">
        <f>VLOOKUP(G2648,'packing mapping'!A:B,2,0)</f>
        <v>20</v>
      </c>
      <c r="I2648" s="137">
        <v>3567600</v>
      </c>
      <c r="J2648" s="132">
        <f t="shared" si="82"/>
        <v>178380</v>
      </c>
    </row>
    <row r="2649" spans="1:10">
      <c r="A2649" s="115" t="s">
        <v>371</v>
      </c>
      <c r="B2649" s="115" t="s">
        <v>372</v>
      </c>
      <c r="C2649" s="115" t="s">
        <v>1718</v>
      </c>
      <c r="D2649" s="115" t="s">
        <v>1719</v>
      </c>
      <c r="E2649" s="133" t="str">
        <f t="shared" si="83"/>
        <v>1200000142PUL-51341 CLEAR 10 VN</v>
      </c>
      <c r="F2649" s="133" t="s">
        <v>3294</v>
      </c>
      <c r="G2649" s="133" t="s">
        <v>3882</v>
      </c>
      <c r="H2649" s="133">
        <f>VLOOKUP(G2649,'packing mapping'!A:B,2,0)</f>
        <v>18</v>
      </c>
      <c r="I2649" s="137">
        <v>1915200</v>
      </c>
      <c r="J2649" s="132">
        <f t="shared" si="82"/>
        <v>106400</v>
      </c>
    </row>
    <row r="2650" spans="1:10">
      <c r="A2650" s="115" t="s">
        <v>371</v>
      </c>
      <c r="B2650" s="115" t="s">
        <v>372</v>
      </c>
      <c r="C2650" s="115" t="s">
        <v>2194</v>
      </c>
      <c r="D2650" s="115" t="s">
        <v>2195</v>
      </c>
      <c r="E2650" s="133" t="str">
        <f t="shared" si="83"/>
        <v>1200000142PUL-51341 CLEAR 30 VN</v>
      </c>
      <c r="F2650" s="133" t="s">
        <v>3511</v>
      </c>
      <c r="G2650" s="133" t="s">
        <v>3882</v>
      </c>
      <c r="H2650" s="133">
        <f>VLOOKUP(G2650,'packing mapping'!A:B,2,0)</f>
        <v>18</v>
      </c>
      <c r="I2650" s="137">
        <v>1469520</v>
      </c>
      <c r="J2650" s="132">
        <f t="shared" si="82"/>
        <v>81640</v>
      </c>
    </row>
    <row r="2651" spans="1:10">
      <c r="A2651" s="115" t="s">
        <v>371</v>
      </c>
      <c r="B2651" s="115" t="s">
        <v>372</v>
      </c>
      <c r="C2651" s="115" t="s">
        <v>1396</v>
      </c>
      <c r="D2651" s="115" t="s">
        <v>1397</v>
      </c>
      <c r="E2651" s="133" t="str">
        <f t="shared" si="83"/>
        <v>1200000142PUL-53306 AC EX CLEAR 10 VN</v>
      </c>
      <c r="F2651" s="133" t="s">
        <v>3148</v>
      </c>
      <c r="G2651" s="133" t="s">
        <v>3879</v>
      </c>
      <c r="H2651" s="133">
        <f>VLOOKUP(G2651,'packing mapping'!A:B,2,0)</f>
        <v>20</v>
      </c>
      <c r="I2651" s="137">
        <v>3404600</v>
      </c>
      <c r="J2651" s="132">
        <f t="shared" si="82"/>
        <v>170230</v>
      </c>
    </row>
    <row r="2652" spans="1:10">
      <c r="A2652" s="115" t="s">
        <v>371</v>
      </c>
      <c r="B2652" s="115" t="s">
        <v>372</v>
      </c>
      <c r="C2652" s="115" t="s">
        <v>1476</v>
      </c>
      <c r="D2652" s="115" t="s">
        <v>1477</v>
      </c>
      <c r="E2652" s="133" t="str">
        <f t="shared" si="83"/>
        <v>1200000142PUP-52141 WHITE 01 VN</v>
      </c>
      <c r="F2652" s="133" t="s">
        <v>3184</v>
      </c>
      <c r="G2652" s="133" t="s">
        <v>3881</v>
      </c>
      <c r="H2652" s="133">
        <f>VLOOKUP(G2652,'packing mapping'!A:B,2,0)</f>
        <v>20</v>
      </c>
      <c r="I2652" s="137">
        <v>1781200</v>
      </c>
      <c r="J2652" s="132">
        <f t="shared" si="82"/>
        <v>89060</v>
      </c>
    </row>
    <row r="2653" spans="1:10">
      <c r="A2653" s="115" t="s">
        <v>371</v>
      </c>
      <c r="B2653" s="115" t="s">
        <v>372</v>
      </c>
      <c r="C2653" s="115" t="s">
        <v>1478</v>
      </c>
      <c r="D2653" s="115" t="s">
        <v>1479</v>
      </c>
      <c r="E2653" s="133" t="str">
        <f t="shared" si="83"/>
        <v>1200000142PUSS-51241 VN</v>
      </c>
      <c r="F2653" s="133" t="s">
        <v>3185</v>
      </c>
      <c r="G2653" s="133" t="s">
        <v>3881</v>
      </c>
      <c r="H2653" s="133">
        <f>VLOOKUP(G2653,'packing mapping'!A:B,2,0)</f>
        <v>20</v>
      </c>
      <c r="I2653" s="137">
        <v>1394600</v>
      </c>
      <c r="J2653" s="132">
        <f t="shared" si="82"/>
        <v>69730</v>
      </c>
    </row>
    <row r="2654" spans="1:10">
      <c r="A2654" s="115" t="s">
        <v>371</v>
      </c>
      <c r="B2654" s="115" t="s">
        <v>372</v>
      </c>
      <c r="C2654" s="115" t="s">
        <v>1218</v>
      </c>
      <c r="D2654" s="115" t="s">
        <v>1219</v>
      </c>
      <c r="E2654" s="133" t="str">
        <f t="shared" si="83"/>
        <v>1200000142PUSS-53206 AC EX VN</v>
      </c>
      <c r="F2654" s="133" t="s">
        <v>3063</v>
      </c>
      <c r="G2654" s="133" t="s">
        <v>3881</v>
      </c>
      <c r="H2654" s="133">
        <f>VLOOKUP(G2654,'packing mapping'!A:B,2,0)</f>
        <v>20</v>
      </c>
      <c r="I2654" s="137">
        <v>2310800</v>
      </c>
      <c r="J2654" s="132">
        <f t="shared" si="82"/>
        <v>115540</v>
      </c>
    </row>
    <row r="2655" spans="1:10">
      <c r="A2655" s="115" t="s">
        <v>371</v>
      </c>
      <c r="B2655" s="115" t="s">
        <v>372</v>
      </c>
      <c r="C2655" s="115" t="s">
        <v>1220</v>
      </c>
      <c r="D2655" s="115" t="s">
        <v>1221</v>
      </c>
      <c r="E2655" s="133" t="str">
        <f t="shared" si="83"/>
        <v>1200000142SST-11100 C10 BLACK</v>
      </c>
      <c r="F2655" s="133" t="s">
        <v>3064</v>
      </c>
      <c r="G2655" s="133" t="s">
        <v>3883</v>
      </c>
      <c r="H2655" s="133">
        <f>VLOOKUP(G2655,'packing mapping'!A:B,2,0)</f>
        <v>4</v>
      </c>
      <c r="I2655" s="137">
        <v>944360</v>
      </c>
      <c r="J2655" s="132">
        <f t="shared" si="82"/>
        <v>236090</v>
      </c>
    </row>
    <row r="2656" spans="1:10">
      <c r="A2656" s="115" t="s">
        <v>371</v>
      </c>
      <c r="B2656" s="115" t="s">
        <v>372</v>
      </c>
      <c r="C2656" s="115" t="s">
        <v>1226</v>
      </c>
      <c r="D2656" s="115" t="s">
        <v>1227</v>
      </c>
      <c r="E2656" s="133" t="str">
        <f t="shared" si="83"/>
        <v>1200000142SST-11100 C10 RED</v>
      </c>
      <c r="F2656" s="133" t="s">
        <v>3067</v>
      </c>
      <c r="G2656" s="133" t="s">
        <v>3883</v>
      </c>
      <c r="H2656" s="133">
        <f>VLOOKUP(G2656,'packing mapping'!A:B,2,0)</f>
        <v>4</v>
      </c>
      <c r="I2656" s="137">
        <v>1084200</v>
      </c>
      <c r="J2656" s="132">
        <f t="shared" si="82"/>
        <v>271050</v>
      </c>
    </row>
    <row r="2657" spans="1:10">
      <c r="A2657" s="115" t="s">
        <v>371</v>
      </c>
      <c r="B2657" s="115" t="s">
        <v>372</v>
      </c>
      <c r="C2657" s="115" t="s">
        <v>1228</v>
      </c>
      <c r="D2657" s="115" t="s">
        <v>1229</v>
      </c>
      <c r="E2657" s="133" t="str">
        <f t="shared" si="83"/>
        <v>1200000142SST-11100 C10 YELLOW</v>
      </c>
      <c r="F2657" s="133" t="s">
        <v>3068</v>
      </c>
      <c r="G2657" s="133" t="s">
        <v>3883</v>
      </c>
      <c r="H2657" s="133">
        <f>VLOOKUP(G2657,'packing mapping'!A:B,2,0)</f>
        <v>4</v>
      </c>
      <c r="I2657" s="137">
        <v>953920</v>
      </c>
      <c r="J2657" s="132">
        <f t="shared" si="82"/>
        <v>238480</v>
      </c>
    </row>
    <row r="2658" spans="1:10">
      <c r="A2658" s="115" t="s">
        <v>371</v>
      </c>
      <c r="B2658" s="115" t="s">
        <v>372</v>
      </c>
      <c r="C2658" s="115" t="s">
        <v>1242</v>
      </c>
      <c r="D2658" s="115" t="s">
        <v>1243</v>
      </c>
      <c r="E2658" s="133" t="str">
        <f t="shared" si="83"/>
        <v>1200000142THPU-71306 ST VN</v>
      </c>
      <c r="F2658" s="133" t="s">
        <v>3039</v>
      </c>
      <c r="G2658" s="133" t="s">
        <v>3884</v>
      </c>
      <c r="H2658" s="133">
        <f>VLOOKUP(G2658,'packing mapping'!A:B,2,0)</f>
        <v>200</v>
      </c>
      <c r="I2658" s="137">
        <v>10428000</v>
      </c>
      <c r="J2658" s="132">
        <f t="shared" si="82"/>
        <v>52140</v>
      </c>
    </row>
    <row r="2659" spans="1:10">
      <c r="A2659" s="115" t="s">
        <v>371</v>
      </c>
      <c r="B2659" s="115" t="s">
        <v>372</v>
      </c>
      <c r="C2659" s="115" t="s">
        <v>1170</v>
      </c>
      <c r="D2659" s="115" t="s">
        <v>1171</v>
      </c>
      <c r="E2659" s="133" t="str">
        <f t="shared" si="83"/>
        <v>1200000142THPU-71306 ST VN</v>
      </c>
      <c r="F2659" s="133" t="s">
        <v>3039</v>
      </c>
      <c r="G2659" s="133" t="s">
        <v>3880</v>
      </c>
      <c r="H2659" s="133">
        <f>VLOOKUP(G2659,'packing mapping'!A:B,2,0)</f>
        <v>20</v>
      </c>
      <c r="I2659" s="137">
        <v>1220000</v>
      </c>
      <c r="J2659" s="132">
        <f t="shared" si="82"/>
        <v>61000</v>
      </c>
    </row>
    <row r="2660" spans="1:10">
      <c r="A2660" s="115" t="s">
        <v>371</v>
      </c>
      <c r="B2660" s="115" t="s">
        <v>372</v>
      </c>
      <c r="C2660" s="115" t="s">
        <v>1248</v>
      </c>
      <c r="D2660" s="115" t="s">
        <v>1249</v>
      </c>
      <c r="E2660" s="133" t="str">
        <f t="shared" si="83"/>
        <v>1200000142MEPH-12003 PS VN</v>
      </c>
      <c r="F2660" s="133" t="s">
        <v>3077</v>
      </c>
      <c r="G2660" s="133" t="s">
        <v>3887</v>
      </c>
      <c r="H2660" s="133">
        <f>VLOOKUP(G2660,'packing mapping'!A:B,2,0)</f>
        <v>2</v>
      </c>
      <c r="I2660" s="137">
        <v>366920</v>
      </c>
      <c r="J2660" s="132">
        <f t="shared" si="82"/>
        <v>183460</v>
      </c>
    </row>
    <row r="2661" spans="1:10">
      <c r="A2661" s="115" t="s">
        <v>371</v>
      </c>
      <c r="B2661" s="115" t="s">
        <v>372</v>
      </c>
      <c r="C2661" s="115" t="s">
        <v>3035</v>
      </c>
      <c r="D2661" s="115" t="s">
        <v>3036</v>
      </c>
      <c r="E2661" s="133" t="str">
        <f t="shared" si="83"/>
        <v>1200000142PUC-52235 BLACK 10 VN</v>
      </c>
      <c r="F2661" s="133" t="s">
        <v>3878</v>
      </c>
      <c r="G2661" s="133" t="s">
        <v>3881</v>
      </c>
      <c r="H2661" s="133">
        <f>VLOOKUP(G2661,'packing mapping'!A:B,2,0)</f>
        <v>20</v>
      </c>
      <c r="I2661" s="137">
        <v>2240200</v>
      </c>
      <c r="J2661" s="132">
        <f t="shared" si="82"/>
        <v>112010</v>
      </c>
    </row>
    <row r="2662" spans="1:10">
      <c r="A2662" s="115" t="s">
        <v>371</v>
      </c>
      <c r="B2662" s="115" t="s">
        <v>372</v>
      </c>
      <c r="C2662" s="115" t="s">
        <v>1172</v>
      </c>
      <c r="D2662" s="115" t="s">
        <v>1173</v>
      </c>
      <c r="E2662" s="133" t="str">
        <f t="shared" si="83"/>
        <v>1200000142PUH-56135 S VN</v>
      </c>
      <c r="F2662" s="133" t="s">
        <v>3040</v>
      </c>
      <c r="G2662" s="133" t="s">
        <v>3881</v>
      </c>
      <c r="H2662" s="133">
        <f>VLOOKUP(G2662,'packing mapping'!A:B,2,0)</f>
        <v>20</v>
      </c>
      <c r="I2662" s="137">
        <v>2489800</v>
      </c>
      <c r="J2662" s="132">
        <f t="shared" si="82"/>
        <v>124490</v>
      </c>
    </row>
    <row r="2663" spans="1:10">
      <c r="A2663" s="115" t="s">
        <v>371</v>
      </c>
      <c r="B2663" s="115" t="s">
        <v>372</v>
      </c>
      <c r="C2663" s="115" t="s">
        <v>1410</v>
      </c>
      <c r="D2663" s="115" t="s">
        <v>1411</v>
      </c>
      <c r="E2663" s="133" t="str">
        <f t="shared" si="83"/>
        <v>1200000142PUL-51335 CLEAR 90 VN</v>
      </c>
      <c r="F2663" s="133" t="s">
        <v>3154</v>
      </c>
      <c r="G2663" s="133" t="s">
        <v>3881</v>
      </c>
      <c r="H2663" s="133">
        <f>VLOOKUP(G2663,'packing mapping'!A:B,2,0)</f>
        <v>20</v>
      </c>
      <c r="I2663" s="137">
        <v>1993200</v>
      </c>
      <c r="J2663" s="132">
        <f t="shared" si="82"/>
        <v>99660</v>
      </c>
    </row>
    <row r="2664" spans="1:10">
      <c r="A2664" s="115" t="s">
        <v>371</v>
      </c>
      <c r="B2664" s="115" t="s">
        <v>372</v>
      </c>
      <c r="C2664" s="115" t="s">
        <v>1300</v>
      </c>
      <c r="D2664" s="115" t="s">
        <v>1301</v>
      </c>
      <c r="E2664" s="133" t="str">
        <f t="shared" si="83"/>
        <v>1200000142GZPU-21500 BLACK VN</v>
      </c>
      <c r="F2664" s="133" t="s">
        <v>3101</v>
      </c>
      <c r="G2664" s="133" t="s">
        <v>3883</v>
      </c>
      <c r="H2664" s="133">
        <f>VLOOKUP(G2664,'packing mapping'!A:B,2,0)</f>
        <v>4</v>
      </c>
      <c r="I2664" s="137">
        <v>1440760</v>
      </c>
      <c r="J2664" s="132">
        <f t="shared" si="82"/>
        <v>360190</v>
      </c>
    </row>
    <row r="2665" spans="1:10">
      <c r="A2665" s="115" t="s">
        <v>371</v>
      </c>
      <c r="B2665" s="115" t="s">
        <v>372</v>
      </c>
      <c r="C2665" s="115" t="s">
        <v>1302</v>
      </c>
      <c r="D2665" s="115" t="s">
        <v>1303</v>
      </c>
      <c r="E2665" s="133" t="str">
        <f t="shared" si="83"/>
        <v>1200000142GZPU-21500 BROWN VN</v>
      </c>
      <c r="F2665" s="133" t="s">
        <v>3102</v>
      </c>
      <c r="G2665" s="133" t="s">
        <v>3883</v>
      </c>
      <c r="H2665" s="133">
        <f>VLOOKUP(G2665,'packing mapping'!A:B,2,0)</f>
        <v>4</v>
      </c>
      <c r="I2665" s="137">
        <v>1324360</v>
      </c>
      <c r="J2665" s="132">
        <f t="shared" si="82"/>
        <v>331090</v>
      </c>
    </row>
    <row r="2666" spans="1:10">
      <c r="A2666" s="115" t="s">
        <v>371</v>
      </c>
      <c r="B2666" s="115" t="s">
        <v>372</v>
      </c>
      <c r="C2666" s="115" t="s">
        <v>1310</v>
      </c>
      <c r="D2666" s="115" t="s">
        <v>1311</v>
      </c>
      <c r="E2666" s="133" t="str">
        <f t="shared" si="83"/>
        <v>1200000142GZPU-21500 RED VN</v>
      </c>
      <c r="F2666" s="133" t="s">
        <v>3106</v>
      </c>
      <c r="G2666" s="133" t="s">
        <v>3883</v>
      </c>
      <c r="H2666" s="133">
        <f>VLOOKUP(G2666,'packing mapping'!A:B,2,0)</f>
        <v>4</v>
      </c>
      <c r="I2666" s="137">
        <v>1543720</v>
      </c>
      <c r="J2666" s="132">
        <f t="shared" si="82"/>
        <v>385930</v>
      </c>
    </row>
    <row r="2667" spans="1:10">
      <c r="A2667" s="115" t="s">
        <v>371</v>
      </c>
      <c r="B2667" s="115" t="s">
        <v>372</v>
      </c>
      <c r="C2667" s="115" t="s">
        <v>1316</v>
      </c>
      <c r="D2667" s="115" t="s">
        <v>1317</v>
      </c>
      <c r="E2667" s="133" t="str">
        <f t="shared" si="83"/>
        <v>1200000142PCL-31300 YELLOW 170 HR PASTE</v>
      </c>
      <c r="F2667" s="133" t="s">
        <v>3109</v>
      </c>
      <c r="G2667" s="133" t="s">
        <v>3883</v>
      </c>
      <c r="H2667" s="133">
        <f>VLOOKUP(G2667,'packing mapping'!A:B,2,0)</f>
        <v>4</v>
      </c>
      <c r="I2667" s="137">
        <v>1829280</v>
      </c>
      <c r="J2667" s="132">
        <f t="shared" si="82"/>
        <v>457320</v>
      </c>
    </row>
    <row r="2668" spans="1:10">
      <c r="A2668" s="115" t="s">
        <v>371</v>
      </c>
      <c r="B2668" s="115" t="s">
        <v>372</v>
      </c>
      <c r="C2668" s="115" t="s">
        <v>1318</v>
      </c>
      <c r="D2668" s="115" t="s">
        <v>1319</v>
      </c>
      <c r="E2668" s="133" t="str">
        <f t="shared" si="83"/>
        <v>1200000142GZPU-21500 WHITE VN</v>
      </c>
      <c r="F2668" s="133" t="s">
        <v>3110</v>
      </c>
      <c r="G2668" s="133" t="s">
        <v>3883</v>
      </c>
      <c r="H2668" s="133">
        <f>VLOOKUP(G2668,'packing mapping'!A:B,2,0)</f>
        <v>4</v>
      </c>
      <c r="I2668" s="137">
        <v>936280</v>
      </c>
      <c r="J2668" s="132">
        <f t="shared" si="82"/>
        <v>234070</v>
      </c>
    </row>
    <row r="2669" spans="1:10">
      <c r="A2669" s="115" t="s">
        <v>371</v>
      </c>
      <c r="B2669" s="115" t="s">
        <v>372</v>
      </c>
      <c r="C2669" s="115" t="s">
        <v>1496</v>
      </c>
      <c r="D2669" s="115" t="s">
        <v>1497</v>
      </c>
      <c r="E2669" s="133" t="str">
        <f t="shared" si="83"/>
        <v>1200000142PUH-56141 VN</v>
      </c>
      <c r="F2669" s="133" t="s">
        <v>3189</v>
      </c>
      <c r="G2669" s="133" t="s">
        <v>3881</v>
      </c>
      <c r="H2669" s="133">
        <f>VLOOKUP(G2669,'packing mapping'!A:B,2,0)</f>
        <v>20</v>
      </c>
      <c r="I2669" s="137">
        <v>2489800</v>
      </c>
      <c r="J2669" s="132">
        <f t="shared" si="82"/>
        <v>124490</v>
      </c>
    </row>
    <row r="2670" spans="1:10">
      <c r="A2670" s="115" t="s">
        <v>371</v>
      </c>
      <c r="B2670" s="115" t="s">
        <v>372</v>
      </c>
      <c r="C2670" s="115" t="s">
        <v>1504</v>
      </c>
      <c r="D2670" s="115" t="s">
        <v>1505</v>
      </c>
      <c r="E2670" s="133" t="str">
        <f t="shared" si="83"/>
        <v>1200000142AP-98200 PEARL 01 PHALE VN</v>
      </c>
      <c r="F2670" s="133" t="s">
        <v>3193</v>
      </c>
      <c r="G2670" s="133" t="s">
        <v>3894</v>
      </c>
      <c r="H2670" s="133">
        <f>VLOOKUP(G2670,'packing mapping'!A:B,2,0)</f>
        <v>1</v>
      </c>
      <c r="I2670" s="137">
        <v>1581320</v>
      </c>
      <c r="J2670" s="132">
        <f t="shared" si="82"/>
        <v>1581320</v>
      </c>
    </row>
    <row r="2671" spans="1:10">
      <c r="A2671" s="115" t="s">
        <v>371</v>
      </c>
      <c r="B2671" s="115" t="s">
        <v>372</v>
      </c>
      <c r="C2671" s="115" t="s">
        <v>1506</v>
      </c>
      <c r="D2671" s="115" t="s">
        <v>1507</v>
      </c>
      <c r="E2671" s="133" t="str">
        <f t="shared" si="83"/>
        <v>1200000142AP-98200 PEARL 01 PHALE VN</v>
      </c>
      <c r="F2671" s="133" t="s">
        <v>3193</v>
      </c>
      <c r="G2671" s="133" t="s">
        <v>3883</v>
      </c>
      <c r="H2671" s="133">
        <f>VLOOKUP(G2671,'packing mapping'!A:B,2,0)</f>
        <v>4</v>
      </c>
      <c r="I2671" s="137">
        <v>6293520</v>
      </c>
      <c r="J2671" s="132">
        <f t="shared" si="82"/>
        <v>1573380</v>
      </c>
    </row>
    <row r="2672" spans="1:10">
      <c r="A2672" s="115" t="s">
        <v>1119</v>
      </c>
      <c r="B2672" s="115" t="s">
        <v>1006</v>
      </c>
      <c r="C2672" s="115" t="s">
        <v>2332</v>
      </c>
      <c r="D2672" s="115" t="s">
        <v>2333</v>
      </c>
      <c r="E2672" s="133" t="str">
        <f t="shared" si="83"/>
        <v>1200001169PSV-76000 SB HC MY VN</v>
      </c>
      <c r="F2672" s="133" t="s">
        <v>3090</v>
      </c>
      <c r="G2672" s="133" t="s">
        <v>3885</v>
      </c>
      <c r="H2672" s="133">
        <f>VLOOKUP(G2672,'packing mapping'!A:B,2,0)</f>
        <v>18</v>
      </c>
      <c r="I2672" s="137">
        <v>9774000</v>
      </c>
      <c r="J2672" s="132">
        <f t="shared" si="82"/>
        <v>543000</v>
      </c>
    </row>
    <row r="2673" spans="1:10">
      <c r="A2673" s="115" t="s">
        <v>1119</v>
      </c>
      <c r="B2673" s="115" t="s">
        <v>1006</v>
      </c>
      <c r="C2673" s="115" t="s">
        <v>2354</v>
      </c>
      <c r="D2673" s="115" t="s">
        <v>2355</v>
      </c>
      <c r="E2673" s="133" t="str">
        <f t="shared" si="83"/>
        <v>1200001169THPU-71306 01 KD VN</v>
      </c>
      <c r="F2673" s="133" t="s">
        <v>3231</v>
      </c>
      <c r="G2673" s="133" t="s">
        <v>3893</v>
      </c>
      <c r="H2673" s="133">
        <f>VLOOKUP(G2673,'packing mapping'!A:B,2,0)</f>
        <v>180</v>
      </c>
      <c r="I2673" s="137">
        <v>9360000</v>
      </c>
      <c r="J2673" s="132">
        <f t="shared" si="82"/>
        <v>52000</v>
      </c>
    </row>
    <row r="2674" spans="1:10">
      <c r="A2674" s="115" t="s">
        <v>1117</v>
      </c>
      <c r="B2674" s="115" t="s">
        <v>1118</v>
      </c>
      <c r="C2674" s="115" t="s">
        <v>1718</v>
      </c>
      <c r="D2674" s="115" t="s">
        <v>1719</v>
      </c>
      <c r="E2674" s="133" t="str">
        <f t="shared" si="83"/>
        <v>1200001168PUL-51341 CLEAR 10 VN</v>
      </c>
      <c r="F2674" s="133" t="s">
        <v>3294</v>
      </c>
      <c r="G2674" s="133" t="s">
        <v>3882</v>
      </c>
      <c r="H2674" s="133">
        <f>VLOOKUP(G2674,'packing mapping'!A:B,2,0)</f>
        <v>18</v>
      </c>
      <c r="I2674" s="137">
        <v>2160000</v>
      </c>
      <c r="J2674" s="132">
        <f t="shared" si="82"/>
        <v>120000</v>
      </c>
    </row>
    <row r="2675" spans="1:10">
      <c r="A2675" s="115" t="s">
        <v>1117</v>
      </c>
      <c r="B2675" s="115" t="s">
        <v>1118</v>
      </c>
      <c r="C2675" s="115" t="s">
        <v>1478</v>
      </c>
      <c r="D2675" s="115" t="s">
        <v>1479</v>
      </c>
      <c r="E2675" s="133" t="str">
        <f t="shared" si="83"/>
        <v>1200001168PUSS-51241 VN</v>
      </c>
      <c r="F2675" s="133" t="s">
        <v>3185</v>
      </c>
      <c r="G2675" s="133" t="s">
        <v>3881</v>
      </c>
      <c r="H2675" s="133">
        <f>VLOOKUP(G2675,'packing mapping'!A:B,2,0)</f>
        <v>20</v>
      </c>
      <c r="I2675" s="137">
        <v>1922000</v>
      </c>
      <c r="J2675" s="132">
        <f t="shared" si="82"/>
        <v>96100</v>
      </c>
    </row>
    <row r="2676" spans="1:10">
      <c r="A2676" s="115" t="s">
        <v>1117</v>
      </c>
      <c r="B2676" s="115" t="s">
        <v>1118</v>
      </c>
      <c r="C2676" s="115" t="s">
        <v>1496</v>
      </c>
      <c r="D2676" s="115" t="s">
        <v>1497</v>
      </c>
      <c r="E2676" s="133" t="str">
        <f t="shared" si="83"/>
        <v>1200001168PUH-56141 VN</v>
      </c>
      <c r="F2676" s="133" t="s">
        <v>3189</v>
      </c>
      <c r="G2676" s="133" t="s">
        <v>3881</v>
      </c>
      <c r="H2676" s="133">
        <f>VLOOKUP(G2676,'packing mapping'!A:B,2,0)</f>
        <v>20</v>
      </c>
      <c r="I2676" s="137">
        <v>2336000</v>
      </c>
      <c r="J2676" s="132">
        <f t="shared" si="82"/>
        <v>116800</v>
      </c>
    </row>
  </sheetData>
  <autoFilter ref="A1:J2676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workbookViewId="0">
      <selection activeCell="B11" sqref="B11"/>
    </sheetView>
  </sheetViews>
  <sheetFormatPr defaultRowHeight="12.5"/>
  <cols>
    <col min="1" max="1" width="15.36328125" bestFit="1" customWidth="1"/>
  </cols>
  <sheetData>
    <row r="1" spans="1:2">
      <c r="A1" s="119" t="s">
        <v>3879</v>
      </c>
      <c r="B1">
        <v>20</v>
      </c>
    </row>
    <row r="2" spans="1:2">
      <c r="A2" s="119" t="s">
        <v>3880</v>
      </c>
      <c r="B2">
        <v>20</v>
      </c>
    </row>
    <row r="3" spans="1:2">
      <c r="A3" s="119" t="s">
        <v>3881</v>
      </c>
      <c r="B3">
        <v>20</v>
      </c>
    </row>
    <row r="4" spans="1:2">
      <c r="A4" s="119" t="s">
        <v>3882</v>
      </c>
      <c r="B4">
        <v>18</v>
      </c>
    </row>
    <row r="5" spans="1:2">
      <c r="A5" s="119" t="s">
        <v>3883</v>
      </c>
      <c r="B5">
        <v>4</v>
      </c>
    </row>
    <row r="6" spans="1:2">
      <c r="A6" s="119" t="s">
        <v>3884</v>
      </c>
      <c r="B6">
        <v>200</v>
      </c>
    </row>
    <row r="7" spans="1:2">
      <c r="A7" s="119" t="s">
        <v>3885</v>
      </c>
      <c r="B7">
        <v>18</v>
      </c>
    </row>
    <row r="8" spans="1:2">
      <c r="A8" s="119" t="s">
        <v>3886</v>
      </c>
      <c r="B8">
        <v>5</v>
      </c>
    </row>
    <row r="9" spans="1:2">
      <c r="A9" s="119" t="s">
        <v>3887</v>
      </c>
      <c r="B9">
        <v>2</v>
      </c>
    </row>
    <row r="10" spans="1:2">
      <c r="A10" s="119" t="s">
        <v>3888</v>
      </c>
      <c r="B10">
        <v>4</v>
      </c>
    </row>
    <row r="11" spans="1:2">
      <c r="A11" s="119" t="s">
        <v>3889</v>
      </c>
      <c r="B11">
        <v>200</v>
      </c>
    </row>
    <row r="12" spans="1:2">
      <c r="A12" s="119" t="s">
        <v>3890</v>
      </c>
      <c r="B12">
        <v>16</v>
      </c>
    </row>
    <row r="13" spans="1:2">
      <c r="A13" s="119" t="s">
        <v>3891</v>
      </c>
      <c r="B13">
        <v>200</v>
      </c>
    </row>
    <row r="14" spans="1:2">
      <c r="A14" s="119" t="s">
        <v>3892</v>
      </c>
      <c r="B14">
        <v>250</v>
      </c>
    </row>
    <row r="15" spans="1:2">
      <c r="A15" s="119" t="s">
        <v>3893</v>
      </c>
      <c r="B15">
        <v>180</v>
      </c>
    </row>
    <row r="16" spans="1:2">
      <c r="A16" s="119" t="s">
        <v>3894</v>
      </c>
      <c r="B16">
        <v>1</v>
      </c>
    </row>
    <row r="17" spans="1:2">
      <c r="A17" s="119" t="s">
        <v>3895</v>
      </c>
      <c r="B17">
        <v>16</v>
      </c>
    </row>
    <row r="18" spans="1:2">
      <c r="A18" s="119" t="s">
        <v>3896</v>
      </c>
      <c r="B18">
        <v>200</v>
      </c>
    </row>
    <row r="19" spans="1:2">
      <c r="A19" s="119" t="s">
        <v>3897</v>
      </c>
      <c r="B19">
        <v>18</v>
      </c>
    </row>
    <row r="20" spans="1:2">
      <c r="A20" s="119" t="s">
        <v>3898</v>
      </c>
      <c r="B20">
        <v>30</v>
      </c>
    </row>
    <row r="21" spans="1:2">
      <c r="A21" s="119" t="s">
        <v>3899</v>
      </c>
      <c r="B21">
        <v>160</v>
      </c>
    </row>
    <row r="22" spans="1:2">
      <c r="A22" s="119" t="s">
        <v>3900</v>
      </c>
      <c r="B22">
        <v>30</v>
      </c>
    </row>
    <row r="23" spans="1:2">
      <c r="A23" s="119" t="s">
        <v>3901</v>
      </c>
      <c r="B23">
        <v>20</v>
      </c>
    </row>
    <row r="24" spans="1:2">
      <c r="A24" s="119" t="s">
        <v>3902</v>
      </c>
      <c r="B24">
        <v>3.8</v>
      </c>
    </row>
    <row r="25" spans="1:2">
      <c r="A25" s="119" t="s">
        <v>3903</v>
      </c>
      <c r="B25">
        <v>1</v>
      </c>
    </row>
    <row r="26" spans="1:2">
      <c r="A26" s="119" t="s">
        <v>3904</v>
      </c>
      <c r="B26">
        <v>180</v>
      </c>
    </row>
    <row r="27" spans="1:2">
      <c r="A27" s="119" t="s">
        <v>3905</v>
      </c>
      <c r="B27">
        <v>170</v>
      </c>
    </row>
    <row r="28" spans="1:2">
      <c r="A28" s="119" t="s">
        <v>3906</v>
      </c>
      <c r="B28">
        <v>150</v>
      </c>
    </row>
    <row r="29" spans="1:2">
      <c r="A29" s="119" t="s">
        <v>3907</v>
      </c>
      <c r="B29">
        <v>25</v>
      </c>
    </row>
    <row r="30" spans="1:2">
      <c r="A30" s="119" t="s">
        <v>3908</v>
      </c>
      <c r="B30">
        <v>150</v>
      </c>
    </row>
    <row r="31" spans="1:2">
      <c r="A31" s="119" t="s">
        <v>3909</v>
      </c>
      <c r="B31">
        <v>25</v>
      </c>
    </row>
    <row r="32" spans="1:2">
      <c r="A32" s="119" t="s">
        <v>3910</v>
      </c>
      <c r="B32">
        <v>20</v>
      </c>
    </row>
    <row r="33" spans="1:2">
      <c r="A33" s="119" t="s">
        <v>3911</v>
      </c>
      <c r="B33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CS</vt:lpstr>
      <vt:lpstr>CC</vt:lpstr>
      <vt:lpstr>Application Step Master</vt:lpstr>
      <vt:lpstr>app-method</vt:lpstr>
      <vt:lpstr>Customer</vt:lpstr>
      <vt:lpstr>quotation</vt:lpstr>
      <vt:lpstr>packing mapping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Wahyudi</dc:creator>
  <cp:lastModifiedBy>Ho Tri Luan</cp:lastModifiedBy>
  <cp:lastPrinted>2026-10-19T07:15:16Z</cp:lastPrinted>
  <dcterms:created xsi:type="dcterms:W3CDTF">2026-10-13T09:12:12Z</dcterms:created>
  <dcterms:modified xsi:type="dcterms:W3CDTF">2026-10-21T02:22:04Z</dcterms:modified>
</cp:coreProperties>
</file>